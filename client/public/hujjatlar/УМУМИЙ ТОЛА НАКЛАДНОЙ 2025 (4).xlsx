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ЭтаКнига" defaultThemeVersion="124226"/>
  <bookViews>
    <workbookView xWindow="-120" yWindow="-120" windowWidth="20376" windowHeight="12816" tabRatio="686" firstSheet="56" activeTab="65"/>
  </bookViews>
  <sheets>
    <sheet name="тола1В" sheetId="1249" r:id="rId1"/>
    <sheet name="тола2В БХР" sheetId="1256" r:id="rId2"/>
    <sheet name="тола3В БХР" sheetId="1257" r:id="rId3"/>
    <sheet name="тола4В БХР" sheetId="1258" r:id="rId4"/>
    <sheet name="тола5В БХР" sheetId="1259" r:id="rId5"/>
    <sheet name="тола6В БХР" sheetId="1260" r:id="rId6"/>
    <sheet name="тола7В БХР" sheetId="1261" r:id="rId7"/>
    <sheet name="тола8В" sheetId="1263" r:id="rId8"/>
    <sheet name="тола9В БХР" sheetId="1264" r:id="rId9"/>
    <sheet name="тола10В БХР" sheetId="1265" r:id="rId10"/>
    <sheet name="тола11В" sheetId="1267" r:id="rId11"/>
    <sheet name="тола12В" sheetId="1268" r:id="rId12"/>
    <sheet name="тола13В" sheetId="1269" r:id="rId13"/>
    <sheet name="тола14В" sheetId="1270" r:id="rId14"/>
    <sheet name="тола15В" sheetId="1271" r:id="rId15"/>
    <sheet name="тола16А" sheetId="1272" r:id="rId16"/>
    <sheet name="тола17В" sheetId="1273" r:id="rId17"/>
    <sheet name="тола18В" sheetId="1274" r:id="rId18"/>
    <sheet name="тола19A" sheetId="1275" r:id="rId19"/>
    <sheet name="тола20А" sheetId="1276" r:id="rId20"/>
    <sheet name="тола21A" sheetId="1277" r:id="rId21"/>
    <sheet name="тола22В" sheetId="1278" r:id="rId22"/>
    <sheet name="тола23В" sheetId="1281" r:id="rId23"/>
    <sheet name="тола24В БХР" sheetId="1280" r:id="rId24"/>
    <sheet name="тола25A" sheetId="1282" r:id="rId25"/>
    <sheet name="тола26В" sheetId="1283" r:id="rId26"/>
    <sheet name="тола27В БХР" sheetId="1284" r:id="rId27"/>
    <sheet name="тола28В БХР" sheetId="1285" r:id="rId28"/>
    <sheet name="тола29A" sheetId="1286" r:id="rId29"/>
    <sheet name="тола30В БХР" sheetId="1287" r:id="rId30"/>
    <sheet name="тола31В БХР " sheetId="1290" r:id="rId31"/>
    <sheet name="тола32В БХР  " sheetId="1289" r:id="rId32"/>
    <sheet name="тола33А" sheetId="1291" r:id="rId33"/>
    <sheet name="тола34В БХР " sheetId="1292" r:id="rId34"/>
    <sheet name="тола35А " sheetId="1293" r:id="rId35"/>
    <sheet name="тола36В " sheetId="1294" r:id="rId36"/>
    <sheet name="тола37В  " sheetId="1295" r:id="rId37"/>
    <sheet name="тола38В БХР  " sheetId="1296" r:id="rId38"/>
    <sheet name="тола39В БХР " sheetId="1297" r:id="rId39"/>
    <sheet name="тола40В БХР" sheetId="1298" r:id="rId40"/>
    <sheet name="тола41А  " sheetId="1299" r:id="rId41"/>
    <sheet name="тола42В " sheetId="1300" r:id="rId42"/>
    <sheet name="тола43В  " sheetId="1301" r:id="rId43"/>
    <sheet name="тола44В   " sheetId="1302" r:id="rId44"/>
    <sheet name="тола45А   " sheetId="1303" r:id="rId45"/>
    <sheet name="тола46А " sheetId="1304" r:id="rId46"/>
    <sheet name="тола47А" sheetId="1308" r:id="rId47"/>
    <sheet name="тола48А  " sheetId="1306" r:id="rId48"/>
    <sheet name="тола49А " sheetId="1307" r:id="rId49"/>
    <sheet name="тола50В БХР  " sheetId="1313" r:id="rId50"/>
    <sheet name="тола51А  " sheetId="1310" r:id="rId51"/>
    <sheet name="тола52А  " sheetId="1311" r:id="rId52"/>
    <sheet name="тола53В БХР " sheetId="1309" r:id="rId53"/>
    <sheet name="тола54В БХР" sheetId="1314" r:id="rId54"/>
    <sheet name="тола55А   " sheetId="1315" r:id="rId55"/>
    <sheet name="тола56А " sheetId="1316" r:id="rId56"/>
    <sheet name="тола57А " sheetId="1317" r:id="rId57"/>
    <sheet name="тола58А  " sheetId="1318" r:id="rId58"/>
    <sheet name="тола59А " sheetId="1320" r:id="rId59"/>
    <sheet name="тола60А  " sheetId="1321" r:id="rId60"/>
    <sheet name="тола61В   " sheetId="1322" r:id="rId61"/>
    <sheet name="тола62В    " sheetId="1323" r:id="rId62"/>
    <sheet name="тола63А   " sheetId="1324" r:id="rId63"/>
    <sheet name="тола64В БХР" sheetId="1325" r:id="rId64"/>
    <sheet name="тола65А" sheetId="1327" r:id="rId65"/>
    <sheet name="тола66А" sheetId="1326" r:id="rId66"/>
  </sheets>
  <definedNames>
    <definedName name="_xlnm.Print_Area" localSheetId="14">тола15В!$A$1:$O$37</definedName>
  </definedNames>
  <calcPr calcId="144525"/>
</workbook>
</file>

<file path=xl/calcChain.xml><?xml version="1.0" encoding="utf-8"?>
<calcChain xmlns="http://schemas.openxmlformats.org/spreadsheetml/2006/main">
  <c r="I23" i="1327" l="1"/>
  <c r="D27" i="1327" s="1"/>
  <c r="H23" i="1327"/>
  <c r="G23" i="1327"/>
  <c r="F23" i="1327"/>
  <c r="K22" i="1327"/>
  <c r="K21" i="1327"/>
  <c r="K20" i="1327"/>
  <c r="K23" i="1327" s="1"/>
  <c r="D29" i="1327" s="1"/>
  <c r="H23" i="1326"/>
  <c r="I23" i="1326"/>
  <c r="D27" i="1326" s="1"/>
  <c r="G23" i="1326"/>
  <c r="K21" i="1326"/>
  <c r="F23" i="1326"/>
  <c r="K22" i="1326"/>
  <c r="K20" i="1326"/>
  <c r="K23" i="1326" l="1"/>
  <c r="D29" i="1326" s="1"/>
  <c r="F25" i="1325" l="1"/>
  <c r="H25" i="1325"/>
  <c r="I25" i="1325"/>
  <c r="K25" i="1325"/>
  <c r="G25" i="1325"/>
  <c r="K24" i="1325"/>
  <c r="K23" i="1325"/>
  <c r="D29" i="1325"/>
  <c r="D31" i="1325"/>
  <c r="K21" i="1324" l="1"/>
  <c r="K20" i="1324"/>
  <c r="I22" i="1324"/>
  <c r="D26" i="1324" s="1"/>
  <c r="H22" i="1324"/>
  <c r="G22" i="1324"/>
  <c r="F22" i="1324"/>
  <c r="K22" i="1324"/>
  <c r="D28" i="1324" s="1"/>
  <c r="I22" i="1323" l="1"/>
  <c r="D26" i="1323" s="1"/>
  <c r="H22" i="1323"/>
  <c r="G22" i="1323"/>
  <c r="D28" i="1323" s="1"/>
  <c r="F22" i="1323"/>
  <c r="K21" i="1323"/>
  <c r="K20" i="1323"/>
  <c r="K22" i="1323" l="1"/>
  <c r="I22" i="1322" l="1"/>
  <c r="D26" i="1322" s="1"/>
  <c r="H22" i="1322"/>
  <c r="G22" i="1322"/>
  <c r="D28" i="1322" s="1"/>
  <c r="F22" i="1322"/>
  <c r="K21" i="1322"/>
  <c r="K20" i="1322"/>
  <c r="K22" i="1322" s="1"/>
  <c r="K20" i="1321"/>
  <c r="I22" i="1321"/>
  <c r="D26" i="1321" s="1"/>
  <c r="H22" i="1321"/>
  <c r="G22" i="1321"/>
  <c r="F22" i="1321"/>
  <c r="K21" i="1321"/>
  <c r="K22" i="1321" l="1"/>
  <c r="D28" i="1321" s="1"/>
  <c r="I22" i="1320"/>
  <c r="D26" i="1320" s="1"/>
  <c r="H22" i="1320"/>
  <c r="G22" i="1320"/>
  <c r="F22" i="1320"/>
  <c r="K21" i="1320"/>
  <c r="K20" i="1320"/>
  <c r="I21" i="1318"/>
  <c r="D25" i="1318" s="1"/>
  <c r="H21" i="1318"/>
  <c r="G21" i="1318"/>
  <c r="F21" i="1318"/>
  <c r="K20" i="1318"/>
  <c r="K21" i="1318" s="1"/>
  <c r="D27" i="1318" s="1"/>
  <c r="K22" i="1320" l="1"/>
  <c r="D28" i="1320" s="1"/>
  <c r="I22" i="1317"/>
  <c r="D26" i="1317" s="1"/>
  <c r="H22" i="1317"/>
  <c r="G22" i="1317"/>
  <c r="F22" i="1317"/>
  <c r="K21" i="1317"/>
  <c r="K20" i="1317"/>
  <c r="H22" i="1316"/>
  <c r="I22" i="1316"/>
  <c r="G22" i="1316"/>
  <c r="D26" i="1316"/>
  <c r="F22" i="1316"/>
  <c r="K21" i="1316"/>
  <c r="K20" i="1316"/>
  <c r="K22" i="1317" l="1"/>
  <c r="D28" i="1317" s="1"/>
  <c r="K22" i="1316"/>
  <c r="D28" i="1316" s="1"/>
  <c r="I22" i="1315" l="1"/>
  <c r="D26" i="1315" s="1"/>
  <c r="H22" i="1315"/>
  <c r="G22" i="1315"/>
  <c r="F22" i="1315"/>
  <c r="K21" i="1315"/>
  <c r="K22" i="1315" s="1"/>
  <c r="D28" i="1315" s="1"/>
  <c r="K20" i="1315"/>
  <c r="I26" i="1314" l="1"/>
  <c r="D30" i="1314" s="1"/>
  <c r="H26" i="1314"/>
  <c r="G26" i="1314"/>
  <c r="D32" i="1314" s="1"/>
  <c r="F26" i="1314"/>
  <c r="K25" i="1314"/>
  <c r="K24" i="1314"/>
  <c r="K23" i="1314"/>
  <c r="K24" i="1309"/>
  <c r="I24" i="1309"/>
  <c r="D28" i="1309" s="1"/>
  <c r="H24" i="1309"/>
  <c r="G24" i="1309"/>
  <c r="D30" i="1309" s="1"/>
  <c r="F24" i="1309"/>
  <c r="K23" i="1309"/>
  <c r="I22" i="1311"/>
  <c r="D26" i="1311" s="1"/>
  <c r="H22" i="1311"/>
  <c r="G22" i="1311"/>
  <c r="F22" i="1311"/>
  <c r="K21" i="1311"/>
  <c r="K20" i="1311"/>
  <c r="I21" i="1310"/>
  <c r="D25" i="1310" s="1"/>
  <c r="H21" i="1310"/>
  <c r="G21" i="1310"/>
  <c r="F21" i="1310"/>
  <c r="K20" i="1310"/>
  <c r="K21" i="1310" s="1"/>
  <c r="D27" i="1310" s="1"/>
  <c r="I25" i="1313"/>
  <c r="D29" i="1313" s="1"/>
  <c r="H25" i="1313"/>
  <c r="G25" i="1313"/>
  <c r="D31" i="1313" s="1"/>
  <c r="F25" i="1313"/>
  <c r="K24" i="1313"/>
  <c r="K23" i="1313"/>
  <c r="K25" i="1313" s="1"/>
  <c r="I21" i="1307"/>
  <c r="D25" i="1307" s="1"/>
  <c r="H21" i="1307"/>
  <c r="G21" i="1307"/>
  <c r="F21" i="1307"/>
  <c r="K20" i="1307"/>
  <c r="K21" i="1307" s="1"/>
  <c r="D27" i="1307" s="1"/>
  <c r="I22" i="1306"/>
  <c r="D26" i="1306" s="1"/>
  <c r="H22" i="1306"/>
  <c r="G22" i="1306"/>
  <c r="F22" i="1306"/>
  <c r="K21" i="1306"/>
  <c r="K20" i="1306"/>
  <c r="K22" i="1306" s="1"/>
  <c r="D28" i="1306" s="1"/>
  <c r="I22" i="1308"/>
  <c r="D26" i="1308" s="1"/>
  <c r="H22" i="1308"/>
  <c r="G22" i="1308"/>
  <c r="F22" i="1308"/>
  <c r="K21" i="1308"/>
  <c r="K20" i="1308"/>
  <c r="I22" i="1304"/>
  <c r="D26" i="1304" s="1"/>
  <c r="H22" i="1304"/>
  <c r="G22" i="1304"/>
  <c r="F22" i="1304"/>
  <c r="K21" i="1304"/>
  <c r="K20" i="1304"/>
  <c r="I22" i="1303"/>
  <c r="D26" i="1303" s="1"/>
  <c r="H22" i="1303"/>
  <c r="G22" i="1303"/>
  <c r="F22" i="1303"/>
  <c r="K21" i="1303"/>
  <c r="K20" i="1303"/>
  <c r="I22" i="1302"/>
  <c r="D26" i="1302" s="1"/>
  <c r="H22" i="1302"/>
  <c r="G22" i="1302"/>
  <c r="D28" i="1302" s="1"/>
  <c r="F22" i="1302"/>
  <c r="K21" i="1302"/>
  <c r="K20" i="1302"/>
  <c r="D28" i="1301"/>
  <c r="I22" i="1301"/>
  <c r="D26" i="1301" s="1"/>
  <c r="H22" i="1301"/>
  <c r="G22" i="1301"/>
  <c r="F22" i="1301"/>
  <c r="K21" i="1301"/>
  <c r="K20" i="1301"/>
  <c r="K22" i="1301" s="1"/>
  <c r="I21" i="1300"/>
  <c r="D25" i="1300" s="1"/>
  <c r="H21" i="1300"/>
  <c r="G21" i="1300"/>
  <c r="D27" i="1300" s="1"/>
  <c r="F21" i="1300"/>
  <c r="K20" i="1300"/>
  <c r="K21" i="1300" s="1"/>
  <c r="I22" i="1299"/>
  <c r="D26" i="1299" s="1"/>
  <c r="H22" i="1299"/>
  <c r="G22" i="1299"/>
  <c r="F22" i="1299"/>
  <c r="K21" i="1299"/>
  <c r="K20" i="1299"/>
  <c r="K22" i="1299" s="1"/>
  <c r="D28" i="1299" s="1"/>
  <c r="I24" i="1298"/>
  <c r="D28" i="1298" s="1"/>
  <c r="H24" i="1298"/>
  <c r="G24" i="1298"/>
  <c r="D30" i="1298" s="1"/>
  <c r="F24" i="1298"/>
  <c r="K23" i="1298"/>
  <c r="K24" i="1298" s="1"/>
  <c r="I25" i="1297"/>
  <c r="D29" i="1297" s="1"/>
  <c r="H25" i="1297"/>
  <c r="G25" i="1297"/>
  <c r="D31" i="1297" s="1"/>
  <c r="F25" i="1297"/>
  <c r="K24" i="1297"/>
  <c r="K23" i="1297"/>
  <c r="K25" i="1297" s="1"/>
  <c r="I25" i="1296"/>
  <c r="D29" i="1296" s="1"/>
  <c r="H25" i="1296"/>
  <c r="G25" i="1296"/>
  <c r="D31" i="1296" s="1"/>
  <c r="F25" i="1296"/>
  <c r="K24" i="1296"/>
  <c r="K23" i="1296"/>
  <c r="I23" i="1295"/>
  <c r="D27" i="1295" s="1"/>
  <c r="H23" i="1295"/>
  <c r="G23" i="1295"/>
  <c r="D29" i="1295" s="1"/>
  <c r="F23" i="1295"/>
  <c r="K22" i="1295"/>
  <c r="K21" i="1295"/>
  <c r="K20" i="1295"/>
  <c r="I22" i="1294"/>
  <c r="D26" i="1294" s="1"/>
  <c r="H22" i="1294"/>
  <c r="G22" i="1294"/>
  <c r="D28" i="1294" s="1"/>
  <c r="F22" i="1294"/>
  <c r="K21" i="1294"/>
  <c r="K20" i="1294"/>
  <c r="K22" i="1294" s="1"/>
  <c r="I22" i="1293"/>
  <c r="D26" i="1293" s="1"/>
  <c r="H22" i="1293"/>
  <c r="G22" i="1293"/>
  <c r="F22" i="1293"/>
  <c r="K21" i="1293"/>
  <c r="K20" i="1293"/>
  <c r="K22" i="1293" s="1"/>
  <c r="D28" i="1293" s="1"/>
  <c r="I25" i="1292"/>
  <c r="D29" i="1292" s="1"/>
  <c r="H25" i="1292"/>
  <c r="G25" i="1292"/>
  <c r="D31" i="1292" s="1"/>
  <c r="F25" i="1292"/>
  <c r="K24" i="1292"/>
  <c r="K23" i="1292"/>
  <c r="K25" i="1292" s="1"/>
  <c r="I22" i="1291"/>
  <c r="D26" i="1291" s="1"/>
  <c r="H22" i="1291"/>
  <c r="G22" i="1291"/>
  <c r="F22" i="1291"/>
  <c r="K21" i="1291"/>
  <c r="K20" i="1291"/>
  <c r="K22" i="1291" s="1"/>
  <c r="D28" i="1291" s="1"/>
  <c r="D31" i="1289"/>
  <c r="I25" i="1289"/>
  <c r="D29" i="1289" s="1"/>
  <c r="H25" i="1289"/>
  <c r="G25" i="1289"/>
  <c r="F25" i="1289"/>
  <c r="K24" i="1289"/>
  <c r="K23" i="1289"/>
  <c r="K25" i="1289" s="1"/>
  <c r="I25" i="1290"/>
  <c r="D29" i="1290" s="1"/>
  <c r="H25" i="1290"/>
  <c r="G25" i="1290"/>
  <c r="D31" i="1290" s="1"/>
  <c r="F25" i="1290"/>
  <c r="K24" i="1290"/>
  <c r="K23" i="1290"/>
  <c r="K25" i="1290" s="1"/>
  <c r="I26" i="1287"/>
  <c r="D30" i="1287" s="1"/>
  <c r="H26" i="1287"/>
  <c r="G26" i="1287"/>
  <c r="D32" i="1287" s="1"/>
  <c r="F26" i="1287"/>
  <c r="K25" i="1287"/>
  <c r="K24" i="1287"/>
  <c r="K23" i="1287"/>
  <c r="G22" i="1286"/>
  <c r="F22" i="1286"/>
  <c r="H21" i="1286"/>
  <c r="I21" i="1286" s="1"/>
  <c r="K21" i="1286" s="1"/>
  <c r="H20" i="1286"/>
  <c r="H22" i="1286" s="1"/>
  <c r="G25" i="1285"/>
  <c r="D31" i="1285" s="1"/>
  <c r="F25" i="1285"/>
  <c r="H24" i="1285"/>
  <c r="I24" i="1285" s="1"/>
  <c r="K24" i="1285" s="1"/>
  <c r="H23" i="1285"/>
  <c r="H25" i="1285" s="1"/>
  <c r="G25" i="1284"/>
  <c r="D31" i="1284" s="1"/>
  <c r="F25" i="1284"/>
  <c r="H24" i="1284"/>
  <c r="I24" i="1284" s="1"/>
  <c r="K24" i="1284" s="1"/>
  <c r="H23" i="1284"/>
  <c r="H25" i="1284" s="1"/>
  <c r="G22" i="1283"/>
  <c r="D28" i="1283" s="1"/>
  <c r="F22" i="1283"/>
  <c r="H21" i="1283"/>
  <c r="I21" i="1283" s="1"/>
  <c r="K21" i="1283" s="1"/>
  <c r="H20" i="1283"/>
  <c r="H22" i="1283" s="1"/>
  <c r="G22" i="1282"/>
  <c r="F22" i="1282"/>
  <c r="H21" i="1282"/>
  <c r="I21" i="1282" s="1"/>
  <c r="K21" i="1282" s="1"/>
  <c r="H20" i="1282"/>
  <c r="I20" i="1282" s="1"/>
  <c r="G26" i="1280"/>
  <c r="D32" i="1280" s="1"/>
  <c r="F26" i="1280"/>
  <c r="H25" i="1280"/>
  <c r="I25" i="1280" s="1"/>
  <c r="K25" i="1280" s="1"/>
  <c r="H24" i="1280"/>
  <c r="I24" i="1280" s="1"/>
  <c r="K24" i="1280" s="1"/>
  <c r="H23" i="1280"/>
  <c r="G22" i="1281"/>
  <c r="F22" i="1281"/>
  <c r="H21" i="1281"/>
  <c r="I21" i="1281" s="1"/>
  <c r="K21" i="1281" s="1"/>
  <c r="H20" i="1281"/>
  <c r="H22" i="1281" s="1"/>
  <c r="G22" i="1278"/>
  <c r="D28" i="1278" s="1"/>
  <c r="F22" i="1278"/>
  <c r="I21" i="1278"/>
  <c r="K21" i="1278" s="1"/>
  <c r="H21" i="1278"/>
  <c r="H20" i="1278"/>
  <c r="I20" i="1278" s="1"/>
  <c r="G21" i="1277"/>
  <c r="D27" i="1277" s="1"/>
  <c r="F21" i="1277"/>
  <c r="H20" i="1277"/>
  <c r="H21" i="1277" s="1"/>
  <c r="G23" i="1276"/>
  <c r="D29" i="1276" s="1"/>
  <c r="F23" i="1276"/>
  <c r="H22" i="1276"/>
  <c r="I22" i="1276" s="1"/>
  <c r="K22" i="1276" s="1"/>
  <c r="H21" i="1276"/>
  <c r="I21" i="1276" s="1"/>
  <c r="K21" i="1276" s="1"/>
  <c r="H20" i="1276"/>
  <c r="G23" i="1275"/>
  <c r="D29" i="1275" s="1"/>
  <c r="F23" i="1275"/>
  <c r="H22" i="1275"/>
  <c r="I22" i="1275" s="1"/>
  <c r="K22" i="1275" s="1"/>
  <c r="H21" i="1275"/>
  <c r="I21" i="1275" s="1"/>
  <c r="K21" i="1275" s="1"/>
  <c r="H20" i="1275"/>
  <c r="G21" i="1274"/>
  <c r="D27" i="1274" s="1"/>
  <c r="F21" i="1274"/>
  <c r="H20" i="1274"/>
  <c r="I20" i="1274" s="1"/>
  <c r="I21" i="1274" s="1"/>
  <c r="D25" i="1274" s="1"/>
  <c r="G23" i="1273"/>
  <c r="D29" i="1273" s="1"/>
  <c r="F23" i="1273"/>
  <c r="H22" i="1273"/>
  <c r="I22" i="1273" s="1"/>
  <c r="K22" i="1273" s="1"/>
  <c r="H21" i="1273"/>
  <c r="H20" i="1273"/>
  <c r="I20" i="1273" s="1"/>
  <c r="G21" i="1272"/>
  <c r="D27" i="1272" s="1"/>
  <c r="F21" i="1272"/>
  <c r="H20" i="1272"/>
  <c r="H21" i="1272" s="1"/>
  <c r="D28" i="1271"/>
  <c r="G22" i="1271"/>
  <c r="F22" i="1271"/>
  <c r="H21" i="1271"/>
  <c r="I21" i="1271" s="1"/>
  <c r="K21" i="1271" s="1"/>
  <c r="H20" i="1271"/>
  <c r="G21" i="1270"/>
  <c r="D27" i="1270" s="1"/>
  <c r="F21" i="1270"/>
  <c r="H20" i="1270"/>
  <c r="H21" i="1270" s="1"/>
  <c r="G21" i="1269"/>
  <c r="D27" i="1269" s="1"/>
  <c r="F21" i="1269"/>
  <c r="H20" i="1269"/>
  <c r="H21" i="1269" s="1"/>
  <c r="G23" i="1268"/>
  <c r="D29" i="1268" s="1"/>
  <c r="F23" i="1268"/>
  <c r="H22" i="1268"/>
  <c r="I22" i="1268" s="1"/>
  <c r="K22" i="1268" s="1"/>
  <c r="H21" i="1268"/>
  <c r="I21" i="1268" s="1"/>
  <c r="K21" i="1268" s="1"/>
  <c r="H20" i="1268"/>
  <c r="H23" i="1268" s="1"/>
  <c r="G22" i="1267"/>
  <c r="D28" i="1267" s="1"/>
  <c r="F22" i="1267"/>
  <c r="H21" i="1267"/>
  <c r="I21" i="1267" s="1"/>
  <c r="K21" i="1267" s="1"/>
  <c r="H20" i="1267"/>
  <c r="I20" i="1267" s="1"/>
  <c r="G25" i="1265"/>
  <c r="D31" i="1265" s="1"/>
  <c r="F25" i="1265"/>
  <c r="H24" i="1265"/>
  <c r="I24" i="1265" s="1"/>
  <c r="K24" i="1265" s="1"/>
  <c r="H23" i="1265"/>
  <c r="H25" i="1265" s="1"/>
  <c r="G25" i="1264"/>
  <c r="D31" i="1264" s="1"/>
  <c r="F25" i="1264"/>
  <c r="H24" i="1264"/>
  <c r="I24" i="1264" s="1"/>
  <c r="K24" i="1264" s="1"/>
  <c r="H23" i="1264"/>
  <c r="I23" i="1264" s="1"/>
  <c r="G22" i="1263"/>
  <c r="D28" i="1263" s="1"/>
  <c r="F22" i="1263"/>
  <c r="H21" i="1263"/>
  <c r="I21" i="1263" s="1"/>
  <c r="K21" i="1263" s="1"/>
  <c r="H20" i="1263"/>
  <c r="H22" i="1263" s="1"/>
  <c r="G24" i="1261"/>
  <c r="D30" i="1261" s="1"/>
  <c r="F24" i="1261"/>
  <c r="H23" i="1261"/>
  <c r="H24" i="1261" s="1"/>
  <c r="G27" i="1260"/>
  <c r="D33" i="1260" s="1"/>
  <c r="F27" i="1260"/>
  <c r="I26" i="1260"/>
  <c r="K26" i="1260" s="1"/>
  <c r="H26" i="1260"/>
  <c r="H25" i="1260"/>
  <c r="I25" i="1260" s="1"/>
  <c r="K25" i="1260" s="1"/>
  <c r="H24" i="1260"/>
  <c r="I24" i="1260" s="1"/>
  <c r="K24" i="1260" s="1"/>
  <c r="H23" i="1260"/>
  <c r="I23" i="1260" s="1"/>
  <c r="G24" i="1259"/>
  <c r="D30" i="1259" s="1"/>
  <c r="F24" i="1259"/>
  <c r="H23" i="1259"/>
  <c r="H24" i="1259" s="1"/>
  <c r="G26" i="1258"/>
  <c r="D32" i="1258" s="1"/>
  <c r="F26" i="1258"/>
  <c r="H25" i="1258"/>
  <c r="I25" i="1258" s="1"/>
  <c r="K25" i="1258" s="1"/>
  <c r="H24" i="1258"/>
  <c r="I24" i="1258" s="1"/>
  <c r="K24" i="1258" s="1"/>
  <c r="H23" i="1258"/>
  <c r="G24" i="1257"/>
  <c r="D30" i="1257" s="1"/>
  <c r="F24" i="1257"/>
  <c r="H23" i="1257"/>
  <c r="H24" i="1257" s="1"/>
  <c r="G25" i="1256"/>
  <c r="D31" i="1256" s="1"/>
  <c r="F25" i="1256"/>
  <c r="H24" i="1256"/>
  <c r="I24" i="1256" s="1"/>
  <c r="K24" i="1256" s="1"/>
  <c r="I23" i="1256"/>
  <c r="K23" i="1256" s="1"/>
  <c r="K25" i="1256" s="1"/>
  <c r="H23" i="1256"/>
  <c r="H25" i="1256" s="1"/>
  <c r="G21" i="1249"/>
  <c r="D27" i="1249" s="1"/>
  <c r="F21" i="1249"/>
  <c r="I20" i="1249"/>
  <c r="I21" i="1249" s="1"/>
  <c r="D25" i="1249" s="1"/>
  <c r="H20" i="1249"/>
  <c r="H21" i="1249" s="1"/>
  <c r="H26" i="1258" l="1"/>
  <c r="I23" i="1261"/>
  <c r="I24" i="1261" s="1"/>
  <c r="D28" i="1261" s="1"/>
  <c r="I20" i="1263"/>
  <c r="K20" i="1263" s="1"/>
  <c r="K22" i="1263" s="1"/>
  <c r="I23" i="1265"/>
  <c r="K23" i="1265" s="1"/>
  <c r="I20" i="1268"/>
  <c r="I23" i="1268" s="1"/>
  <c r="D27" i="1268" s="1"/>
  <c r="H23" i="1273"/>
  <c r="H21" i="1274"/>
  <c r="I23" i="1284"/>
  <c r="I25" i="1284" s="1"/>
  <c r="D29" i="1284" s="1"/>
  <c r="K26" i="1287"/>
  <c r="K25" i="1296"/>
  <c r="K22" i="1302"/>
  <c r="K22" i="1303"/>
  <c r="D28" i="1303" s="1"/>
  <c r="K22" i="1304"/>
  <c r="D28" i="1304" s="1"/>
  <c r="K22" i="1308"/>
  <c r="D28" i="1308" s="1"/>
  <c r="K22" i="1311"/>
  <c r="D28" i="1311" s="1"/>
  <c r="K26" i="1314"/>
  <c r="H22" i="1271"/>
  <c r="H23" i="1275"/>
  <c r="H23" i="1276"/>
  <c r="I20" i="1281"/>
  <c r="K20" i="1281" s="1"/>
  <c r="K22" i="1281" s="1"/>
  <c r="D28" i="1281" s="1"/>
  <c r="H26" i="1280"/>
  <c r="I20" i="1286"/>
  <c r="I22" i="1286" s="1"/>
  <c r="D26" i="1286" s="1"/>
  <c r="K23" i="1295"/>
  <c r="I27" i="1260"/>
  <c r="D31" i="1260" s="1"/>
  <c r="K23" i="1260"/>
  <c r="K27" i="1260" s="1"/>
  <c r="I25" i="1264"/>
  <c r="D29" i="1264" s="1"/>
  <c r="K23" i="1264"/>
  <c r="K25" i="1264" s="1"/>
  <c r="K25" i="1265"/>
  <c r="I22" i="1267"/>
  <c r="D26" i="1267" s="1"/>
  <c r="K20" i="1267"/>
  <c r="K22" i="1267" s="1"/>
  <c r="I25" i="1256"/>
  <c r="D29" i="1256" s="1"/>
  <c r="H27" i="1260"/>
  <c r="I22" i="1263"/>
  <c r="D26" i="1263" s="1"/>
  <c r="H25" i="1264"/>
  <c r="I25" i="1265"/>
  <c r="D29" i="1265" s="1"/>
  <c r="H22" i="1267"/>
  <c r="I20" i="1269"/>
  <c r="I20" i="1270"/>
  <c r="I20" i="1271"/>
  <c r="K20" i="1273"/>
  <c r="I21" i="1273"/>
  <c r="K21" i="1273" s="1"/>
  <c r="K20" i="1274"/>
  <c r="K21" i="1274" s="1"/>
  <c r="I22" i="1278"/>
  <c r="D26" i="1278" s="1"/>
  <c r="K20" i="1278"/>
  <c r="K22" i="1278" s="1"/>
  <c r="K20" i="1249"/>
  <c r="K21" i="1249" s="1"/>
  <c r="I23" i="1257"/>
  <c r="I23" i="1258"/>
  <c r="I23" i="1259"/>
  <c r="K23" i="1261"/>
  <c r="K24" i="1261" s="1"/>
  <c r="K20" i="1268"/>
  <c r="K23" i="1268" s="1"/>
  <c r="I20" i="1272"/>
  <c r="I22" i="1282"/>
  <c r="D26" i="1282" s="1"/>
  <c r="K20" i="1282"/>
  <c r="K22" i="1282" s="1"/>
  <c r="D28" i="1282" s="1"/>
  <c r="H22" i="1278"/>
  <c r="I22" i="1281"/>
  <c r="D26" i="1281" s="1"/>
  <c r="H22" i="1282"/>
  <c r="I20" i="1283"/>
  <c r="K23" i="1284"/>
  <c r="K25" i="1284" s="1"/>
  <c r="I23" i="1285"/>
  <c r="K20" i="1286"/>
  <c r="K22" i="1286" s="1"/>
  <c r="D28" i="1286" s="1"/>
  <c r="I20" i="1275"/>
  <c r="I20" i="1276"/>
  <c r="I20" i="1277"/>
  <c r="I23" i="1280"/>
  <c r="I26" i="1280" l="1"/>
  <c r="D30" i="1280" s="1"/>
  <c r="K23" i="1280"/>
  <c r="K26" i="1280" s="1"/>
  <c r="I23" i="1276"/>
  <c r="D27" i="1276" s="1"/>
  <c r="K20" i="1276"/>
  <c r="K23" i="1276" s="1"/>
  <c r="I24" i="1259"/>
  <c r="D28" i="1259" s="1"/>
  <c r="K23" i="1259"/>
  <c r="K24" i="1259" s="1"/>
  <c r="I24" i="1257"/>
  <c r="D28" i="1257" s="1"/>
  <c r="K23" i="1257"/>
  <c r="K24" i="1257" s="1"/>
  <c r="K23" i="1273"/>
  <c r="I21" i="1270"/>
  <c r="D25" i="1270" s="1"/>
  <c r="K20" i="1270"/>
  <c r="K21" i="1270" s="1"/>
  <c r="I23" i="1273"/>
  <c r="D27" i="1273" s="1"/>
  <c r="I21" i="1277"/>
  <c r="D25" i="1277" s="1"/>
  <c r="K20" i="1277"/>
  <c r="K21" i="1277" s="1"/>
  <c r="I23" i="1275"/>
  <c r="D27" i="1275" s="1"/>
  <c r="K20" i="1275"/>
  <c r="K23" i="1275" s="1"/>
  <c r="K23" i="1285"/>
  <c r="K25" i="1285" s="1"/>
  <c r="I25" i="1285"/>
  <c r="D29" i="1285" s="1"/>
  <c r="K20" i="1283"/>
  <c r="K22" i="1283" s="1"/>
  <c r="I22" i="1283"/>
  <c r="D26" i="1283" s="1"/>
  <c r="I21" i="1272"/>
  <c r="D25" i="1272" s="1"/>
  <c r="K20" i="1272"/>
  <c r="K21" i="1272" s="1"/>
  <c r="I26" i="1258"/>
  <c r="D30" i="1258" s="1"/>
  <c r="K23" i="1258"/>
  <c r="K26" i="1258" s="1"/>
  <c r="K20" i="1271"/>
  <c r="K22" i="1271" s="1"/>
  <c r="I22" i="1271"/>
  <c r="D26" i="1271" s="1"/>
  <c r="I21" i="1269"/>
  <c r="D25" i="1269" s="1"/>
  <c r="K20" i="1269"/>
  <c r="K21" i="1269" s="1"/>
</calcChain>
</file>

<file path=xl/sharedStrings.xml><?xml version="1.0" encoding="utf-8"?>
<sst xmlns="http://schemas.openxmlformats.org/spreadsheetml/2006/main" count="3426" uniqueCount="363">
  <si>
    <t>на перевозку хлопкого волокна</t>
  </si>
  <si>
    <t>ИНН: 300518864, ОКЭД 13101</t>
  </si>
  <si>
    <t>Наименование груза</t>
  </si>
  <si>
    <t>сорт</t>
  </si>
  <si>
    <t>класс</t>
  </si>
  <si>
    <t>Засаренность</t>
  </si>
  <si>
    <t>Влажность %</t>
  </si>
  <si>
    <t>Фактическая масса</t>
  </si>
  <si>
    <t>кол-во кип</t>
  </si>
  <si>
    <t>Брутто, кг</t>
  </si>
  <si>
    <t>Тара, кг</t>
  </si>
  <si>
    <t xml:space="preserve">Нетто, кг </t>
  </si>
  <si>
    <t>Расчетная масса, кг</t>
  </si>
  <si>
    <t>Кондиционная масса, кг</t>
  </si>
  <si>
    <t>Цена за 1 тонну</t>
  </si>
  <si>
    <t>Сумма</t>
  </si>
  <si>
    <t>сум</t>
  </si>
  <si>
    <t>тийин</t>
  </si>
  <si>
    <t>Cелекционный сорт</t>
  </si>
  <si>
    <t>Тип х/в</t>
  </si>
  <si>
    <t>ОТПРАВЛЕНО</t>
  </si>
  <si>
    <t>ИТОГ:</t>
  </si>
  <si>
    <t>Масса груза (нетто)</t>
  </si>
  <si>
    <t>Масса груза (брутто)</t>
  </si>
  <si>
    <t>Бух-102</t>
  </si>
  <si>
    <t>Отпуск разрешил           ______________  Б.Абдулаев</t>
  </si>
  <si>
    <t>Бухгалтер                         ______________ Г.Хайдаров</t>
  </si>
  <si>
    <t>яхши</t>
  </si>
  <si>
    <t>Груз к перевозке принял ____________ Н.Намозов</t>
  </si>
  <si>
    <t>ТОВАРНО-ТРАНСПОРТНАЯ НАКЛАДНАЯ № 1</t>
  </si>
  <si>
    <t>ТОВАРНО-ТРАНСПОРТНАЯ НАКЛАДНАЯ № 2</t>
  </si>
  <si>
    <t xml:space="preserve">№ А/М:  HOWO 85 093 DBA </t>
  </si>
  <si>
    <t>Прицеп: STAR 85 3740 AA</t>
  </si>
  <si>
    <t>ТОВАРНО-ТРАНСПОРТНАЯ НАКЛАДНАЯ № 3</t>
  </si>
  <si>
    <t>Груз к перевозке принял ____________ С.Рустамов</t>
  </si>
  <si>
    <t>ТОВАРНО-ТРАНСПОРТНАЯ НАКЛАДНАЯ № 4</t>
  </si>
  <si>
    <t>ТОВАРНО-ТРАНСПОРТНАЯ НАКЛАДНАЯ № 5</t>
  </si>
  <si>
    <t>ТОВАРНО-ТРАНСПОРТНАЯ НАКЛАДНАЯ № 6</t>
  </si>
  <si>
    <t>Водитель а/м: Хотамов Найим Душанович</t>
  </si>
  <si>
    <t>Прицеп: STAR 85 3738 AA</t>
  </si>
  <si>
    <t>Груз к перевозке принял ____________ Н.Хотамов</t>
  </si>
  <si>
    <t>Грузоотправитель: ООО "Navbahor Tekstil" (Пахта завод)</t>
  </si>
  <si>
    <t>Адрес: Навбахорский район МСГ Янгийул</t>
  </si>
  <si>
    <t>в банке АК банка "Асака" Навоийского филиала</t>
  </si>
  <si>
    <t>Грузополучатель: ООО "Navbahor Tekstil" (Фабрика)</t>
  </si>
  <si>
    <t>Г.Навоий, п.Тинчлик, Промзона №4</t>
  </si>
  <si>
    <t xml:space="preserve">Грузополучатель             _____________  Х. Акбутаев </t>
  </si>
  <si>
    <t>ТОВАРНО-ТРАНСПОРТНАЯ НАКЛАДНАЯ № 7</t>
  </si>
  <si>
    <t>Водитель а/м: Тоғаев Бобур Эркинович</t>
  </si>
  <si>
    <t>Прицеп: STAR 85 3225 AA</t>
  </si>
  <si>
    <t>Груз к перевозке принял ____________ Б.Тоғаев</t>
  </si>
  <si>
    <t>№ А/М:  HOWO 85 126 FBA</t>
  </si>
  <si>
    <t>ТОВАРНО-ТРАНСПОРТНАЯ НАКЛАДНАЯ № 8</t>
  </si>
  <si>
    <t>ТОВАРНО-ТРАНСПОРТНАЯ НАКЛАДНАЯ № 9</t>
  </si>
  <si>
    <t>ТОВАРНО-ТРАНСПОРТНАЯ НАКЛАДНАЯ № 10</t>
  </si>
  <si>
    <t>Марка №  201</t>
  </si>
  <si>
    <t>Кип сони сўзда:   Тўқсон олти  дона той</t>
  </si>
  <si>
    <t>Марка №  202</t>
  </si>
  <si>
    <t>Марка №  203</t>
  </si>
  <si>
    <t>ўрта</t>
  </si>
  <si>
    <t>Марка №  203-204</t>
  </si>
  <si>
    <t>Марка №  204</t>
  </si>
  <si>
    <t>Марка №  204-205</t>
  </si>
  <si>
    <t>Марка №  205</t>
  </si>
  <si>
    <t>№ А/М:  HOWO 85 127 HBA</t>
  </si>
  <si>
    <t>Груз к перевозке принял ____________ Ш.Жавкашов</t>
  </si>
  <si>
    <t>оддий</t>
  </si>
  <si>
    <t>Водитель а/м:Намозов Нозим Ниёзович</t>
  </si>
  <si>
    <t>Р.с 20208000704635766001 МФО:00873</t>
  </si>
  <si>
    <t>Грузополучатель: "BHR SPINNING" МЧЖ</t>
  </si>
  <si>
    <t>Бухоро вилояти, Бухоро шаҳри, Алпомиш кўчаси 1-ўй</t>
  </si>
  <si>
    <t>Р.с 20208000605739565001  МФО:00873</t>
  </si>
  <si>
    <t>ИНН: 311014695, ОКЭД 13101</t>
  </si>
  <si>
    <t>Тел: +998913371221</t>
  </si>
  <si>
    <t xml:space="preserve">Водитель а/м: Рустамов Суннат Учкунвич </t>
  </si>
  <si>
    <t xml:space="preserve">№ А/М:HOWO 85 150 FBA  </t>
  </si>
  <si>
    <t xml:space="preserve">Прицеп: STAR 85  3226 АА </t>
  </si>
  <si>
    <t xml:space="preserve">№ А/М:HOWO 85 036 FBA  </t>
  </si>
  <si>
    <t>от 20.09.2025 г.</t>
  </si>
  <si>
    <t>С-01</t>
  </si>
  <si>
    <t>Хлопковое волокно ур-2025 г</t>
  </si>
  <si>
    <t>202-маркадан 1-96 -рақамли 96 дона тойлар</t>
  </si>
  <si>
    <t>Отпуск груза произвёл  ______________ С.Тилавов</t>
  </si>
  <si>
    <t>от 22.09.2025 г.</t>
  </si>
  <si>
    <t>201-маркадан 1-12 -рақамли 12 дона тойлар</t>
  </si>
  <si>
    <t>201-маркадан 13-96 -рақамли 84 дона тойлар</t>
  </si>
  <si>
    <t>2025 йил 01 сентябрдаги № BHR-01 сонли хизмат кўрсатиш шартномасига асосан</t>
  </si>
  <si>
    <t xml:space="preserve">Грузополучатель             _____________ </t>
  </si>
  <si>
    <t>201-маркадан 97-168 -рақамли 72 дона тойлар</t>
  </si>
  <si>
    <t>от 23.09.2025 г.</t>
  </si>
  <si>
    <t>Марка №  201-203</t>
  </si>
  <si>
    <t>201-маркадан 169-186 -рақамли 18 дона тойлар</t>
  </si>
  <si>
    <t>201-маркадан 187-220 -рақамли 34 дона тойлар</t>
  </si>
  <si>
    <t>203-маркадан 177-220 -рақамли 44 дона тойлар</t>
  </si>
  <si>
    <t>Водитель а/м: Нормуродов Зариф Файзулайевич</t>
  </si>
  <si>
    <t xml:space="preserve">№ А/М:HOWO 85 094 FBA  </t>
  </si>
  <si>
    <t xml:space="preserve">Прицеп: STAR 85  3312 АА </t>
  </si>
  <si>
    <t>Груз к перевозке принял ____________ Н.Нормуродов</t>
  </si>
  <si>
    <t>203-маркадан 81-176 -рақамли 96 дона тойлар</t>
  </si>
  <si>
    <t>от 24.09.2025 г.</t>
  </si>
  <si>
    <t>203-маркадан 63-80 -рақамли 18 дона тойлар</t>
  </si>
  <si>
    <t>203-маркадан 1-62 -рақамли 62 дона тойлар</t>
  </si>
  <si>
    <t>204-маркадан 97-109 -рақамли 13 дона тойлар</t>
  </si>
  <si>
    <t>204-маркадан 110-112 -рақамли 3 дона тойлар</t>
  </si>
  <si>
    <t>204-маркадан 1-96 -рақамли 96 дона тойлар</t>
  </si>
  <si>
    <t xml:space="preserve">Водитель а/м: Жавкашов Шерали  Шавкатович </t>
  </si>
  <si>
    <t>Прицеп: STAR 85 3227 AA</t>
  </si>
  <si>
    <t>Марка №  202-204</t>
  </si>
  <si>
    <t>202-маркадан 97-126 -рақамли 30 дона тойлар</t>
  </si>
  <si>
    <t>204-маркадан 113-178 -рақамли 66 дона тойлар</t>
  </si>
  <si>
    <t>от 25.09.2025 г.</t>
  </si>
  <si>
    <t>204-маркадан 179-220 -рақамли 42 дона тойлар</t>
  </si>
  <si>
    <t>205-маркадан 70-111 -рақамли 42 дона тойлар</t>
  </si>
  <si>
    <t>Кип сони сўзда:   Саксон турт  дона той</t>
  </si>
  <si>
    <t>от 26.09.2025 г.</t>
  </si>
  <si>
    <t>205-маркадан 1-69 -рақамли 69 дона тойлар</t>
  </si>
  <si>
    <t>205-маркадан 112-138 -рақамли 27 дона тойлар</t>
  </si>
  <si>
    <t>ТОВАРНО-ТРАНСПОРТНАЯ НАКЛАДНАЯ № 11</t>
  </si>
  <si>
    <t>от 30.09.2025 г.</t>
  </si>
  <si>
    <t>Груз к перевозке принял ____________ З.Нормуродов</t>
  </si>
  <si>
    <t>Марка №  202-208</t>
  </si>
  <si>
    <t>202-маркадан 186-220 -рақамли 35 дона тойлар</t>
  </si>
  <si>
    <t>208-маркадан 1-61 -рақамли 61 дона тойлар</t>
  </si>
  <si>
    <t>ифлос</t>
  </si>
  <si>
    <t>ТОВАРНО-ТРАНСПОРТНАЯ НАКЛАДНАЯ № 12</t>
  </si>
  <si>
    <t>от 01.10.2025 г.</t>
  </si>
  <si>
    <t>202-маркадан 127-183 -рақамли 57 дона тойлар</t>
  </si>
  <si>
    <t>202-маркадан 184-185 -рақамли 2 дона тойлар</t>
  </si>
  <si>
    <t>208-маркадан 62-87 -рақамли 26 дона тойлар</t>
  </si>
  <si>
    <t>ТОВАРНО-ТРАНСПОРТНАЯ НАКЛАДНАЯ № 13</t>
  </si>
  <si>
    <t>205-маркадан 139-220 -рақамли 82 дона тойлар</t>
  </si>
  <si>
    <t>Кип сони сўзда:   Саксон беш  дона той</t>
  </si>
  <si>
    <t>Кип сони сўзда:   Саксон икки  дона той</t>
  </si>
  <si>
    <t>ТОВАРНО-ТРАНСПОРТНАЯ НАКЛАДНАЯ № 14</t>
  </si>
  <si>
    <t>от 03.10.2025 г.</t>
  </si>
  <si>
    <t>Марка №  210</t>
  </si>
  <si>
    <t>210-маркадан 125-220 -рақамли 96 дона тойлар</t>
  </si>
  <si>
    <t>ТОВАРНО-ТРАНСПОРТНАЯ НАКЛАДНАЯ № 15</t>
  </si>
  <si>
    <t>210-маркадан 29-109 -рақамли 81 дона тойлар</t>
  </si>
  <si>
    <t>210-маркадан 110-124 -рақамли 15 дона тойлар</t>
  </si>
  <si>
    <t>Р.с 20208000204635766001 МФО:00873</t>
  </si>
  <si>
    <t>ТОВАРНО-ТРАНСПОРТНАЯ НАКЛАДНАЯ № 16</t>
  </si>
  <si>
    <t>от 05.10.2025 г.</t>
  </si>
  <si>
    <t>Марка №  1</t>
  </si>
  <si>
    <t>1-маркадан 1-78 -рақамли 78 дона тойлар</t>
  </si>
  <si>
    <t>Кип сони сўзда:   Етмиш саккиз  дона той</t>
  </si>
  <si>
    <t>ТОВАРНО-ТРАНСПОРТНАЯ НАКЛАДНАЯ № 17</t>
  </si>
  <si>
    <t>от 06.10.2025 г.</t>
  </si>
  <si>
    <t>Марка №  210-211</t>
  </si>
  <si>
    <t>210-маркадан 1-28 -рақамли 28 дона тойлар</t>
  </si>
  <si>
    <t>211-маркадан 153-170 -рақамли 18 дона тойлар</t>
  </si>
  <si>
    <t>211-маркадан 171-220 -рақамли 50 дона тойлар</t>
  </si>
  <si>
    <t>Кип сони сўзда:   Туқсон олти  дона той</t>
  </si>
  <si>
    <t>ТОВАРНО-ТРАНСПОРТНАЯ НАКЛАДНАЯ № 18</t>
  </si>
  <si>
    <t>от 07.10.2025 г.</t>
  </si>
  <si>
    <t>Марка №  211</t>
  </si>
  <si>
    <t>211-маркадан 57-152 -рақамли 96 дона тойлар</t>
  </si>
  <si>
    <t>ТОВАРНО-ТРАНСПОРТНАЯ НАКЛАДНАЯ № 19</t>
  </si>
  <si>
    <t>1-маркадан 111-129 -рақамли 19 дона тойлар</t>
  </si>
  <si>
    <t>1-маркадан 130-149 -рақамли 20 дона тойлар</t>
  </si>
  <si>
    <t>1-маркадан 150-220 -рақамли 71 дона тойлар</t>
  </si>
  <si>
    <t>олий</t>
  </si>
  <si>
    <t>Кип сони сўзда:   Бир юз ўн   дона той</t>
  </si>
  <si>
    <t>ТОВАРНО-ТРАНСПОРТНАЯ НАКЛАДНАЯ № 20</t>
  </si>
  <si>
    <t>от 09.10.2025 г.</t>
  </si>
  <si>
    <t>Марка №  1-2</t>
  </si>
  <si>
    <t>1-маркадан 79-110 -рақамли 32 дона тойлар</t>
  </si>
  <si>
    <t>2-маркадан 143-175 -рақамли 33 дона тойлар</t>
  </si>
  <si>
    <t>2-маркадан 176-220 -рақамли 45 дона тойлар</t>
  </si>
  <si>
    <t>Кип сони сўзда:   Бир юз ўн  дона той</t>
  </si>
  <si>
    <t>ТОВАРНО-ТРАНСПОРТНАЯ НАКЛАДНАЯ № 21</t>
  </si>
  <si>
    <t>от 10.10.2025 г.</t>
  </si>
  <si>
    <t>Марка №  2</t>
  </si>
  <si>
    <t>2-маркадан 33-142 -рақамли 110 дона тойлар</t>
  </si>
  <si>
    <t>ТОВАРНО-ТРАНСПОРТНАЯ НАКЛАДНАЯ № 22</t>
  </si>
  <si>
    <t>Марка №  213</t>
  </si>
  <si>
    <t>213-маркадан 125-130, 180-220 -рақамли 47 дона тойлар</t>
  </si>
  <si>
    <t>213-маркадан 131-179 -рақамли 49 дона тойлар</t>
  </si>
  <si>
    <t>ТОВАРНО-ТРАНСПОРТНАЯ НАКЛАДНАЯ № 23</t>
  </si>
  <si>
    <t>от 11.10.2025 г.</t>
  </si>
  <si>
    <t>213-маркадан 29-100 -рақамли 72 дона тойлар</t>
  </si>
  <si>
    <t>213-маркадан 101-124 -рақамли 24 дона тойлар</t>
  </si>
  <si>
    <t>ТОВАРНО-ТРАНСПОРТНАЯ НАКЛАДНАЯ № 24</t>
  </si>
  <si>
    <t>Марка №  211-213-214</t>
  </si>
  <si>
    <t>211-маркадан 1-56 -рақамли 56 дона тойлар</t>
  </si>
  <si>
    <t>213-маркадан 1-28 -рақамли 28 дона тойлар</t>
  </si>
  <si>
    <t>214-маркадан 1-12 -рақамли 12 дона тойлар</t>
  </si>
  <si>
    <t xml:space="preserve">№ А/М:HOWO 85 094 DBA  </t>
  </si>
  <si>
    <t>ТОВАРНО-ТРАНСПОРТНАЯ НАКЛАДНАЯ № 25</t>
  </si>
  <si>
    <t>Марка №  2-3</t>
  </si>
  <si>
    <t>2-маркадан 1-32 -рақамли 32 дона тойлар</t>
  </si>
  <si>
    <t>3-маркадан 163-220 -рақамли 58 дона тойлар</t>
  </si>
  <si>
    <t>Кип сони сўзда:   Тўқсон  дона той</t>
  </si>
  <si>
    <t>от 13.10.2025 г.</t>
  </si>
  <si>
    <t>ТОВАРНО-ТРАНСПОРТНАЯ НАКЛАДНАЯ № 26</t>
  </si>
  <si>
    <t>Марка №  215</t>
  </si>
  <si>
    <t>215-маркадан 125-145, 170-220 -рақамли 72 дона тойлар</t>
  </si>
  <si>
    <t>215-маркадан 146-169 -рақамли 24 дона тойлар</t>
  </si>
  <si>
    <t>ТОВАРНО-ТРАНСПОРТНАЯ НАКЛАДНАЯ № 27</t>
  </si>
  <si>
    <t>Марка №  214</t>
  </si>
  <si>
    <t>214-маркадан 13-30. 96-108 -рақамли 31 дона тойлар</t>
  </si>
  <si>
    <t>214-маркадан 31-95 -рақамли 65 дона тойлар</t>
  </si>
  <si>
    <t>ТОВАРНО-ТРАНСПОРТНАЯ НАКЛАДНАЯ № 28</t>
  </si>
  <si>
    <t>от 14.10.2025 г.</t>
  </si>
  <si>
    <t>214-маркадан 109-179 -рақамли 71 дона тойлар</t>
  </si>
  <si>
    <t>214-маркадан 180-204 -рақамли 25 дона тойлар</t>
  </si>
  <si>
    <t>ТОВАРНО-ТРАНСПОРТНАЯ НАКЛАДНАЯ № 29</t>
  </si>
  <si>
    <t>Марка №  3</t>
  </si>
  <si>
    <t>3-маркадан 73-80 -рақамли 8 дона тойлар</t>
  </si>
  <si>
    <t>3-маркадан 81-162 -рақамли 82 дона тойлар</t>
  </si>
  <si>
    <t>214-маркадан 205-220 -рақамли 16 дона тойлар</t>
  </si>
  <si>
    <t>Марка №  214,215</t>
  </si>
  <si>
    <t>от 15.10.2025 г.</t>
  </si>
  <si>
    <t>216-маркадан 141-165-рақамли 25 дона тойлар</t>
  </si>
  <si>
    <t>216-маркадан 166-220-рақамли 55 дона  тойлар</t>
  </si>
  <si>
    <t>ТОВАРНО-ТРАНСПОРТНАЯ НАКЛАДНАЯ № 30</t>
  </si>
  <si>
    <t>ТОВАРНО-ТРАНСПОРТНАЯ НАКЛАДНАЯ № 31</t>
  </si>
  <si>
    <t>от 16.10.2025 г.</t>
  </si>
  <si>
    <t>216-маркадан1-44-рақамли 44 дона тойлар</t>
  </si>
  <si>
    <t>Марка №  216,217</t>
  </si>
  <si>
    <t>Марка №  216</t>
  </si>
  <si>
    <t>216-маркадан 45-130-рақамли 86 дона тойлар</t>
  </si>
  <si>
    <t>216-маркадан 131-140-рақамли 55 дона  тойлар</t>
  </si>
  <si>
    <t>3-маркадан 1-72 -рақамли 72 дона тойлар</t>
  </si>
  <si>
    <t>4-маркадан 1-18 -рақамли 18 дона тойлар</t>
  </si>
  <si>
    <t>от 18.10.2025 г.</t>
  </si>
  <si>
    <t>ТОВАРНО-ТРАНСПОРТНАЯ НАКЛАДНАЯ № 33</t>
  </si>
  <si>
    <t>Марка №  3,4</t>
  </si>
  <si>
    <t>ТОВАРНО-ТРАНСПОРТНАЯ НАКЛАДНАЯ № 32</t>
  </si>
  <si>
    <t>217-маркадан 201-220-рақамли 20 дона  тойлар</t>
  </si>
  <si>
    <t>ТОВАРНО-ТРАНСПОРТНАЯ НАКЛАДНАЯ № 34</t>
  </si>
  <si>
    <t>Марка №  217</t>
  </si>
  <si>
    <t>217-маркадан 105-121-рақамли 17 дона  тойлар</t>
  </si>
  <si>
    <t>217-маркадан 122-200-рақамли 79 дона  тойлар</t>
  </si>
  <si>
    <t>ТОВАРНО-ТРАНСПОРТНАЯ НАКЛАДНАЯ № 35</t>
  </si>
  <si>
    <t>215-маркадан 29-65, 106-124 -рақамли 56 дона тойлар</t>
  </si>
  <si>
    <t>215-маркадан 66-105-рақамли 40 дона тойлар</t>
  </si>
  <si>
    <t>ТОВАРНО-ТРАНСПОРТНАЯ НАКЛАДНАЯ № 36</t>
  </si>
  <si>
    <t>Марка №  4</t>
  </si>
  <si>
    <t>ТОВАРНО-ТРАНСПОРТНАЯ НАКЛАДНАЯ № 37</t>
  </si>
  <si>
    <t>215-маркадан 1-28  -рақамли 28 дона тойлар</t>
  </si>
  <si>
    <t>218-маркадан 153-195 -рақамли 43 дона тойлар</t>
  </si>
  <si>
    <t>Марка №  215,218</t>
  </si>
  <si>
    <t>218-маркадан 196-220-рақамли 25 дона тойлар</t>
  </si>
  <si>
    <t>4-маркадан 19-35 -рақамли 17 дона тойлар</t>
  </si>
  <si>
    <t>4-маркадан 36-108 -рақамли 73 дона тойлар</t>
  </si>
  <si>
    <t>ТОВАРНО-ТРАНСПОРТНАЯ НАКЛАДНАЯ № 38</t>
  </si>
  <si>
    <t>217-маркадан 17-20-рақамли 4 дона  тойлар</t>
  </si>
  <si>
    <t>217-маркадан 21-104-рақамли 84 дона  тойлар</t>
  </si>
  <si>
    <t>ТОВАРНО-ТРАНСПОРТНАЯ НАКЛАДНАЯ № 39</t>
  </si>
  <si>
    <t>от 20.10.2025 г.</t>
  </si>
  <si>
    <t>217-маркадан 1-16-рақамли 16 дона  тойлар</t>
  </si>
  <si>
    <t>220-маркадан 141-220-рақамли 80 дона  тойлар</t>
  </si>
  <si>
    <t>220-маркадан 45-140-рақамли 96 дона  тойлар</t>
  </si>
  <si>
    <t>ТОВАРНО-ТРАНСПОРТНАЯ НАКЛАДНАЯ № 40</t>
  </si>
  <si>
    <t xml:space="preserve">Груз к перевозке принял ____________ Б.Тоғаев </t>
  </si>
  <si>
    <t>ТОВАРНО-ТРАНСПОРТНАЯ НАКЛАДНАЯ № 41</t>
  </si>
  <si>
    <t>4-маркадан 109-162 -рақамли 54 дона тойлар</t>
  </si>
  <si>
    <t>4-маркадан 163-198 -рақамли 36 дона тойлар</t>
  </si>
  <si>
    <t>Груз к перевозке принял ____________Н.Намозов</t>
  </si>
  <si>
    <t>ТОВАРНО-ТРАНСПОРТНАЯ НАКЛАДНАЯ № 42</t>
  </si>
  <si>
    <t>от 22.10.2025 г.</t>
  </si>
  <si>
    <t xml:space="preserve">  № А/М:HOWO 85 127 НВА  </t>
  </si>
  <si>
    <t xml:space="preserve">  Водитель а/м:Боймуродов Шерали Бурхнович</t>
  </si>
  <si>
    <t xml:space="preserve">  Прицеп: STAR 85  3227 АА </t>
  </si>
  <si>
    <t>Груз к перевозке принял ____________ Ш.Боймуродов</t>
  </si>
  <si>
    <t>218-маркадан 131-152 -рақамли 22 дона тойлар</t>
  </si>
  <si>
    <t>Марка №  218</t>
  </si>
  <si>
    <t>ТОВАРНО-ТРАНСПОРТНАЯ НАКЛАДНАЯ № 43</t>
  </si>
  <si>
    <t>218-маркадан 35-85 -рақамли 51 дона тойлар</t>
  </si>
  <si>
    <t>218-маркадан 86 -130 рақамли 45 дона тойлар</t>
  </si>
  <si>
    <t>от 23.10.2025 г.</t>
  </si>
  <si>
    <t>218-маркадан 1 -25 рақамли 25 дона тойлар</t>
  </si>
  <si>
    <t>Кип сони сўзда:  Уттиз торт</t>
  </si>
  <si>
    <t>ТОВАРНО-ТРАНСПОРТНАЯ НАКЛАДНАЯ № 44</t>
  </si>
  <si>
    <t>ТОВАРНО-ТРАНСПОРТНАЯ НАКЛАДНАЯ № 45</t>
  </si>
  <si>
    <t>4-маркадан 199-220 -рақамли 22 дона тойлар</t>
  </si>
  <si>
    <t>6-маркадан 101-136-рақамли 36 дона тойлар</t>
  </si>
  <si>
    <t>Кип сони сўзда:   Эллик токкиз</t>
  </si>
  <si>
    <t>ТОВАРНО-ТРАНСПОРТНАЯ НАКЛАДНАЯ № 46</t>
  </si>
  <si>
    <t>6-маркадан 11-65-рақамли 55 дона тойлар</t>
  </si>
  <si>
    <t>6-маркадан 66-100-рақамли 35 дона тойлар</t>
  </si>
  <si>
    <t>218-маркадан 26-34 -рақамли 9 дона тойлар</t>
  </si>
  <si>
    <t>ТОВАРНО-ТРАНСПОРТНАЯ НАКЛАДНАЯ № 47</t>
  </si>
  <si>
    <t>от 24.10.2025 г.</t>
  </si>
  <si>
    <t>ТОВАРНО-ТРАНСПОРТНАЯ НАКЛАДНАЯ № 48</t>
  </si>
  <si>
    <t>6-маркадан 1-10-рақамли 10 дона тойлар</t>
  </si>
  <si>
    <t>10-маркадан 201-220-рақамли 20 дона тойлар</t>
  </si>
  <si>
    <t>Марка №  6-10</t>
  </si>
  <si>
    <t>ТОВАРНО-ТРАНСПОРТНАЯ НАКЛАДНАЯ № 49</t>
  </si>
  <si>
    <t>7-маркадан 91-151-рақамли 61 дона тойлар</t>
  </si>
  <si>
    <t>7-маркадан 152-180-рақамли 29 дона тойлар</t>
  </si>
  <si>
    <t>7-маркадан 1-91-рақамли 90 дона тойлар</t>
  </si>
  <si>
    <t>Марка №  7</t>
  </si>
  <si>
    <t>Марка №7</t>
  </si>
  <si>
    <t>ТОВАРНО-ТРАНСПОРТНАЯ НАКЛАДНАЯ № 50</t>
  </si>
  <si>
    <t>от 27.10.2025 г.</t>
  </si>
  <si>
    <t>228-маркадан 125-127,170-220-рақамли 54 дона  тойлар</t>
  </si>
  <si>
    <t>228-маркадан 128-169-рақамли 42 дона  тойлар</t>
  </si>
  <si>
    <t>Марка №  228</t>
  </si>
  <si>
    <t xml:space="preserve">Груз к перевозке принял ____________  Н.Хотамов </t>
  </si>
  <si>
    <t>5-маркадан 111-220-рақамли 110 дона тойлар</t>
  </si>
  <si>
    <t>Кип сони сўзда:   бир юз ун  дона той</t>
  </si>
  <si>
    <t>ТОВАРНО-ТРАНСПОРТНАЯ НАКЛАДНАЯ № 51</t>
  </si>
  <si>
    <t>Водитель а/м:  Тоғаев Бобур Эркинович</t>
  </si>
  <si>
    <t>от 28.10.2025 г.</t>
  </si>
  <si>
    <t>ТОВАРНО-ТРАНСПОРТНАЯ НАКЛАДНАЯ № 52</t>
  </si>
  <si>
    <t>5-маркадан 1-39-рақамли 39 дона тойлар</t>
  </si>
  <si>
    <t>5-маркадан 40-110-рақамли 71 дона тойлар</t>
  </si>
  <si>
    <t>ТОВАРНО-ТРАНСПОРТНАЯ НАКЛАДНАЯ № 53</t>
  </si>
  <si>
    <t>228-маркадан 69-124-рақамли 56 дона  тойлар</t>
  </si>
  <si>
    <t>Груз к перевозке принял ____________  З.Нормуродов</t>
  </si>
  <si>
    <t>Груз к перевозке принял ____________   Б.Тоғаев</t>
  </si>
  <si>
    <t>228-маркадан 1-37-рақамли 37 дона  тойлар</t>
  </si>
  <si>
    <t>228-маркадан 38-68-рақамли 31 дона  тойлар</t>
  </si>
  <si>
    <t>229-маркадан 193-220-рақамли 28 дона  тойлар</t>
  </si>
  <si>
    <t>ТОВАРНО-ТРАНСПОРТНАЯ НАКЛАДНАЯ № 54</t>
  </si>
  <si>
    <t xml:space="preserve">Груз к перевозке принял ____________ Ш.Жавкашов </t>
  </si>
  <si>
    <t>ТОВАРНО-ТРАНСПОРТНАЯ НАКЛАДНАЯ № 55</t>
  </si>
  <si>
    <t>11-маркадан 136-146-рақамли 11 дона тойлар</t>
  </si>
  <si>
    <t>15-маркадан 1-90-рақамли 90 дона тойлар</t>
  </si>
  <si>
    <t>15-маркадан 91-110-рақамли 20 дона тойлар</t>
  </si>
  <si>
    <t>ТОВАРНО-ТРАНСПОРТНАЯ НАКЛАДНАЯ № 56</t>
  </si>
  <si>
    <t>ТОВАРНО-ТРАНСПОРТНАЯ НАКЛАДНАЯ № 57</t>
  </si>
  <si>
    <t>15-маркадан 111-180-рақамли 70 дона тойлар</t>
  </si>
  <si>
    <t>15-маркадан 181-220-рақамли 40 дона тойлар</t>
  </si>
  <si>
    <t>ТОВАРНО-ТРАНСПОРТНАЯ НАКЛАДНАЯ № 58</t>
  </si>
  <si>
    <t>9-маркадан 111-220-рақамли 110 дона тойлар</t>
  </si>
  <si>
    <t>9-маркадан 1-52-рақамли 52 дона тойлар</t>
  </si>
  <si>
    <t>9-маркадан 53-110-рақамли 58 дона тойлар</t>
  </si>
  <si>
    <t>11-маркадан 111-135,147-220-рақамли 99 дона тойлар</t>
  </si>
  <si>
    <t>ТОВАРНО-ТРАНСПОРТНАЯ НАКЛАДНАЯ № 59</t>
  </si>
  <si>
    <t>ТОВАРНО-ТРАНСПОРТНАЯ НАКЛАДНАЯ № 60</t>
  </si>
  <si>
    <t>от 29.10.2025 г.</t>
  </si>
  <si>
    <t>ТОВАРНО-ТРАНСПОРТНАЯ НАКЛАДНАЯ № 61</t>
  </si>
  <si>
    <t>230-маркадан 125-140 -рақамли 16 дона тойлар</t>
  </si>
  <si>
    <t>230-маркадан 141-220 -рақамли 80 дона тойлар</t>
  </si>
  <si>
    <r>
      <t>Водитель а/м:Н</t>
    </r>
    <r>
      <rPr>
        <sz val="12"/>
        <rFont val="Arial"/>
        <family val="2"/>
        <charset val="204"/>
      </rPr>
      <t>амозов Нозим Ниёзович</t>
    </r>
  </si>
  <si>
    <t xml:space="preserve">Груз к перевозке принял ____________ Н.Намозов </t>
  </si>
  <si>
    <t>230-маркадан 29-50 -рақамли 22 дона тойлар</t>
  </si>
  <si>
    <t>230-маркадан 51-124 -рақамли 74 дона тойлар</t>
  </si>
  <si>
    <t>ТОВАРНО-ТРАНСПОРТНАЯ НАКЛАДНАЯ № 62</t>
  </si>
  <si>
    <t>12-маркадан 111-172-рақамли 62 дона тойлар</t>
  </si>
  <si>
    <t>12-маркадан 173-220-рақамли 48 дона тойлар</t>
  </si>
  <si>
    <t>12-маркадан 1-93-рақамли 93 дона тойлар</t>
  </si>
  <si>
    <t>12-маркадан 94-110-рақамли 17 дона тойлар</t>
  </si>
  <si>
    <t>ТОВАРНО-ТРАНСПОРТНАЯ НАКЛАДНАЯ № 63</t>
  </si>
  <si>
    <t>Марка №12</t>
  </si>
  <si>
    <t>ТОВАРНО-ТРАНСПОРТНАЯ НАКЛАДНАЯ № 64</t>
  </si>
  <si>
    <t>229-маркадан 1-59-рақамли 59 дона  тойлар</t>
  </si>
  <si>
    <t>229-маркадан 60-94-рақамли 35 дона  тойлар</t>
  </si>
  <si>
    <t>от 30.10.2025 г.</t>
  </si>
  <si>
    <t>Марка №  229</t>
  </si>
  <si>
    <t>18-маркадан 1-48-рақамли 48 дона тойлар</t>
  </si>
  <si>
    <t>18-маркадан 53-82-рақамли 30 дона тойлар</t>
  </si>
  <si>
    <t>18-маркадан 49-52,83-110-рақамли 32 дона тойлар</t>
  </si>
  <si>
    <t>ТОВАРНО-ТРАНСПОРТНАЯ НАКЛАДНАЯ № 65</t>
  </si>
  <si>
    <t xml:space="preserve">  № А/М:HOWO 85 150 НВА  </t>
  </si>
  <si>
    <t xml:space="preserve">  Прицеп: STAR 85  3226 АА </t>
  </si>
  <si>
    <t>18-маркадан 111-136-рақамли 26 дона тойлар</t>
  </si>
  <si>
    <t>18-маркадан 137-180-рақамли 44 дона тойлар</t>
  </si>
  <si>
    <t>18-маркадан 181-220-рақамли 40 дона тойлар</t>
  </si>
  <si>
    <t>ТОВАРНО-ТРАНСПОРТНАЯ НАКЛАДНАЯ № 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</si>
</sst>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u/>
      <sz val="11"/>
      <color theme="1"/>
      <name val="Arial"/>
      <family val="2"/>
      <charset val="204"/>
    </font>
    <font>
      <u/>
      <sz val="11"/>
      <color theme="1"/>
      <name val="Arial"/>
      <family val="2"/>
      <charset val="204"/>
    </font>
    <font>
      <i/>
      <u/>
      <sz val="11"/>
      <color theme="1"/>
      <name val="Arial"/>
      <family val="2"/>
      <charset val="204"/>
    </font>
    <font>
      <sz val="11"/>
      <name val="Arial"/>
      <family val="2"/>
      <charset val="204"/>
    </font>
    <font>
      <b/>
      <u/>
      <sz val="11"/>
      <name val="Arial"/>
      <family val="2"/>
      <charset val="204"/>
    </font>
    <font>
      <sz val="12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6" fillId="2" borderId="0" xfId="0" applyFont="1" applyFill="1" applyAlignment="1"/>
    <xf numFmtId="0" fontId="7" fillId="2" borderId="0" xfId="0" applyFont="1" applyFill="1" applyAlignment="1"/>
    <xf numFmtId="0" fontId="6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/>
    <xf numFmtId="0" fontId="2" fillId="2" borderId="0" xfId="0" applyFont="1" applyFill="1" applyAlignment="1"/>
    <xf numFmtId="0" fontId="3" fillId="2" borderId="0" xfId="0" applyFont="1" applyFill="1" applyAlignment="1"/>
    <xf numFmtId="0" fontId="1" fillId="2" borderId="0" xfId="0" applyFont="1" applyFill="1" applyAlignment="1"/>
    <xf numFmtId="0" fontId="4" fillId="2" borderId="0" xfId="0" applyFont="1" applyFill="1" applyAlignment="1">
      <alignment horizontal="left"/>
    </xf>
    <xf numFmtId="17" fontId="1" fillId="2" borderId="1" xfId="0" applyNumberFormat="1" applyFont="1" applyFill="1" applyBorder="1" applyAlignment="1">
      <alignment horizontal="lef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164" fontId="1" fillId="2" borderId="0" xfId="0" applyNumberFormat="1" applyFont="1" applyFill="1" applyBorder="1" applyAlignment="1">
      <alignment horizontal="center" vertical="center" wrapText="1"/>
    </xf>
    <xf numFmtId="164" fontId="2" fillId="2" borderId="0" xfId="0" applyNumberFormat="1" applyFont="1" applyFill="1" applyBorder="1" applyAlignment="1">
      <alignment horizontal="center" vertical="center" wrapText="1"/>
    </xf>
    <xf numFmtId="164" fontId="1" fillId="2" borderId="0" xfId="0" applyNumberFormat="1" applyFont="1" applyFill="1"/>
    <xf numFmtId="164" fontId="1" fillId="2" borderId="0" xfId="0" applyNumberFormat="1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0" borderId="0" xfId="0" applyFont="1"/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left"/>
    </xf>
    <xf numFmtId="0" fontId="2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tabColor rgb="FFFFFF00"/>
  </sheetPr>
  <dimension ref="A1:O36"/>
  <sheetViews>
    <sheetView zoomScale="70" zoomScaleNormal="70" workbookViewId="0">
      <selection activeCell="J4" sqref="J4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29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5" x14ac:dyDescent="0.25">
      <c r="A3" s="7" t="s">
        <v>78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8" t="s">
        <v>41</v>
      </c>
      <c r="B4" s="8"/>
      <c r="C4" s="8"/>
      <c r="D4" s="8"/>
      <c r="E4" s="8"/>
      <c r="F4" s="8"/>
      <c r="G4" s="8"/>
      <c r="H4" s="8"/>
      <c r="I4" s="8"/>
      <c r="J4" s="1" t="s">
        <v>74</v>
      </c>
      <c r="K4" s="2"/>
      <c r="L4" s="2"/>
      <c r="M4" s="2"/>
      <c r="N4" s="2"/>
    </row>
    <row r="5" spans="1:15" x14ac:dyDescent="0.25">
      <c r="A5" s="6" t="s">
        <v>42</v>
      </c>
      <c r="F5" s="9"/>
      <c r="G5" s="9"/>
      <c r="H5" s="9"/>
      <c r="I5" s="9"/>
      <c r="J5" s="3"/>
      <c r="K5" s="3"/>
      <c r="L5" s="1"/>
      <c r="M5" s="1"/>
      <c r="N5" s="1"/>
    </row>
    <row r="6" spans="1:15" x14ac:dyDescent="0.25">
      <c r="A6" s="9" t="s">
        <v>68</v>
      </c>
      <c r="B6" s="9"/>
      <c r="C6" s="9"/>
      <c r="D6" s="9"/>
      <c r="E6" s="9"/>
      <c r="F6" s="9"/>
      <c r="G6" s="9"/>
      <c r="H6" s="9"/>
      <c r="I6" s="9"/>
      <c r="J6" s="1" t="s">
        <v>75</v>
      </c>
      <c r="K6" s="1"/>
      <c r="L6" s="1"/>
      <c r="M6" s="1"/>
      <c r="N6" s="1"/>
    </row>
    <row r="7" spans="1:15" x14ac:dyDescent="0.25">
      <c r="A7" s="9" t="s">
        <v>43</v>
      </c>
      <c r="B7" s="9"/>
      <c r="C7" s="9"/>
      <c r="D7" s="9"/>
      <c r="E7" s="9"/>
      <c r="F7" s="9"/>
      <c r="G7" s="9"/>
      <c r="H7" s="9"/>
      <c r="I7" s="9"/>
      <c r="J7" s="1" t="s">
        <v>76</v>
      </c>
      <c r="K7" s="1"/>
      <c r="L7" s="1"/>
      <c r="M7" s="1"/>
      <c r="N7" s="1"/>
    </row>
    <row r="8" spans="1:15" x14ac:dyDescent="0.25">
      <c r="A8" s="9" t="s">
        <v>1</v>
      </c>
      <c r="B8" s="9"/>
      <c r="C8" s="9"/>
      <c r="D8" s="9"/>
      <c r="E8" s="9"/>
      <c r="J8" s="3"/>
      <c r="K8" s="3"/>
      <c r="L8" s="3"/>
      <c r="M8" s="3"/>
      <c r="N8" s="3"/>
    </row>
    <row r="9" spans="1:15" x14ac:dyDescent="0.25">
      <c r="A9" s="97" t="s">
        <v>44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</row>
    <row r="10" spans="1:15" x14ac:dyDescent="0.25">
      <c r="A10" s="10" t="s">
        <v>45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</row>
    <row r="11" spans="1:15" x14ac:dyDescent="0.25">
      <c r="A11" s="98" t="s">
        <v>140</v>
      </c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</row>
    <row r="12" spans="1:15" x14ac:dyDescent="0.25">
      <c r="A12" s="98" t="s">
        <v>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I13" s="98" t="s">
        <v>18</v>
      </c>
      <c r="J13" s="98"/>
      <c r="K13" s="98"/>
      <c r="L13" s="6" t="s">
        <v>79</v>
      </c>
    </row>
    <row r="14" spans="1:15" x14ac:dyDescent="0.25">
      <c r="A14" s="6" t="s">
        <v>57</v>
      </c>
      <c r="I14" s="6" t="s">
        <v>19</v>
      </c>
      <c r="L14" s="27">
        <v>4</v>
      </c>
    </row>
    <row r="15" spans="1:15" ht="16.5" customHeight="1" x14ac:dyDescent="0.25">
      <c r="A15" s="104" t="s">
        <v>2</v>
      </c>
      <c r="B15" s="104" t="s">
        <v>3</v>
      </c>
      <c r="C15" s="104" t="s">
        <v>4</v>
      </c>
      <c r="D15" s="104" t="s">
        <v>5</v>
      </c>
      <c r="E15" s="104" t="s">
        <v>6</v>
      </c>
      <c r="F15" s="101" t="s">
        <v>7</v>
      </c>
      <c r="G15" s="102"/>
      <c r="H15" s="102"/>
      <c r="I15" s="103"/>
      <c r="J15" s="104" t="s">
        <v>12</v>
      </c>
      <c r="K15" s="104" t="s">
        <v>13</v>
      </c>
      <c r="L15" s="101" t="s">
        <v>14</v>
      </c>
      <c r="M15" s="103"/>
      <c r="N15" s="101" t="s">
        <v>15</v>
      </c>
      <c r="O15" s="103"/>
    </row>
    <row r="16" spans="1:15" ht="27.6" x14ac:dyDescent="0.25">
      <c r="A16" s="105"/>
      <c r="B16" s="105"/>
      <c r="C16" s="105"/>
      <c r="D16" s="105"/>
      <c r="E16" s="105"/>
      <c r="F16" s="4" t="s">
        <v>8</v>
      </c>
      <c r="G16" s="4" t="s">
        <v>9</v>
      </c>
      <c r="H16" s="4" t="s">
        <v>10</v>
      </c>
      <c r="I16" s="4" t="s">
        <v>11</v>
      </c>
      <c r="J16" s="105"/>
      <c r="K16" s="105"/>
      <c r="L16" s="4" t="s">
        <v>16</v>
      </c>
      <c r="M16" s="4" t="s">
        <v>17</v>
      </c>
      <c r="N16" s="4" t="s">
        <v>16</v>
      </c>
      <c r="O16" s="4" t="s">
        <v>17</v>
      </c>
    </row>
    <row r="17" spans="1:15" x14ac:dyDescent="0.25">
      <c r="A17" s="4">
        <v>1</v>
      </c>
      <c r="B17" s="4">
        <v>2</v>
      </c>
      <c r="C17" s="4">
        <v>3</v>
      </c>
      <c r="D17" s="4">
        <v>4</v>
      </c>
      <c r="E17" s="4">
        <v>5</v>
      </c>
      <c r="F17" s="4">
        <v>6</v>
      </c>
      <c r="G17" s="4">
        <v>7</v>
      </c>
      <c r="H17" s="4">
        <v>8</v>
      </c>
      <c r="I17" s="4">
        <v>9</v>
      </c>
      <c r="J17" s="4">
        <v>10</v>
      </c>
      <c r="K17" s="4">
        <v>11</v>
      </c>
      <c r="L17" s="4">
        <v>12</v>
      </c>
      <c r="M17" s="4">
        <v>13</v>
      </c>
      <c r="N17" s="4">
        <v>14</v>
      </c>
      <c r="O17" s="4">
        <v>15</v>
      </c>
    </row>
    <row r="18" spans="1:15" x14ac:dyDescent="0.25">
      <c r="A18" s="106" t="s">
        <v>20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8"/>
    </row>
    <row r="19" spans="1:15" ht="32.25" customHeight="1" x14ac:dyDescent="0.25">
      <c r="A19" s="11" t="s">
        <v>80</v>
      </c>
      <c r="B19" s="12"/>
      <c r="C19" s="4"/>
      <c r="D19" s="4"/>
      <c r="E19" s="4"/>
      <c r="F19" s="4"/>
      <c r="G19" s="13"/>
      <c r="H19" s="13"/>
      <c r="I19" s="13"/>
      <c r="J19" s="14"/>
      <c r="K19" s="14"/>
      <c r="L19" s="14"/>
      <c r="M19" s="14"/>
      <c r="N19" s="14"/>
      <c r="O19" s="14"/>
    </row>
    <row r="20" spans="1:15" ht="55.5" customHeight="1" x14ac:dyDescent="0.25">
      <c r="A20" s="11" t="s">
        <v>81</v>
      </c>
      <c r="B20" s="4">
        <v>1</v>
      </c>
      <c r="C20" s="4" t="s">
        <v>59</v>
      </c>
      <c r="D20" s="5">
        <v>3</v>
      </c>
      <c r="E20" s="5">
        <v>5</v>
      </c>
      <c r="F20" s="15">
        <v>96</v>
      </c>
      <c r="G20" s="13">
        <v>18486.5</v>
      </c>
      <c r="H20" s="13">
        <f>F20*2.1</f>
        <v>201.60000000000002</v>
      </c>
      <c r="I20" s="13">
        <f>+G20-H20</f>
        <v>18284.900000000001</v>
      </c>
      <c r="J20" s="13"/>
      <c r="K20" s="13">
        <f>+I20*(108.5/(100+E20))</f>
        <v>18894.396666666671</v>
      </c>
      <c r="L20" s="13"/>
      <c r="M20" s="13"/>
      <c r="N20" s="13"/>
      <c r="O20" s="13"/>
    </row>
    <row r="21" spans="1:15" ht="30.75" customHeight="1" x14ac:dyDescent="0.25">
      <c r="A21" s="16" t="s">
        <v>21</v>
      </c>
      <c r="B21" s="4"/>
      <c r="C21" s="4"/>
      <c r="D21" s="4"/>
      <c r="E21" s="13"/>
      <c r="F21" s="17">
        <f>SUM(F20:F20)</f>
        <v>96</v>
      </c>
      <c r="G21" s="18">
        <f>SUM(G20:G20)</f>
        <v>18486.5</v>
      </c>
      <c r="H21" s="18">
        <f>SUM(H20:H20)</f>
        <v>201.60000000000002</v>
      </c>
      <c r="I21" s="18">
        <f>SUM(I20:I20)</f>
        <v>18284.900000000001</v>
      </c>
      <c r="J21" s="18"/>
      <c r="K21" s="18">
        <f>SUM(K20:K20)</f>
        <v>18894.396666666671</v>
      </c>
      <c r="L21" s="18"/>
      <c r="M21" s="13"/>
      <c r="N21" s="13"/>
      <c r="O21" s="13"/>
    </row>
    <row r="22" spans="1:15" ht="14.25" customHeight="1" x14ac:dyDescent="0.25">
      <c r="A22" s="19"/>
      <c r="B22" s="20"/>
      <c r="C22" s="20"/>
      <c r="D22" s="20"/>
      <c r="E22" s="21"/>
      <c r="F22" s="22"/>
      <c r="G22" s="22"/>
      <c r="H22" s="22"/>
      <c r="I22" s="22"/>
      <c r="J22" s="22"/>
      <c r="K22" s="22"/>
      <c r="L22" s="22"/>
      <c r="M22" s="21"/>
      <c r="N22" s="21"/>
      <c r="O22" s="21"/>
    </row>
    <row r="23" spans="1:15" ht="14.4" x14ac:dyDescent="0.3">
      <c r="A23" s="109" t="s">
        <v>56</v>
      </c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</row>
    <row r="24" spans="1:15" ht="11.25" customHeight="1" x14ac:dyDescent="0.25"/>
    <row r="25" spans="1:15" x14ac:dyDescent="0.25">
      <c r="A25" s="6" t="s">
        <v>22</v>
      </c>
      <c r="D25" s="24">
        <f>+I21</f>
        <v>18284.900000000001</v>
      </c>
    </row>
    <row r="26" spans="1:15" x14ac:dyDescent="0.25">
      <c r="D26" s="25"/>
      <c r="G26" s="23"/>
      <c r="H26" s="23"/>
      <c r="I26" s="23"/>
      <c r="J26" s="23"/>
      <c r="K26" s="23"/>
    </row>
    <row r="27" spans="1:15" x14ac:dyDescent="0.25">
      <c r="A27" s="6" t="s">
        <v>23</v>
      </c>
      <c r="D27" s="24">
        <f>+G21</f>
        <v>18486.5</v>
      </c>
    </row>
    <row r="28" spans="1:15" ht="11.25" customHeight="1" x14ac:dyDescent="0.25">
      <c r="D28" s="24"/>
    </row>
    <row r="29" spans="1:15" ht="10.5" customHeight="1" x14ac:dyDescent="0.25"/>
    <row r="30" spans="1:15" x14ac:dyDescent="0.25">
      <c r="A30" s="95" t="s">
        <v>25</v>
      </c>
      <c r="B30" s="95"/>
      <c r="C30" s="95"/>
      <c r="D30" s="95"/>
      <c r="E30" s="95"/>
      <c r="F30" s="95"/>
      <c r="G30" s="95"/>
    </row>
    <row r="31" spans="1:15" ht="9.75" customHeight="1" x14ac:dyDescent="0.25"/>
    <row r="32" spans="1:15" x14ac:dyDescent="0.25">
      <c r="A32" s="95" t="s">
        <v>82</v>
      </c>
      <c r="B32" s="95"/>
      <c r="C32" s="95"/>
      <c r="D32" s="95"/>
      <c r="E32" s="95"/>
      <c r="F32" s="95"/>
      <c r="G32" s="95"/>
    </row>
    <row r="33" spans="1:15" ht="12" customHeight="1" x14ac:dyDescent="0.25"/>
    <row r="34" spans="1:15" x14ac:dyDescent="0.25">
      <c r="A34" s="95" t="s">
        <v>26</v>
      </c>
      <c r="B34" s="95"/>
      <c r="C34" s="95"/>
      <c r="D34" s="95"/>
      <c r="E34" s="95"/>
      <c r="F34" s="95"/>
      <c r="G34" s="95"/>
      <c r="I34" s="95"/>
      <c r="J34" s="95"/>
      <c r="K34" s="95"/>
      <c r="L34" s="95"/>
      <c r="M34" s="95"/>
      <c r="N34" s="95"/>
      <c r="O34" s="95"/>
    </row>
    <row r="35" spans="1:15" ht="11.25" customHeight="1" x14ac:dyDescent="0.25"/>
    <row r="36" spans="1:15" x14ac:dyDescent="0.25">
      <c r="A36" s="99" t="s">
        <v>34</v>
      </c>
      <c r="B36" s="99"/>
      <c r="C36" s="99"/>
      <c r="D36" s="99"/>
      <c r="E36" s="99"/>
      <c r="F36" s="99"/>
      <c r="G36" s="99"/>
      <c r="I36" s="100" t="s">
        <v>46</v>
      </c>
      <c r="J36" s="100"/>
      <c r="K36" s="100"/>
      <c r="L36" s="100"/>
      <c r="M36" s="100"/>
      <c r="N36" s="100"/>
      <c r="O36" s="100"/>
    </row>
  </sheetData>
  <mergeCells count="23">
    <mergeCell ref="A34:G34"/>
    <mergeCell ref="I34:O34"/>
    <mergeCell ref="A36:G36"/>
    <mergeCell ref="I36:O36"/>
    <mergeCell ref="F15:I15"/>
    <mergeCell ref="J15:J16"/>
    <mergeCell ref="K15:K16"/>
    <mergeCell ref="L15:M15"/>
    <mergeCell ref="N15:O15"/>
    <mergeCell ref="A18:O18"/>
    <mergeCell ref="A15:A16"/>
    <mergeCell ref="B15:B16"/>
    <mergeCell ref="C15:C16"/>
    <mergeCell ref="D15:D16"/>
    <mergeCell ref="E15:E16"/>
    <mergeCell ref="A23:O23"/>
    <mergeCell ref="A30:G30"/>
    <mergeCell ref="A32:G32"/>
    <mergeCell ref="A1:O1"/>
    <mergeCell ref="A9:N9"/>
    <mergeCell ref="A11:N11"/>
    <mergeCell ref="A12:N12"/>
    <mergeCell ref="I13:K13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rgb="FF00B050"/>
  </sheetPr>
  <dimension ref="A1:O40"/>
  <sheetViews>
    <sheetView workbookViewId="0">
      <selection activeCell="A23" sqref="A23:O24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30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96" t="s">
        <v>86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</row>
    <row r="3" spans="1:15" x14ac:dyDescent="0.25">
      <c r="A3" s="7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7" t="s">
        <v>83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5" x14ac:dyDescent="0.25">
      <c r="A5" s="8" t="s">
        <v>41</v>
      </c>
      <c r="B5" s="8"/>
      <c r="C5" s="8"/>
      <c r="D5" s="8"/>
      <c r="E5" s="8"/>
      <c r="F5" s="8"/>
      <c r="G5" s="8"/>
      <c r="H5" s="8"/>
      <c r="I5" s="8"/>
      <c r="J5" s="3" t="s">
        <v>48</v>
      </c>
      <c r="K5" s="2"/>
      <c r="L5" s="2"/>
      <c r="M5" s="2"/>
      <c r="N5" s="2"/>
    </row>
    <row r="6" spans="1:15" x14ac:dyDescent="0.25">
      <c r="A6" s="6" t="s">
        <v>42</v>
      </c>
      <c r="F6" s="9"/>
      <c r="G6" s="9"/>
      <c r="H6" s="9"/>
      <c r="I6" s="9"/>
      <c r="J6" s="3"/>
      <c r="K6" s="3"/>
      <c r="L6" s="1"/>
      <c r="M6" s="1"/>
      <c r="N6" s="1"/>
    </row>
    <row r="7" spans="1:15" x14ac:dyDescent="0.25">
      <c r="A7" s="9" t="s">
        <v>140</v>
      </c>
      <c r="B7" s="9"/>
      <c r="C7" s="9"/>
      <c r="D7" s="9"/>
      <c r="E7" s="9"/>
      <c r="F7" s="9"/>
      <c r="G7" s="9"/>
      <c r="H7" s="9"/>
      <c r="I7" s="9"/>
      <c r="J7" s="3" t="s">
        <v>51</v>
      </c>
      <c r="K7" s="1"/>
      <c r="L7" s="1"/>
      <c r="M7" s="1"/>
      <c r="N7" s="1"/>
    </row>
    <row r="8" spans="1:15" x14ac:dyDescent="0.25">
      <c r="A8" s="9" t="s">
        <v>43</v>
      </c>
      <c r="B8" s="9"/>
      <c r="C8" s="9"/>
      <c r="D8" s="9"/>
      <c r="E8" s="9"/>
      <c r="F8" s="9"/>
      <c r="G8" s="9"/>
      <c r="H8" s="9"/>
      <c r="I8" s="9"/>
      <c r="J8" s="3" t="s">
        <v>49</v>
      </c>
      <c r="K8" s="1"/>
      <c r="L8" s="1"/>
      <c r="M8" s="1"/>
      <c r="N8" s="1"/>
    </row>
    <row r="9" spans="1:15" x14ac:dyDescent="0.25">
      <c r="A9" s="9" t="s">
        <v>1</v>
      </c>
      <c r="B9" s="9"/>
      <c r="C9" s="9"/>
      <c r="D9" s="9"/>
      <c r="E9" s="9"/>
      <c r="J9" s="3"/>
      <c r="K9" s="3"/>
      <c r="L9" s="3"/>
      <c r="M9" s="3"/>
      <c r="N9" s="3"/>
    </row>
    <row r="10" spans="1:15" x14ac:dyDescent="0.25">
      <c r="A10" s="97" t="s">
        <v>69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</row>
    <row r="11" spans="1:15" x14ac:dyDescent="0.25">
      <c r="A11" s="10" t="s">
        <v>70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5" x14ac:dyDescent="0.25">
      <c r="A12" s="98" t="s">
        <v>71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A13" s="6" t="s">
        <v>43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</row>
    <row r="14" spans="1:15" x14ac:dyDescent="0.25">
      <c r="A14" s="98" t="s">
        <v>72</v>
      </c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</row>
    <row r="15" spans="1:15" x14ac:dyDescent="0.25">
      <c r="A15" s="29" t="s">
        <v>73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</row>
    <row r="16" spans="1:15" x14ac:dyDescent="0.25">
      <c r="I16" s="98" t="s">
        <v>18</v>
      </c>
      <c r="J16" s="98"/>
      <c r="K16" s="98"/>
      <c r="L16" s="6" t="s">
        <v>24</v>
      </c>
    </row>
    <row r="17" spans="1:15" x14ac:dyDescent="0.25">
      <c r="A17" s="6" t="s">
        <v>55</v>
      </c>
      <c r="I17" s="6" t="s">
        <v>19</v>
      </c>
      <c r="L17" s="29">
        <v>4</v>
      </c>
    </row>
    <row r="18" spans="1:15" ht="16.5" customHeight="1" x14ac:dyDescent="0.25">
      <c r="A18" s="104" t="s">
        <v>2</v>
      </c>
      <c r="B18" s="104" t="s">
        <v>3</v>
      </c>
      <c r="C18" s="104" t="s">
        <v>4</v>
      </c>
      <c r="D18" s="104" t="s">
        <v>5</v>
      </c>
      <c r="E18" s="104" t="s">
        <v>6</v>
      </c>
      <c r="F18" s="101" t="s">
        <v>7</v>
      </c>
      <c r="G18" s="102"/>
      <c r="H18" s="102"/>
      <c r="I18" s="103"/>
      <c r="J18" s="104" t="s">
        <v>12</v>
      </c>
      <c r="K18" s="104" t="s">
        <v>13</v>
      </c>
      <c r="L18" s="101" t="s">
        <v>14</v>
      </c>
      <c r="M18" s="103"/>
      <c r="N18" s="101" t="s">
        <v>15</v>
      </c>
      <c r="O18" s="103"/>
    </row>
    <row r="19" spans="1:15" ht="27.6" x14ac:dyDescent="0.25">
      <c r="A19" s="105"/>
      <c r="B19" s="105"/>
      <c r="C19" s="105"/>
      <c r="D19" s="105"/>
      <c r="E19" s="105"/>
      <c r="F19" s="4" t="s">
        <v>8</v>
      </c>
      <c r="G19" s="4" t="s">
        <v>9</v>
      </c>
      <c r="H19" s="4" t="s">
        <v>10</v>
      </c>
      <c r="I19" s="4" t="s">
        <v>11</v>
      </c>
      <c r="J19" s="105"/>
      <c r="K19" s="105"/>
      <c r="L19" s="4" t="s">
        <v>16</v>
      </c>
      <c r="M19" s="4" t="s">
        <v>17</v>
      </c>
      <c r="N19" s="4" t="s">
        <v>16</v>
      </c>
      <c r="O19" s="4" t="s">
        <v>17</v>
      </c>
    </row>
    <row r="20" spans="1:15" x14ac:dyDescent="0.25">
      <c r="A20" s="4">
        <v>1</v>
      </c>
      <c r="B20" s="4">
        <v>2</v>
      </c>
      <c r="C20" s="4">
        <v>3</v>
      </c>
      <c r="D20" s="4">
        <v>4</v>
      </c>
      <c r="E20" s="4">
        <v>5</v>
      </c>
      <c r="F20" s="4">
        <v>6</v>
      </c>
      <c r="G20" s="4">
        <v>7</v>
      </c>
      <c r="H20" s="4">
        <v>8</v>
      </c>
      <c r="I20" s="4">
        <v>9</v>
      </c>
      <c r="J20" s="4">
        <v>10</v>
      </c>
      <c r="K20" s="4">
        <v>11</v>
      </c>
      <c r="L20" s="4">
        <v>12</v>
      </c>
      <c r="M20" s="4">
        <v>13</v>
      </c>
      <c r="N20" s="4">
        <v>14</v>
      </c>
      <c r="O20" s="4">
        <v>15</v>
      </c>
    </row>
    <row r="21" spans="1:15" x14ac:dyDescent="0.25">
      <c r="A21" s="106" t="s">
        <v>20</v>
      </c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8"/>
    </row>
    <row r="22" spans="1:15" ht="32.25" customHeight="1" x14ac:dyDescent="0.25">
      <c r="A22" s="11" t="s">
        <v>80</v>
      </c>
      <c r="B22" s="12"/>
      <c r="C22" s="4"/>
      <c r="D22" s="4"/>
      <c r="E22" s="4"/>
      <c r="F22" s="4"/>
      <c r="G22" s="13"/>
      <c r="H22" s="13"/>
      <c r="I22" s="13"/>
      <c r="J22" s="14"/>
      <c r="K22" s="14"/>
      <c r="L22" s="14"/>
      <c r="M22" s="14"/>
      <c r="N22" s="14"/>
      <c r="O22" s="14"/>
    </row>
    <row r="23" spans="1:15" ht="36" customHeight="1" x14ac:dyDescent="0.25">
      <c r="A23" s="11" t="s">
        <v>84</v>
      </c>
      <c r="B23" s="4">
        <v>1</v>
      </c>
      <c r="C23" s="4" t="s">
        <v>66</v>
      </c>
      <c r="D23" s="5">
        <v>4</v>
      </c>
      <c r="E23" s="5">
        <v>5</v>
      </c>
      <c r="F23" s="15">
        <v>12</v>
      </c>
      <c r="G23" s="13">
        <v>2201.1</v>
      </c>
      <c r="H23" s="13">
        <f>F23*2.1</f>
        <v>25.200000000000003</v>
      </c>
      <c r="I23" s="13">
        <f>+G23-H23</f>
        <v>2175.9</v>
      </c>
      <c r="J23" s="13"/>
      <c r="K23" s="13">
        <f>+I23*(108.5/(100+E23))</f>
        <v>2248.4300000000003</v>
      </c>
      <c r="L23" s="13"/>
      <c r="M23" s="13"/>
      <c r="N23" s="13"/>
      <c r="O23" s="13"/>
    </row>
    <row r="24" spans="1:15" ht="36" customHeight="1" x14ac:dyDescent="0.25">
      <c r="A24" s="11" t="s">
        <v>85</v>
      </c>
      <c r="B24" s="4">
        <v>1</v>
      </c>
      <c r="C24" s="4" t="s">
        <v>27</v>
      </c>
      <c r="D24" s="5">
        <v>2.5</v>
      </c>
      <c r="E24" s="5">
        <v>5</v>
      </c>
      <c r="F24" s="15">
        <v>84</v>
      </c>
      <c r="G24" s="13">
        <v>15731.7</v>
      </c>
      <c r="H24" s="13">
        <f>F24*2.1</f>
        <v>176.4</v>
      </c>
      <c r="I24" s="13">
        <f>+G24-H24</f>
        <v>15555.300000000001</v>
      </c>
      <c r="J24" s="13"/>
      <c r="K24" s="13">
        <f>+I24*(108.5/(100+E24))</f>
        <v>16073.810000000003</v>
      </c>
      <c r="L24" s="13"/>
      <c r="M24" s="13"/>
      <c r="N24" s="13"/>
      <c r="O24" s="13"/>
    </row>
    <row r="25" spans="1:15" ht="30.75" customHeight="1" x14ac:dyDescent="0.25">
      <c r="A25" s="16" t="s">
        <v>21</v>
      </c>
      <c r="B25" s="4"/>
      <c r="C25" s="4"/>
      <c r="D25" s="4"/>
      <c r="E25" s="13"/>
      <c r="F25" s="17">
        <f>SUM(F23:F24)</f>
        <v>96</v>
      </c>
      <c r="G25" s="18">
        <f>SUM(G23:G24)</f>
        <v>17932.8</v>
      </c>
      <c r="H25" s="18">
        <f>SUM(H23:H24)</f>
        <v>201.60000000000002</v>
      </c>
      <c r="I25" s="18">
        <f>SUM(I23:I24)</f>
        <v>17731.2</v>
      </c>
      <c r="J25" s="18"/>
      <c r="K25" s="18">
        <f>SUM(K23:K24)</f>
        <v>18322.240000000005</v>
      </c>
      <c r="L25" s="18"/>
      <c r="M25" s="13"/>
      <c r="N25" s="13"/>
      <c r="O25" s="13"/>
    </row>
    <row r="26" spans="1:15" ht="14.25" customHeight="1" x14ac:dyDescent="0.25">
      <c r="A26" s="19"/>
      <c r="B26" s="20"/>
      <c r="C26" s="20"/>
      <c r="D26" s="20"/>
      <c r="E26" s="21"/>
      <c r="F26" s="22"/>
      <c r="G26" s="22"/>
      <c r="H26" s="22"/>
      <c r="I26" s="22"/>
      <c r="J26" s="22"/>
      <c r="K26" s="22"/>
      <c r="L26" s="22"/>
      <c r="M26" s="21"/>
      <c r="N26" s="21"/>
      <c r="O26" s="21"/>
    </row>
    <row r="27" spans="1:15" ht="14.4" x14ac:dyDescent="0.3">
      <c r="A27" s="109" t="s">
        <v>56</v>
      </c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</row>
    <row r="28" spans="1:15" ht="11.25" customHeight="1" x14ac:dyDescent="0.25"/>
    <row r="29" spans="1:15" x14ac:dyDescent="0.25">
      <c r="A29" s="6" t="s">
        <v>22</v>
      </c>
      <c r="D29" s="24">
        <f>+I25</f>
        <v>17731.2</v>
      </c>
    </row>
    <row r="30" spans="1:15" x14ac:dyDescent="0.25">
      <c r="D30" s="25"/>
      <c r="G30" s="23"/>
      <c r="H30" s="23"/>
      <c r="I30" s="23"/>
      <c r="J30" s="23"/>
      <c r="K30" s="23"/>
    </row>
    <row r="31" spans="1:15" x14ac:dyDescent="0.25">
      <c r="A31" s="6" t="s">
        <v>23</v>
      </c>
      <c r="D31" s="24">
        <f>+G25</f>
        <v>17932.8</v>
      </c>
    </row>
    <row r="32" spans="1:15" ht="11.25" customHeight="1" x14ac:dyDescent="0.25">
      <c r="D32" s="24"/>
    </row>
    <row r="33" spans="1:15" ht="10.5" customHeight="1" x14ac:dyDescent="0.25"/>
    <row r="34" spans="1:15" x14ac:dyDescent="0.25">
      <c r="A34" s="95" t="s">
        <v>25</v>
      </c>
      <c r="B34" s="95"/>
      <c r="C34" s="95"/>
      <c r="D34" s="95"/>
      <c r="E34" s="95"/>
      <c r="F34" s="95"/>
      <c r="G34" s="95"/>
    </row>
    <row r="35" spans="1:15" ht="9.75" customHeight="1" x14ac:dyDescent="0.25"/>
    <row r="36" spans="1:15" x14ac:dyDescent="0.25">
      <c r="A36" s="95" t="s">
        <v>82</v>
      </c>
      <c r="B36" s="95"/>
      <c r="C36" s="95"/>
      <c r="D36" s="95"/>
      <c r="E36" s="95"/>
      <c r="F36" s="95"/>
      <c r="G36" s="95"/>
    </row>
    <row r="37" spans="1:15" ht="12" customHeight="1" x14ac:dyDescent="0.25"/>
    <row r="38" spans="1:15" x14ac:dyDescent="0.25">
      <c r="A38" s="95" t="s">
        <v>26</v>
      </c>
      <c r="B38" s="95"/>
      <c r="C38" s="95"/>
      <c r="D38" s="95"/>
      <c r="E38" s="95"/>
      <c r="F38" s="95"/>
      <c r="G38" s="95"/>
      <c r="I38" s="95"/>
      <c r="J38" s="95"/>
      <c r="K38" s="95"/>
      <c r="L38" s="95"/>
      <c r="M38" s="95"/>
      <c r="N38" s="95"/>
      <c r="O38" s="95"/>
    </row>
    <row r="39" spans="1:15" ht="11.25" customHeight="1" x14ac:dyDescent="0.25"/>
    <row r="40" spans="1:15" x14ac:dyDescent="0.25">
      <c r="A40" s="110" t="s">
        <v>50</v>
      </c>
      <c r="B40" s="110"/>
      <c r="C40" s="110"/>
      <c r="D40" s="110"/>
      <c r="E40" s="110"/>
      <c r="F40" s="110"/>
      <c r="G40" s="110"/>
      <c r="I40" s="100" t="s">
        <v>87</v>
      </c>
      <c r="J40" s="100"/>
      <c r="K40" s="100"/>
      <c r="L40" s="100"/>
      <c r="M40" s="100"/>
      <c r="N40" s="100"/>
      <c r="O40" s="100"/>
    </row>
  </sheetData>
  <mergeCells count="24">
    <mergeCell ref="A27:O27"/>
    <mergeCell ref="F18:I18"/>
    <mergeCell ref="J18:J19"/>
    <mergeCell ref="K18:K19"/>
    <mergeCell ref="L18:M18"/>
    <mergeCell ref="N18:O18"/>
    <mergeCell ref="A21:O21"/>
    <mergeCell ref="A34:G34"/>
    <mergeCell ref="A36:G36"/>
    <mergeCell ref="A38:G38"/>
    <mergeCell ref="I38:O38"/>
    <mergeCell ref="A40:G40"/>
    <mergeCell ref="I40:O40"/>
    <mergeCell ref="A1:O1"/>
    <mergeCell ref="I16:K16"/>
    <mergeCell ref="A18:A19"/>
    <mergeCell ref="B18:B19"/>
    <mergeCell ref="C18:C19"/>
    <mergeCell ref="D18:D19"/>
    <mergeCell ref="E18:E19"/>
    <mergeCell ref="A2:O2"/>
    <mergeCell ref="A10:N10"/>
    <mergeCell ref="A12:N12"/>
    <mergeCell ref="A14:N14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tabColor rgb="FF00B050"/>
  </sheetPr>
  <dimension ref="A1:O39"/>
  <sheetViews>
    <sheetView workbookViewId="0">
      <selection activeCell="J5" sqref="J5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33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96" t="s">
        <v>86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</row>
    <row r="3" spans="1:15" x14ac:dyDescent="0.25">
      <c r="A3" s="7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7" t="s">
        <v>83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5" x14ac:dyDescent="0.25">
      <c r="A5" s="8" t="s">
        <v>41</v>
      </c>
      <c r="B5" s="8"/>
      <c r="C5" s="8"/>
      <c r="D5" s="8"/>
      <c r="E5" s="8"/>
      <c r="F5" s="8"/>
      <c r="G5" s="8"/>
      <c r="H5" s="8"/>
      <c r="I5" s="8"/>
      <c r="J5" s="3" t="s">
        <v>38</v>
      </c>
      <c r="K5" s="2"/>
      <c r="L5" s="2"/>
      <c r="M5" s="2"/>
      <c r="N5" s="2"/>
    </row>
    <row r="6" spans="1:15" x14ac:dyDescent="0.25">
      <c r="A6" s="6" t="s">
        <v>42</v>
      </c>
      <c r="F6" s="9"/>
      <c r="G6" s="9"/>
      <c r="H6" s="9"/>
      <c r="I6" s="9"/>
      <c r="J6" s="3"/>
      <c r="K6" s="3"/>
      <c r="L6" s="1"/>
      <c r="M6" s="1"/>
      <c r="N6" s="1"/>
    </row>
    <row r="7" spans="1:15" x14ac:dyDescent="0.25">
      <c r="A7" s="9" t="s">
        <v>140</v>
      </c>
      <c r="B7" s="9"/>
      <c r="C7" s="9"/>
      <c r="D7" s="9"/>
      <c r="E7" s="9"/>
      <c r="F7" s="9"/>
      <c r="G7" s="9"/>
      <c r="H7" s="9"/>
      <c r="I7" s="9"/>
      <c r="J7" s="3" t="s">
        <v>77</v>
      </c>
      <c r="K7" s="1"/>
      <c r="L7" s="1"/>
      <c r="M7" s="1"/>
      <c r="N7" s="1"/>
    </row>
    <row r="8" spans="1:15" x14ac:dyDescent="0.25">
      <c r="A8" s="9" t="s">
        <v>43</v>
      </c>
      <c r="B8" s="9"/>
      <c r="C8" s="9"/>
      <c r="D8" s="9"/>
      <c r="E8" s="9"/>
      <c r="F8" s="9"/>
      <c r="G8" s="9"/>
      <c r="H8" s="9"/>
      <c r="I8" s="9"/>
      <c r="J8" s="3" t="s">
        <v>39</v>
      </c>
      <c r="K8" s="1"/>
      <c r="L8" s="1"/>
      <c r="M8" s="1"/>
      <c r="N8" s="1"/>
    </row>
    <row r="9" spans="1:15" x14ac:dyDescent="0.25">
      <c r="A9" s="9" t="s">
        <v>1</v>
      </c>
      <c r="B9" s="9"/>
      <c r="C9" s="9"/>
      <c r="D9" s="9"/>
      <c r="E9" s="9"/>
      <c r="J9" s="3"/>
      <c r="K9" s="3"/>
      <c r="L9" s="3"/>
      <c r="M9" s="3"/>
      <c r="N9" s="3"/>
    </row>
    <row r="10" spans="1:15" x14ac:dyDescent="0.25">
      <c r="A10" s="97" t="s">
        <v>69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</row>
    <row r="11" spans="1:15" x14ac:dyDescent="0.25">
      <c r="A11" s="10" t="s">
        <v>70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5" x14ac:dyDescent="0.25">
      <c r="A12" s="98" t="s">
        <v>71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A13" s="6" t="s">
        <v>43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</row>
    <row r="14" spans="1:15" x14ac:dyDescent="0.25">
      <c r="A14" s="98" t="s">
        <v>72</v>
      </c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</row>
    <row r="15" spans="1:15" x14ac:dyDescent="0.25">
      <c r="A15" s="29" t="s">
        <v>73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</row>
    <row r="16" spans="1:15" x14ac:dyDescent="0.25">
      <c r="I16" s="98" t="s">
        <v>18</v>
      </c>
      <c r="J16" s="98"/>
      <c r="K16" s="98"/>
      <c r="L16" s="6" t="s">
        <v>24</v>
      </c>
    </row>
    <row r="17" spans="1:15" x14ac:dyDescent="0.25">
      <c r="A17" s="6" t="s">
        <v>55</v>
      </c>
      <c r="I17" s="6" t="s">
        <v>19</v>
      </c>
      <c r="L17" s="29">
        <v>4</v>
      </c>
    </row>
    <row r="18" spans="1:15" ht="16.5" customHeight="1" x14ac:dyDescent="0.25">
      <c r="A18" s="104" t="s">
        <v>2</v>
      </c>
      <c r="B18" s="104" t="s">
        <v>3</v>
      </c>
      <c r="C18" s="104" t="s">
        <v>4</v>
      </c>
      <c r="D18" s="104" t="s">
        <v>5</v>
      </c>
      <c r="E18" s="104" t="s">
        <v>6</v>
      </c>
      <c r="F18" s="101" t="s">
        <v>7</v>
      </c>
      <c r="G18" s="102"/>
      <c r="H18" s="102"/>
      <c r="I18" s="103"/>
      <c r="J18" s="104" t="s">
        <v>12</v>
      </c>
      <c r="K18" s="104" t="s">
        <v>13</v>
      </c>
      <c r="L18" s="101" t="s">
        <v>14</v>
      </c>
      <c r="M18" s="103"/>
      <c r="N18" s="101" t="s">
        <v>15</v>
      </c>
      <c r="O18" s="103"/>
    </row>
    <row r="19" spans="1:15" ht="27.6" x14ac:dyDescent="0.25">
      <c r="A19" s="105"/>
      <c r="B19" s="105"/>
      <c r="C19" s="105"/>
      <c r="D19" s="105"/>
      <c r="E19" s="105"/>
      <c r="F19" s="4" t="s">
        <v>8</v>
      </c>
      <c r="G19" s="4" t="s">
        <v>9</v>
      </c>
      <c r="H19" s="4" t="s">
        <v>10</v>
      </c>
      <c r="I19" s="4" t="s">
        <v>11</v>
      </c>
      <c r="J19" s="105"/>
      <c r="K19" s="105"/>
      <c r="L19" s="4" t="s">
        <v>16</v>
      </c>
      <c r="M19" s="4" t="s">
        <v>17</v>
      </c>
      <c r="N19" s="4" t="s">
        <v>16</v>
      </c>
      <c r="O19" s="4" t="s">
        <v>17</v>
      </c>
    </row>
    <row r="20" spans="1:15" x14ac:dyDescent="0.25">
      <c r="A20" s="4">
        <v>1</v>
      </c>
      <c r="B20" s="4">
        <v>2</v>
      </c>
      <c r="C20" s="4">
        <v>3</v>
      </c>
      <c r="D20" s="4">
        <v>4</v>
      </c>
      <c r="E20" s="4">
        <v>5</v>
      </c>
      <c r="F20" s="4">
        <v>6</v>
      </c>
      <c r="G20" s="4">
        <v>7</v>
      </c>
      <c r="H20" s="4">
        <v>8</v>
      </c>
      <c r="I20" s="4">
        <v>9</v>
      </c>
      <c r="J20" s="4">
        <v>10</v>
      </c>
      <c r="K20" s="4">
        <v>11</v>
      </c>
      <c r="L20" s="4">
        <v>12</v>
      </c>
      <c r="M20" s="4">
        <v>13</v>
      </c>
      <c r="N20" s="4">
        <v>14</v>
      </c>
      <c r="O20" s="4">
        <v>15</v>
      </c>
    </row>
    <row r="21" spans="1:15" x14ac:dyDescent="0.25">
      <c r="A21" s="106" t="s">
        <v>20</v>
      </c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8"/>
    </row>
    <row r="22" spans="1:15" ht="32.25" customHeight="1" x14ac:dyDescent="0.25">
      <c r="A22" s="11" t="s">
        <v>80</v>
      </c>
      <c r="B22" s="12"/>
      <c r="C22" s="4"/>
      <c r="D22" s="4"/>
      <c r="E22" s="4"/>
      <c r="F22" s="4"/>
      <c r="G22" s="13"/>
      <c r="H22" s="13"/>
      <c r="I22" s="13"/>
      <c r="J22" s="14"/>
      <c r="K22" s="14"/>
      <c r="L22" s="14"/>
      <c r="M22" s="14"/>
      <c r="N22" s="14"/>
      <c r="O22" s="14"/>
    </row>
    <row r="23" spans="1:15" ht="45.75" customHeight="1" x14ac:dyDescent="0.25">
      <c r="A23" s="11" t="s">
        <v>88</v>
      </c>
      <c r="B23" s="4">
        <v>1</v>
      </c>
      <c r="C23" s="4" t="s">
        <v>27</v>
      </c>
      <c r="D23" s="5">
        <v>2.5</v>
      </c>
      <c r="E23" s="5">
        <v>5</v>
      </c>
      <c r="F23" s="15">
        <v>72</v>
      </c>
      <c r="G23" s="13">
        <v>13499.7</v>
      </c>
      <c r="H23" s="13">
        <f>F23*2.1</f>
        <v>151.20000000000002</v>
      </c>
      <c r="I23" s="13">
        <f>+G23-H23</f>
        <v>13348.5</v>
      </c>
      <c r="J23" s="13"/>
      <c r="K23" s="13">
        <f>+I23*(108.5/(100+E23))</f>
        <v>13793.45</v>
      </c>
      <c r="L23" s="13"/>
      <c r="M23" s="13"/>
      <c r="N23" s="13"/>
      <c r="O23" s="13"/>
    </row>
    <row r="24" spans="1:15" ht="30.75" customHeight="1" x14ac:dyDescent="0.25">
      <c r="A24" s="16" t="s">
        <v>21</v>
      </c>
      <c r="B24" s="4"/>
      <c r="C24" s="4"/>
      <c r="D24" s="4"/>
      <c r="E24" s="13"/>
      <c r="F24" s="17">
        <f>SUM(F23:F23)</f>
        <v>72</v>
      </c>
      <c r="G24" s="18">
        <f>SUM(G23:G23)</f>
        <v>13499.7</v>
      </c>
      <c r="H24" s="18">
        <f>SUM(H23:H23)</f>
        <v>151.20000000000002</v>
      </c>
      <c r="I24" s="18">
        <f>SUM(I23:I23)</f>
        <v>13348.5</v>
      </c>
      <c r="J24" s="18"/>
      <c r="K24" s="18">
        <f>SUM(K23:K23)</f>
        <v>13793.45</v>
      </c>
      <c r="L24" s="18"/>
      <c r="M24" s="13"/>
      <c r="N24" s="13"/>
      <c r="O24" s="13"/>
    </row>
    <row r="25" spans="1:15" ht="14.25" customHeight="1" x14ac:dyDescent="0.25">
      <c r="A25" s="19"/>
      <c r="B25" s="20"/>
      <c r="C25" s="20"/>
      <c r="D25" s="20"/>
      <c r="E25" s="21"/>
      <c r="F25" s="22"/>
      <c r="G25" s="22"/>
      <c r="H25" s="22"/>
      <c r="I25" s="22"/>
      <c r="J25" s="22"/>
      <c r="K25" s="22"/>
      <c r="L25" s="22"/>
      <c r="M25" s="21"/>
      <c r="N25" s="21"/>
      <c r="O25" s="21"/>
    </row>
    <row r="26" spans="1:15" ht="14.4" x14ac:dyDescent="0.3">
      <c r="A26" s="109" t="s">
        <v>56</v>
      </c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</row>
    <row r="27" spans="1:15" ht="11.25" customHeight="1" x14ac:dyDescent="0.25"/>
    <row r="28" spans="1:15" x14ac:dyDescent="0.25">
      <c r="A28" s="6" t="s">
        <v>22</v>
      </c>
      <c r="D28" s="24">
        <f>+I24</f>
        <v>13348.5</v>
      </c>
    </row>
    <row r="29" spans="1:15" x14ac:dyDescent="0.25">
      <c r="D29" s="25"/>
      <c r="G29" s="23"/>
      <c r="H29" s="23"/>
      <c r="I29" s="23"/>
      <c r="J29" s="23"/>
      <c r="K29" s="23"/>
    </row>
    <row r="30" spans="1:15" x14ac:dyDescent="0.25">
      <c r="A30" s="6" t="s">
        <v>23</v>
      </c>
      <c r="D30" s="24">
        <f>+G24</f>
        <v>13499.7</v>
      </c>
    </row>
    <row r="31" spans="1:15" ht="11.25" customHeight="1" x14ac:dyDescent="0.25">
      <c r="D31" s="24"/>
    </row>
    <row r="32" spans="1:15" ht="10.5" customHeight="1" x14ac:dyDescent="0.25"/>
    <row r="33" spans="1:15" x14ac:dyDescent="0.25">
      <c r="A33" s="95" t="s">
        <v>25</v>
      </c>
      <c r="B33" s="95"/>
      <c r="C33" s="95"/>
      <c r="D33" s="95"/>
      <c r="E33" s="95"/>
      <c r="F33" s="95"/>
      <c r="G33" s="95"/>
    </row>
    <row r="34" spans="1:15" ht="9.75" customHeight="1" x14ac:dyDescent="0.25"/>
    <row r="35" spans="1:15" x14ac:dyDescent="0.25">
      <c r="A35" s="95" t="s">
        <v>82</v>
      </c>
      <c r="B35" s="95"/>
      <c r="C35" s="95"/>
      <c r="D35" s="95"/>
      <c r="E35" s="95"/>
      <c r="F35" s="95"/>
      <c r="G35" s="95"/>
    </row>
    <row r="36" spans="1:15" ht="12" customHeight="1" x14ac:dyDescent="0.25"/>
    <row r="37" spans="1:15" x14ac:dyDescent="0.25">
      <c r="A37" s="95" t="s">
        <v>26</v>
      </c>
      <c r="B37" s="95"/>
      <c r="C37" s="95"/>
      <c r="D37" s="95"/>
      <c r="E37" s="95"/>
      <c r="F37" s="95"/>
      <c r="G37" s="95"/>
      <c r="I37" s="95"/>
      <c r="J37" s="95"/>
      <c r="K37" s="95"/>
      <c r="L37" s="95"/>
      <c r="M37" s="95"/>
      <c r="N37" s="95"/>
      <c r="O37" s="95"/>
    </row>
    <row r="38" spans="1:15" ht="11.25" customHeight="1" x14ac:dyDescent="0.25"/>
    <row r="39" spans="1:15" x14ac:dyDescent="0.25">
      <c r="A39" s="110" t="s">
        <v>40</v>
      </c>
      <c r="B39" s="110"/>
      <c r="C39" s="110"/>
      <c r="D39" s="110"/>
      <c r="E39" s="110"/>
      <c r="F39" s="110"/>
      <c r="G39" s="110"/>
      <c r="I39" s="100" t="s">
        <v>87</v>
      </c>
      <c r="J39" s="100"/>
      <c r="K39" s="100"/>
      <c r="L39" s="100"/>
      <c r="M39" s="100"/>
      <c r="N39" s="100"/>
      <c r="O39" s="100"/>
    </row>
  </sheetData>
  <mergeCells count="24">
    <mergeCell ref="A26:O26"/>
    <mergeCell ref="F18:I18"/>
    <mergeCell ref="J18:J19"/>
    <mergeCell ref="K18:K19"/>
    <mergeCell ref="L18:M18"/>
    <mergeCell ref="N18:O18"/>
    <mergeCell ref="A21:O21"/>
    <mergeCell ref="A33:G33"/>
    <mergeCell ref="A35:G35"/>
    <mergeCell ref="A37:G37"/>
    <mergeCell ref="I37:O37"/>
    <mergeCell ref="A39:G39"/>
    <mergeCell ref="I39:O39"/>
    <mergeCell ref="A1:O1"/>
    <mergeCell ref="I16:K16"/>
    <mergeCell ref="A18:A19"/>
    <mergeCell ref="B18:B19"/>
    <mergeCell ref="C18:C19"/>
    <mergeCell ref="D18:D19"/>
    <mergeCell ref="E18:E19"/>
    <mergeCell ref="A2:O2"/>
    <mergeCell ref="A10:N10"/>
    <mergeCell ref="A12:N12"/>
    <mergeCell ref="A14:N14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tabColor rgb="FF00B050"/>
  </sheetPr>
  <dimension ref="A1:O41"/>
  <sheetViews>
    <sheetView topLeftCell="A4" workbookViewId="0">
      <selection activeCell="A23" sqref="A23:K25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35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96" t="s">
        <v>86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</row>
    <row r="3" spans="1:15" x14ac:dyDescent="0.25">
      <c r="A3" s="7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7" t="s">
        <v>89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5" x14ac:dyDescent="0.25">
      <c r="A5" s="8" t="s">
        <v>41</v>
      </c>
      <c r="B5" s="8"/>
      <c r="C5" s="8"/>
      <c r="D5" s="8"/>
      <c r="E5" s="8"/>
      <c r="F5" s="8"/>
      <c r="G5" s="8"/>
      <c r="H5" s="8"/>
      <c r="I5" s="8"/>
      <c r="J5" s="3" t="s">
        <v>67</v>
      </c>
      <c r="K5" s="2"/>
      <c r="L5" s="2"/>
      <c r="M5" s="2"/>
      <c r="N5" s="2"/>
    </row>
    <row r="6" spans="1:15" x14ac:dyDescent="0.25">
      <c r="A6" s="6" t="s">
        <v>42</v>
      </c>
      <c r="F6" s="9"/>
      <c r="G6" s="9"/>
      <c r="H6" s="9"/>
      <c r="I6" s="9"/>
      <c r="J6" s="3"/>
      <c r="K6" s="3"/>
      <c r="L6" s="1"/>
      <c r="M6" s="1"/>
      <c r="N6" s="1"/>
    </row>
    <row r="7" spans="1:15" x14ac:dyDescent="0.25">
      <c r="A7" s="9" t="s">
        <v>140</v>
      </c>
      <c r="B7" s="9"/>
      <c r="C7" s="9"/>
      <c r="D7" s="9"/>
      <c r="E7" s="9"/>
      <c r="F7" s="9"/>
      <c r="G7" s="9"/>
      <c r="H7" s="9"/>
      <c r="I7" s="9"/>
      <c r="J7" s="3" t="s">
        <v>31</v>
      </c>
      <c r="K7" s="1"/>
      <c r="L7" s="1"/>
      <c r="M7" s="1"/>
      <c r="N7" s="1"/>
    </row>
    <row r="8" spans="1:15" x14ac:dyDescent="0.25">
      <c r="A8" s="9" t="s">
        <v>43</v>
      </c>
      <c r="B8" s="9"/>
      <c r="C8" s="9"/>
      <c r="D8" s="9"/>
      <c r="E8" s="9"/>
      <c r="F8" s="9"/>
      <c r="G8" s="9"/>
      <c r="H8" s="9"/>
      <c r="I8" s="9"/>
      <c r="J8" s="3" t="s">
        <v>32</v>
      </c>
      <c r="K8" s="1"/>
      <c r="L8" s="1"/>
      <c r="M8" s="1"/>
      <c r="N8" s="1"/>
    </row>
    <row r="9" spans="1:15" x14ac:dyDescent="0.25">
      <c r="A9" s="9" t="s">
        <v>1</v>
      </c>
      <c r="B9" s="9"/>
      <c r="C9" s="9"/>
      <c r="D9" s="9"/>
      <c r="E9" s="9"/>
      <c r="J9" s="3"/>
      <c r="K9" s="3"/>
      <c r="L9" s="3"/>
      <c r="M9" s="3"/>
      <c r="N9" s="3"/>
    </row>
    <row r="10" spans="1:15" x14ac:dyDescent="0.25">
      <c r="A10" s="97" t="s">
        <v>69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</row>
    <row r="11" spans="1:15" x14ac:dyDescent="0.25">
      <c r="A11" s="10" t="s">
        <v>70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5" x14ac:dyDescent="0.25">
      <c r="A12" s="98" t="s">
        <v>71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A13" s="6" t="s">
        <v>43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</row>
    <row r="14" spans="1:15" x14ac:dyDescent="0.25">
      <c r="A14" s="98" t="s">
        <v>72</v>
      </c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</row>
    <row r="15" spans="1:15" x14ac:dyDescent="0.25">
      <c r="A15" s="29" t="s">
        <v>73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</row>
    <row r="16" spans="1:15" x14ac:dyDescent="0.25">
      <c r="I16" s="98" t="s">
        <v>18</v>
      </c>
      <c r="J16" s="98"/>
      <c r="K16" s="98"/>
      <c r="L16" s="6" t="s">
        <v>24</v>
      </c>
    </row>
    <row r="17" spans="1:15" x14ac:dyDescent="0.25">
      <c r="A17" s="6" t="s">
        <v>90</v>
      </c>
      <c r="I17" s="6" t="s">
        <v>19</v>
      </c>
      <c r="L17" s="29">
        <v>4</v>
      </c>
    </row>
    <row r="18" spans="1:15" ht="16.5" customHeight="1" x14ac:dyDescent="0.25">
      <c r="A18" s="104" t="s">
        <v>2</v>
      </c>
      <c r="B18" s="104" t="s">
        <v>3</v>
      </c>
      <c r="C18" s="104" t="s">
        <v>4</v>
      </c>
      <c r="D18" s="104" t="s">
        <v>5</v>
      </c>
      <c r="E18" s="104" t="s">
        <v>6</v>
      </c>
      <c r="F18" s="101" t="s">
        <v>7</v>
      </c>
      <c r="G18" s="102"/>
      <c r="H18" s="102"/>
      <c r="I18" s="103"/>
      <c r="J18" s="104" t="s">
        <v>12</v>
      </c>
      <c r="K18" s="104" t="s">
        <v>13</v>
      </c>
      <c r="L18" s="101" t="s">
        <v>14</v>
      </c>
      <c r="M18" s="103"/>
      <c r="N18" s="101" t="s">
        <v>15</v>
      </c>
      <c r="O18" s="103"/>
    </row>
    <row r="19" spans="1:15" ht="27.6" x14ac:dyDescent="0.25">
      <c r="A19" s="105"/>
      <c r="B19" s="105"/>
      <c r="C19" s="105"/>
      <c r="D19" s="105"/>
      <c r="E19" s="105"/>
      <c r="F19" s="4" t="s">
        <v>8</v>
      </c>
      <c r="G19" s="4" t="s">
        <v>9</v>
      </c>
      <c r="H19" s="4" t="s">
        <v>10</v>
      </c>
      <c r="I19" s="4" t="s">
        <v>11</v>
      </c>
      <c r="J19" s="105"/>
      <c r="K19" s="105"/>
      <c r="L19" s="4" t="s">
        <v>16</v>
      </c>
      <c r="M19" s="4" t="s">
        <v>17</v>
      </c>
      <c r="N19" s="4" t="s">
        <v>16</v>
      </c>
      <c r="O19" s="4" t="s">
        <v>17</v>
      </c>
    </row>
    <row r="20" spans="1:15" x14ac:dyDescent="0.25">
      <c r="A20" s="4">
        <v>1</v>
      </c>
      <c r="B20" s="4">
        <v>2</v>
      </c>
      <c r="C20" s="4">
        <v>3</v>
      </c>
      <c r="D20" s="4">
        <v>4</v>
      </c>
      <c r="E20" s="4">
        <v>5</v>
      </c>
      <c r="F20" s="4">
        <v>6</v>
      </c>
      <c r="G20" s="4">
        <v>7</v>
      </c>
      <c r="H20" s="4">
        <v>8</v>
      </c>
      <c r="I20" s="4">
        <v>9</v>
      </c>
      <c r="J20" s="4">
        <v>10</v>
      </c>
      <c r="K20" s="4">
        <v>11</v>
      </c>
      <c r="L20" s="4">
        <v>12</v>
      </c>
      <c r="M20" s="4">
        <v>13</v>
      </c>
      <c r="N20" s="4">
        <v>14</v>
      </c>
      <c r="O20" s="4">
        <v>15</v>
      </c>
    </row>
    <row r="21" spans="1:15" x14ac:dyDescent="0.25">
      <c r="A21" s="106" t="s">
        <v>20</v>
      </c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8"/>
    </row>
    <row r="22" spans="1:15" ht="32.25" customHeight="1" x14ac:dyDescent="0.25">
      <c r="A22" s="11" t="s">
        <v>80</v>
      </c>
      <c r="B22" s="12"/>
      <c r="C22" s="4"/>
      <c r="D22" s="4"/>
      <c r="E22" s="4"/>
      <c r="F22" s="4"/>
      <c r="G22" s="13"/>
      <c r="H22" s="13"/>
      <c r="I22" s="13"/>
      <c r="J22" s="14"/>
      <c r="K22" s="14"/>
      <c r="L22" s="14"/>
      <c r="M22" s="14"/>
      <c r="N22" s="14"/>
      <c r="O22" s="14"/>
    </row>
    <row r="23" spans="1:15" ht="36" customHeight="1" x14ac:dyDescent="0.25">
      <c r="A23" s="11" t="s">
        <v>91</v>
      </c>
      <c r="B23" s="4">
        <v>1</v>
      </c>
      <c r="C23" s="4" t="s">
        <v>27</v>
      </c>
      <c r="D23" s="5">
        <v>2.5</v>
      </c>
      <c r="E23" s="5">
        <v>5</v>
      </c>
      <c r="F23" s="15">
        <v>18</v>
      </c>
      <c r="G23" s="13">
        <v>3480.8</v>
      </c>
      <c r="H23" s="13">
        <f>F23*2.1</f>
        <v>37.800000000000004</v>
      </c>
      <c r="I23" s="13">
        <f>+G23-H23</f>
        <v>3443</v>
      </c>
      <c r="J23" s="13"/>
      <c r="K23" s="13">
        <f>+I23*(108.5/(100+E23))</f>
        <v>3557.7666666666669</v>
      </c>
      <c r="L23" s="13"/>
      <c r="M23" s="13"/>
      <c r="N23" s="13"/>
      <c r="O23" s="13"/>
    </row>
    <row r="24" spans="1:15" ht="36" customHeight="1" x14ac:dyDescent="0.25">
      <c r="A24" s="11" t="s">
        <v>92</v>
      </c>
      <c r="B24" s="4">
        <v>1</v>
      </c>
      <c r="C24" s="4" t="s">
        <v>59</v>
      </c>
      <c r="D24" s="5">
        <v>3</v>
      </c>
      <c r="E24" s="5">
        <v>5</v>
      </c>
      <c r="F24" s="15">
        <v>34</v>
      </c>
      <c r="G24" s="13">
        <v>6498.4</v>
      </c>
      <c r="H24" s="13">
        <f>F24*2.1</f>
        <v>71.400000000000006</v>
      </c>
      <c r="I24" s="13">
        <f>+G24-H24</f>
        <v>6427</v>
      </c>
      <c r="J24" s="13"/>
      <c r="K24" s="13">
        <f>+I24*(108.5/(100+E24))</f>
        <v>6641.2333333333336</v>
      </c>
      <c r="L24" s="13"/>
      <c r="M24" s="13"/>
      <c r="N24" s="13"/>
      <c r="O24" s="13"/>
    </row>
    <row r="25" spans="1:15" ht="36" customHeight="1" x14ac:dyDescent="0.25">
      <c r="A25" s="11" t="s">
        <v>93</v>
      </c>
      <c r="B25" s="4">
        <v>1</v>
      </c>
      <c r="C25" s="4" t="s">
        <v>27</v>
      </c>
      <c r="D25" s="5">
        <v>2.5</v>
      </c>
      <c r="E25" s="5">
        <v>5</v>
      </c>
      <c r="F25" s="15">
        <v>44</v>
      </c>
      <c r="G25" s="13">
        <v>8531.5</v>
      </c>
      <c r="H25" s="13">
        <f>F25*2.1</f>
        <v>92.4</v>
      </c>
      <c r="I25" s="13">
        <f>+G25-H25</f>
        <v>8439.1</v>
      </c>
      <c r="J25" s="13"/>
      <c r="K25" s="13">
        <f>+I25*(108.5/(100+E25))</f>
        <v>8720.4033333333355</v>
      </c>
      <c r="L25" s="13"/>
      <c r="M25" s="13"/>
      <c r="N25" s="13"/>
      <c r="O25" s="13"/>
    </row>
    <row r="26" spans="1:15" ht="30.75" customHeight="1" x14ac:dyDescent="0.25">
      <c r="A26" s="16" t="s">
        <v>21</v>
      </c>
      <c r="B26" s="4"/>
      <c r="C26" s="4"/>
      <c r="D26" s="4"/>
      <c r="E26" s="13"/>
      <c r="F26" s="17">
        <f>SUM(F23:F25)</f>
        <v>96</v>
      </c>
      <c r="G26" s="18">
        <f>SUM(G23:G25)</f>
        <v>18510.7</v>
      </c>
      <c r="H26" s="18">
        <f>SUM(H23:H25)</f>
        <v>201.60000000000002</v>
      </c>
      <c r="I26" s="18">
        <f>SUM(I23:I25)</f>
        <v>18309.099999999999</v>
      </c>
      <c r="J26" s="18"/>
      <c r="K26" s="18">
        <f>SUM(K23:K25)</f>
        <v>18919.403333333335</v>
      </c>
      <c r="L26" s="18"/>
      <c r="M26" s="13"/>
      <c r="N26" s="13"/>
      <c r="O26" s="13"/>
    </row>
    <row r="27" spans="1:15" ht="14.25" customHeight="1" x14ac:dyDescent="0.25">
      <c r="A27" s="19"/>
      <c r="B27" s="20"/>
      <c r="C27" s="20"/>
      <c r="D27" s="20"/>
      <c r="E27" s="21"/>
      <c r="F27" s="22"/>
      <c r="G27" s="22"/>
      <c r="H27" s="22"/>
      <c r="I27" s="22"/>
      <c r="J27" s="22"/>
      <c r="K27" s="22"/>
      <c r="L27" s="22"/>
      <c r="M27" s="21"/>
      <c r="N27" s="21"/>
      <c r="O27" s="21"/>
    </row>
    <row r="28" spans="1:15" ht="14.4" x14ac:dyDescent="0.3">
      <c r="A28" s="109" t="s">
        <v>56</v>
      </c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</row>
    <row r="29" spans="1:15" ht="11.25" customHeight="1" x14ac:dyDescent="0.25"/>
    <row r="30" spans="1:15" x14ac:dyDescent="0.25">
      <c r="A30" s="6" t="s">
        <v>22</v>
      </c>
      <c r="D30" s="24">
        <f>+I26</f>
        <v>18309.099999999999</v>
      </c>
    </row>
    <row r="31" spans="1:15" x14ac:dyDescent="0.25">
      <c r="D31" s="25"/>
      <c r="G31" s="23"/>
      <c r="H31" s="23"/>
      <c r="I31" s="23"/>
      <c r="J31" s="23"/>
      <c r="K31" s="23"/>
    </row>
    <row r="32" spans="1:15" x14ac:dyDescent="0.25">
      <c r="A32" s="6" t="s">
        <v>23</v>
      </c>
      <c r="D32" s="24">
        <f>+G26</f>
        <v>18510.7</v>
      </c>
    </row>
    <row r="33" spans="1:15" ht="11.25" customHeight="1" x14ac:dyDescent="0.25">
      <c r="D33" s="24"/>
    </row>
    <row r="34" spans="1:15" ht="10.5" customHeight="1" x14ac:dyDescent="0.25"/>
    <row r="35" spans="1:15" x14ac:dyDescent="0.25">
      <c r="A35" s="95" t="s">
        <v>25</v>
      </c>
      <c r="B35" s="95"/>
      <c r="C35" s="95"/>
      <c r="D35" s="95"/>
      <c r="E35" s="95"/>
      <c r="F35" s="95"/>
      <c r="G35" s="95"/>
    </row>
    <row r="36" spans="1:15" ht="9.75" customHeight="1" x14ac:dyDescent="0.25"/>
    <row r="37" spans="1:15" x14ac:dyDescent="0.25">
      <c r="A37" s="95" t="s">
        <v>82</v>
      </c>
      <c r="B37" s="95"/>
      <c r="C37" s="95"/>
      <c r="D37" s="95"/>
      <c r="E37" s="95"/>
      <c r="F37" s="95"/>
      <c r="G37" s="95"/>
    </row>
    <row r="38" spans="1:15" ht="12" customHeight="1" x14ac:dyDescent="0.25"/>
    <row r="39" spans="1:15" x14ac:dyDescent="0.25">
      <c r="A39" s="95" t="s">
        <v>26</v>
      </c>
      <c r="B39" s="95"/>
      <c r="C39" s="95"/>
      <c r="D39" s="95"/>
      <c r="E39" s="95"/>
      <c r="F39" s="95"/>
      <c r="G39" s="95"/>
      <c r="I39" s="95"/>
      <c r="J39" s="95"/>
      <c r="K39" s="95"/>
      <c r="L39" s="95"/>
      <c r="M39" s="95"/>
      <c r="N39" s="95"/>
      <c r="O39" s="95"/>
    </row>
    <row r="40" spans="1:15" ht="11.25" customHeight="1" x14ac:dyDescent="0.25"/>
    <row r="41" spans="1:15" x14ac:dyDescent="0.25">
      <c r="A41" s="100" t="s">
        <v>28</v>
      </c>
      <c r="B41" s="100"/>
      <c r="C41" s="100"/>
      <c r="D41" s="100"/>
      <c r="E41" s="100"/>
      <c r="F41" s="100"/>
      <c r="G41" s="100"/>
      <c r="I41" s="100" t="s">
        <v>87</v>
      </c>
      <c r="J41" s="100"/>
      <c r="K41" s="100"/>
      <c r="L41" s="100"/>
      <c r="M41" s="100"/>
      <c r="N41" s="100"/>
      <c r="O41" s="100"/>
    </row>
  </sheetData>
  <mergeCells count="24">
    <mergeCell ref="A35:G35"/>
    <mergeCell ref="A37:G37"/>
    <mergeCell ref="A39:G39"/>
    <mergeCell ref="I39:O39"/>
    <mergeCell ref="A41:G41"/>
    <mergeCell ref="I41:O41"/>
    <mergeCell ref="A28:O28"/>
    <mergeCell ref="A18:A19"/>
    <mergeCell ref="B18:B19"/>
    <mergeCell ref="C18:C19"/>
    <mergeCell ref="D18:D19"/>
    <mergeCell ref="E18:E19"/>
    <mergeCell ref="F18:I18"/>
    <mergeCell ref="J18:J19"/>
    <mergeCell ref="K18:K19"/>
    <mergeCell ref="L18:M18"/>
    <mergeCell ref="N18:O18"/>
    <mergeCell ref="A21:O21"/>
    <mergeCell ref="I16:K16"/>
    <mergeCell ref="A1:O1"/>
    <mergeCell ref="A2:O2"/>
    <mergeCell ref="A10:N10"/>
    <mergeCell ref="A12:N12"/>
    <mergeCell ref="A14:N14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>
    <tabColor rgb="FF00B050"/>
  </sheetPr>
  <dimension ref="A1:O39"/>
  <sheetViews>
    <sheetView workbookViewId="0">
      <selection activeCell="A23" sqref="A23:K23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36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96" t="s">
        <v>86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</row>
    <row r="3" spans="1:15" x14ac:dyDescent="0.25">
      <c r="A3" s="7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7" t="s">
        <v>89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5" x14ac:dyDescent="0.25">
      <c r="A5" s="8" t="s">
        <v>41</v>
      </c>
      <c r="B5" s="8"/>
      <c r="C5" s="8"/>
      <c r="D5" s="8"/>
      <c r="E5" s="8"/>
      <c r="F5" s="8"/>
      <c r="G5" s="8"/>
      <c r="H5" s="8"/>
      <c r="I5" s="8"/>
      <c r="J5" s="3" t="s">
        <v>94</v>
      </c>
      <c r="K5" s="2"/>
      <c r="L5" s="2"/>
      <c r="M5" s="2"/>
      <c r="N5" s="2"/>
    </row>
    <row r="6" spans="1:15" x14ac:dyDescent="0.25">
      <c r="A6" s="6" t="s">
        <v>42</v>
      </c>
      <c r="F6" s="9"/>
      <c r="G6" s="9"/>
      <c r="H6" s="9"/>
      <c r="I6" s="9"/>
      <c r="J6" s="3"/>
      <c r="K6" s="3"/>
      <c r="L6" s="1"/>
      <c r="M6" s="1"/>
      <c r="N6" s="1"/>
    </row>
    <row r="7" spans="1:15" x14ac:dyDescent="0.25">
      <c r="A7" s="9" t="s">
        <v>140</v>
      </c>
      <c r="B7" s="9"/>
      <c r="C7" s="9"/>
      <c r="D7" s="9"/>
      <c r="E7" s="9"/>
      <c r="F7" s="9"/>
      <c r="G7" s="9"/>
      <c r="H7" s="9"/>
      <c r="I7" s="9"/>
      <c r="J7" s="3" t="s">
        <v>95</v>
      </c>
      <c r="K7" s="1"/>
      <c r="L7" s="1"/>
      <c r="M7" s="1"/>
      <c r="N7" s="1"/>
    </row>
    <row r="8" spans="1:15" x14ac:dyDescent="0.25">
      <c r="A8" s="9" t="s">
        <v>43</v>
      </c>
      <c r="B8" s="9"/>
      <c r="C8" s="9"/>
      <c r="D8" s="9"/>
      <c r="E8" s="9"/>
      <c r="F8" s="9"/>
      <c r="G8" s="9"/>
      <c r="H8" s="9"/>
      <c r="I8" s="9"/>
      <c r="J8" s="3" t="s">
        <v>96</v>
      </c>
      <c r="K8" s="1"/>
      <c r="L8" s="1"/>
      <c r="M8" s="1"/>
      <c r="N8" s="1"/>
    </row>
    <row r="9" spans="1:15" x14ac:dyDescent="0.25">
      <c r="A9" s="9" t="s">
        <v>1</v>
      </c>
      <c r="B9" s="9"/>
      <c r="C9" s="9"/>
      <c r="D9" s="9"/>
      <c r="E9" s="9"/>
      <c r="J9" s="3"/>
      <c r="K9" s="3"/>
      <c r="L9" s="3"/>
      <c r="M9" s="3"/>
      <c r="N9" s="3"/>
    </row>
    <row r="10" spans="1:15" x14ac:dyDescent="0.25">
      <c r="A10" s="97" t="s">
        <v>69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</row>
    <row r="11" spans="1:15" x14ac:dyDescent="0.25">
      <c r="A11" s="10" t="s">
        <v>70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5" x14ac:dyDescent="0.25">
      <c r="A12" s="98" t="s">
        <v>71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A13" s="6" t="s">
        <v>43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</row>
    <row r="14" spans="1:15" x14ac:dyDescent="0.25">
      <c r="A14" s="98" t="s">
        <v>72</v>
      </c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</row>
    <row r="15" spans="1:15" x14ac:dyDescent="0.25">
      <c r="A15" s="29" t="s">
        <v>73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</row>
    <row r="16" spans="1:15" x14ac:dyDescent="0.25">
      <c r="I16" s="98" t="s">
        <v>18</v>
      </c>
      <c r="J16" s="98"/>
      <c r="K16" s="98"/>
      <c r="L16" s="6" t="s">
        <v>24</v>
      </c>
    </row>
    <row r="17" spans="1:15" x14ac:dyDescent="0.25">
      <c r="A17" s="6" t="s">
        <v>58</v>
      </c>
      <c r="I17" s="6" t="s">
        <v>19</v>
      </c>
      <c r="L17" s="29">
        <v>4</v>
      </c>
    </row>
    <row r="18" spans="1:15" ht="16.5" customHeight="1" x14ac:dyDescent="0.25">
      <c r="A18" s="104" t="s">
        <v>2</v>
      </c>
      <c r="B18" s="104" t="s">
        <v>3</v>
      </c>
      <c r="C18" s="104" t="s">
        <v>4</v>
      </c>
      <c r="D18" s="104" t="s">
        <v>5</v>
      </c>
      <c r="E18" s="104" t="s">
        <v>6</v>
      </c>
      <c r="F18" s="101" t="s">
        <v>7</v>
      </c>
      <c r="G18" s="102"/>
      <c r="H18" s="102"/>
      <c r="I18" s="103"/>
      <c r="J18" s="104" t="s">
        <v>12</v>
      </c>
      <c r="K18" s="104" t="s">
        <v>13</v>
      </c>
      <c r="L18" s="101" t="s">
        <v>14</v>
      </c>
      <c r="M18" s="103"/>
      <c r="N18" s="101" t="s">
        <v>15</v>
      </c>
      <c r="O18" s="103"/>
    </row>
    <row r="19" spans="1:15" ht="27.6" x14ac:dyDescent="0.25">
      <c r="A19" s="105"/>
      <c r="B19" s="105"/>
      <c r="C19" s="105"/>
      <c r="D19" s="105"/>
      <c r="E19" s="105"/>
      <c r="F19" s="4" t="s">
        <v>8</v>
      </c>
      <c r="G19" s="4" t="s">
        <v>9</v>
      </c>
      <c r="H19" s="4" t="s">
        <v>10</v>
      </c>
      <c r="I19" s="4" t="s">
        <v>11</v>
      </c>
      <c r="J19" s="105"/>
      <c r="K19" s="105"/>
      <c r="L19" s="4" t="s">
        <v>16</v>
      </c>
      <c r="M19" s="4" t="s">
        <v>17</v>
      </c>
      <c r="N19" s="4" t="s">
        <v>16</v>
      </c>
      <c r="O19" s="4" t="s">
        <v>17</v>
      </c>
    </row>
    <row r="20" spans="1:15" x14ac:dyDescent="0.25">
      <c r="A20" s="4">
        <v>1</v>
      </c>
      <c r="B20" s="4">
        <v>2</v>
      </c>
      <c r="C20" s="4">
        <v>3</v>
      </c>
      <c r="D20" s="4">
        <v>4</v>
      </c>
      <c r="E20" s="4">
        <v>5</v>
      </c>
      <c r="F20" s="4">
        <v>6</v>
      </c>
      <c r="G20" s="4">
        <v>7</v>
      </c>
      <c r="H20" s="4">
        <v>8</v>
      </c>
      <c r="I20" s="4">
        <v>9</v>
      </c>
      <c r="J20" s="4">
        <v>10</v>
      </c>
      <c r="K20" s="4">
        <v>11</v>
      </c>
      <c r="L20" s="4">
        <v>12</v>
      </c>
      <c r="M20" s="4">
        <v>13</v>
      </c>
      <c r="N20" s="4">
        <v>14</v>
      </c>
      <c r="O20" s="4">
        <v>15</v>
      </c>
    </row>
    <row r="21" spans="1:15" x14ac:dyDescent="0.25">
      <c r="A21" s="106" t="s">
        <v>20</v>
      </c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8"/>
    </row>
    <row r="22" spans="1:15" ht="32.25" customHeight="1" x14ac:dyDescent="0.25">
      <c r="A22" s="11" t="s">
        <v>80</v>
      </c>
      <c r="B22" s="12"/>
      <c r="C22" s="4"/>
      <c r="D22" s="4"/>
      <c r="E22" s="4"/>
      <c r="F22" s="4"/>
      <c r="G22" s="13"/>
      <c r="H22" s="13"/>
      <c r="I22" s="13"/>
      <c r="J22" s="14"/>
      <c r="K22" s="14"/>
      <c r="L22" s="14"/>
      <c r="M22" s="14"/>
      <c r="N22" s="14"/>
      <c r="O22" s="14"/>
    </row>
    <row r="23" spans="1:15" ht="45.75" customHeight="1" x14ac:dyDescent="0.25">
      <c r="A23" s="11" t="s">
        <v>98</v>
      </c>
      <c r="B23" s="4">
        <v>1</v>
      </c>
      <c r="C23" s="4" t="s">
        <v>27</v>
      </c>
      <c r="D23" s="5">
        <v>2.5</v>
      </c>
      <c r="E23" s="5">
        <v>5</v>
      </c>
      <c r="F23" s="15">
        <v>96</v>
      </c>
      <c r="G23" s="13">
        <v>18610.599999999999</v>
      </c>
      <c r="H23" s="13">
        <f>F23*2.1</f>
        <v>201.60000000000002</v>
      </c>
      <c r="I23" s="13">
        <f>+G23-H23</f>
        <v>18409</v>
      </c>
      <c r="J23" s="13"/>
      <c r="K23" s="13">
        <f>+I23*(108.5/(100+E23))</f>
        <v>19022.633333333335</v>
      </c>
      <c r="L23" s="13"/>
      <c r="M23" s="13"/>
      <c r="N23" s="13"/>
      <c r="O23" s="13"/>
    </row>
    <row r="24" spans="1:15" ht="30.75" customHeight="1" x14ac:dyDescent="0.25">
      <c r="A24" s="16" t="s">
        <v>21</v>
      </c>
      <c r="B24" s="4"/>
      <c r="C24" s="4"/>
      <c r="D24" s="4"/>
      <c r="E24" s="13"/>
      <c r="F24" s="17">
        <f>SUM(F23:F23)</f>
        <v>96</v>
      </c>
      <c r="G24" s="18">
        <f>SUM(G23:G23)</f>
        <v>18610.599999999999</v>
      </c>
      <c r="H24" s="18">
        <f>SUM(H23:H23)</f>
        <v>201.60000000000002</v>
      </c>
      <c r="I24" s="18">
        <f>SUM(I23:I23)</f>
        <v>18409</v>
      </c>
      <c r="J24" s="18"/>
      <c r="K24" s="18">
        <f>SUM(K23:K23)</f>
        <v>19022.633333333335</v>
      </c>
      <c r="L24" s="18"/>
      <c r="M24" s="13"/>
      <c r="N24" s="13"/>
      <c r="O24" s="13"/>
    </row>
    <row r="25" spans="1:15" ht="14.25" customHeight="1" x14ac:dyDescent="0.25">
      <c r="A25" s="19"/>
      <c r="B25" s="20"/>
      <c r="C25" s="20"/>
      <c r="D25" s="20"/>
      <c r="E25" s="21"/>
      <c r="F25" s="22"/>
      <c r="G25" s="22"/>
      <c r="H25" s="22"/>
      <c r="I25" s="22"/>
      <c r="J25" s="22"/>
      <c r="K25" s="22"/>
      <c r="L25" s="22"/>
      <c r="M25" s="21"/>
      <c r="N25" s="21"/>
      <c r="O25" s="21"/>
    </row>
    <row r="26" spans="1:15" ht="14.4" x14ac:dyDescent="0.3">
      <c r="A26" s="109" t="s">
        <v>56</v>
      </c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</row>
    <row r="27" spans="1:15" ht="11.25" customHeight="1" x14ac:dyDescent="0.25"/>
    <row r="28" spans="1:15" x14ac:dyDescent="0.25">
      <c r="A28" s="6" t="s">
        <v>22</v>
      </c>
      <c r="D28" s="24">
        <f>+I24</f>
        <v>18409</v>
      </c>
    </row>
    <row r="29" spans="1:15" x14ac:dyDescent="0.25">
      <c r="D29" s="25"/>
      <c r="G29" s="23"/>
      <c r="H29" s="23"/>
      <c r="I29" s="23"/>
      <c r="J29" s="23"/>
      <c r="K29" s="23"/>
    </row>
    <row r="30" spans="1:15" x14ac:dyDescent="0.25">
      <c r="A30" s="6" t="s">
        <v>23</v>
      </c>
      <c r="D30" s="24">
        <f>+G24</f>
        <v>18610.599999999999</v>
      </c>
    </row>
    <row r="31" spans="1:15" ht="11.25" customHeight="1" x14ac:dyDescent="0.25">
      <c r="D31" s="24"/>
    </row>
    <row r="32" spans="1:15" ht="10.5" customHeight="1" x14ac:dyDescent="0.25"/>
    <row r="33" spans="1:15" x14ac:dyDescent="0.25">
      <c r="A33" s="95" t="s">
        <v>25</v>
      </c>
      <c r="B33" s="95"/>
      <c r="C33" s="95"/>
      <c r="D33" s="95"/>
      <c r="E33" s="95"/>
      <c r="F33" s="95"/>
      <c r="G33" s="95"/>
    </row>
    <row r="34" spans="1:15" ht="9.75" customHeight="1" x14ac:dyDescent="0.25"/>
    <row r="35" spans="1:15" x14ac:dyDescent="0.25">
      <c r="A35" s="95" t="s">
        <v>82</v>
      </c>
      <c r="B35" s="95"/>
      <c r="C35" s="95"/>
      <c r="D35" s="95"/>
      <c r="E35" s="95"/>
      <c r="F35" s="95"/>
      <c r="G35" s="95"/>
    </row>
    <row r="36" spans="1:15" ht="12" customHeight="1" x14ac:dyDescent="0.25"/>
    <row r="37" spans="1:15" x14ac:dyDescent="0.25">
      <c r="A37" s="95" t="s">
        <v>26</v>
      </c>
      <c r="B37" s="95"/>
      <c r="C37" s="95"/>
      <c r="D37" s="95"/>
      <c r="E37" s="95"/>
      <c r="F37" s="95"/>
      <c r="G37" s="95"/>
      <c r="I37" s="95"/>
      <c r="J37" s="95"/>
      <c r="K37" s="95"/>
      <c r="L37" s="95"/>
      <c r="M37" s="95"/>
      <c r="N37" s="95"/>
      <c r="O37" s="95"/>
    </row>
    <row r="38" spans="1:15" ht="11.25" customHeight="1" x14ac:dyDescent="0.25"/>
    <row r="39" spans="1:15" x14ac:dyDescent="0.25">
      <c r="A39" s="110" t="s">
        <v>97</v>
      </c>
      <c r="B39" s="110"/>
      <c r="C39" s="110"/>
      <c r="D39" s="110"/>
      <c r="E39" s="110"/>
      <c r="F39" s="110"/>
      <c r="G39" s="110"/>
      <c r="I39" s="100" t="s">
        <v>87</v>
      </c>
      <c r="J39" s="100"/>
      <c r="K39" s="100"/>
      <c r="L39" s="100"/>
      <c r="M39" s="100"/>
      <c r="N39" s="100"/>
      <c r="O39" s="100"/>
    </row>
  </sheetData>
  <mergeCells count="24">
    <mergeCell ref="A33:G33"/>
    <mergeCell ref="A35:G35"/>
    <mergeCell ref="A37:G37"/>
    <mergeCell ref="I37:O37"/>
    <mergeCell ref="A39:G39"/>
    <mergeCell ref="I39:O39"/>
    <mergeCell ref="A26:O26"/>
    <mergeCell ref="A18:A19"/>
    <mergeCell ref="B18:B19"/>
    <mergeCell ref="C18:C19"/>
    <mergeCell ref="D18:D19"/>
    <mergeCell ref="E18:E19"/>
    <mergeCell ref="F18:I18"/>
    <mergeCell ref="J18:J19"/>
    <mergeCell ref="K18:K19"/>
    <mergeCell ref="L18:M18"/>
    <mergeCell ref="N18:O18"/>
    <mergeCell ref="A21:O21"/>
    <mergeCell ref="I16:K16"/>
    <mergeCell ref="A1:O1"/>
    <mergeCell ref="A2:O2"/>
    <mergeCell ref="A10:N10"/>
    <mergeCell ref="A12:N12"/>
    <mergeCell ref="A14:N14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>
    <tabColor rgb="FF00B050"/>
  </sheetPr>
  <dimension ref="A1:O42"/>
  <sheetViews>
    <sheetView topLeftCell="A4" workbookViewId="0">
      <selection activeCell="A23" sqref="A23:K26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37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96" t="s">
        <v>86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</row>
    <row r="3" spans="1:15" x14ac:dyDescent="0.25">
      <c r="A3" s="7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7" t="s">
        <v>99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5" x14ac:dyDescent="0.25">
      <c r="A5" s="8" t="s">
        <v>41</v>
      </c>
      <c r="B5" s="8"/>
      <c r="C5" s="8"/>
      <c r="D5" s="8"/>
      <c r="E5" s="8"/>
      <c r="F5" s="8"/>
      <c r="G5" s="8"/>
      <c r="H5" s="8"/>
      <c r="I5" s="8"/>
      <c r="J5" s="1" t="s">
        <v>74</v>
      </c>
      <c r="K5" s="2"/>
      <c r="L5" s="2"/>
      <c r="M5" s="2"/>
      <c r="N5" s="2"/>
    </row>
    <row r="6" spans="1:15" x14ac:dyDescent="0.25">
      <c r="A6" s="6" t="s">
        <v>42</v>
      </c>
      <c r="F6" s="9"/>
      <c r="G6" s="9"/>
      <c r="H6" s="9"/>
      <c r="I6" s="9"/>
      <c r="J6" s="3"/>
      <c r="K6" s="3"/>
      <c r="L6" s="1"/>
      <c r="M6" s="1"/>
      <c r="N6" s="1"/>
    </row>
    <row r="7" spans="1:15" x14ac:dyDescent="0.25">
      <c r="A7" s="9" t="s">
        <v>140</v>
      </c>
      <c r="B7" s="9"/>
      <c r="C7" s="9"/>
      <c r="D7" s="9"/>
      <c r="E7" s="9"/>
      <c r="F7" s="9"/>
      <c r="G7" s="9"/>
      <c r="H7" s="9"/>
      <c r="I7" s="9"/>
      <c r="J7" s="1" t="s">
        <v>75</v>
      </c>
      <c r="K7" s="1"/>
      <c r="L7" s="1"/>
      <c r="M7" s="1"/>
      <c r="N7" s="1"/>
    </row>
    <row r="8" spans="1:15" x14ac:dyDescent="0.25">
      <c r="A8" s="9" t="s">
        <v>43</v>
      </c>
      <c r="B8" s="9"/>
      <c r="C8" s="9"/>
      <c r="D8" s="9"/>
      <c r="E8" s="9"/>
      <c r="F8" s="9"/>
      <c r="G8" s="9"/>
      <c r="H8" s="9"/>
      <c r="I8" s="9"/>
      <c r="J8" s="1" t="s">
        <v>76</v>
      </c>
      <c r="K8" s="1"/>
      <c r="L8" s="1"/>
      <c r="M8" s="1"/>
      <c r="N8" s="1"/>
    </row>
    <row r="9" spans="1:15" x14ac:dyDescent="0.25">
      <c r="A9" s="9" t="s">
        <v>1</v>
      </c>
      <c r="B9" s="9"/>
      <c r="C9" s="9"/>
      <c r="D9" s="9"/>
      <c r="E9" s="9"/>
      <c r="J9" s="3"/>
      <c r="K9" s="3"/>
      <c r="L9" s="3"/>
      <c r="M9" s="3"/>
      <c r="N9" s="3"/>
    </row>
    <row r="10" spans="1:15" x14ac:dyDescent="0.25">
      <c r="A10" s="97" t="s">
        <v>69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</row>
    <row r="11" spans="1:15" x14ac:dyDescent="0.25">
      <c r="A11" s="10" t="s">
        <v>70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5" x14ac:dyDescent="0.25">
      <c r="A12" s="98" t="s">
        <v>71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A13" s="6" t="s">
        <v>43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</row>
    <row r="14" spans="1:15" x14ac:dyDescent="0.25">
      <c r="A14" s="98" t="s">
        <v>72</v>
      </c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</row>
    <row r="15" spans="1:15" x14ac:dyDescent="0.25">
      <c r="A15" s="29" t="s">
        <v>73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</row>
    <row r="16" spans="1:15" x14ac:dyDescent="0.25">
      <c r="I16" s="98" t="s">
        <v>18</v>
      </c>
      <c r="J16" s="98"/>
      <c r="K16" s="98"/>
      <c r="L16" s="6" t="s">
        <v>24</v>
      </c>
    </row>
    <row r="17" spans="1:15" x14ac:dyDescent="0.25">
      <c r="A17" s="6" t="s">
        <v>60</v>
      </c>
      <c r="I17" s="6" t="s">
        <v>19</v>
      </c>
      <c r="L17" s="29">
        <v>4</v>
      </c>
    </row>
    <row r="18" spans="1:15" ht="16.5" customHeight="1" x14ac:dyDescent="0.25">
      <c r="A18" s="104" t="s">
        <v>2</v>
      </c>
      <c r="B18" s="104" t="s">
        <v>3</v>
      </c>
      <c r="C18" s="104" t="s">
        <v>4</v>
      </c>
      <c r="D18" s="104" t="s">
        <v>5</v>
      </c>
      <c r="E18" s="104" t="s">
        <v>6</v>
      </c>
      <c r="F18" s="101" t="s">
        <v>7</v>
      </c>
      <c r="G18" s="102"/>
      <c r="H18" s="102"/>
      <c r="I18" s="103"/>
      <c r="J18" s="104" t="s">
        <v>12</v>
      </c>
      <c r="K18" s="104" t="s">
        <v>13</v>
      </c>
      <c r="L18" s="101" t="s">
        <v>14</v>
      </c>
      <c r="M18" s="103"/>
      <c r="N18" s="101" t="s">
        <v>15</v>
      </c>
      <c r="O18" s="103"/>
    </row>
    <row r="19" spans="1:15" ht="27.6" x14ac:dyDescent="0.25">
      <c r="A19" s="105"/>
      <c r="B19" s="105"/>
      <c r="C19" s="105"/>
      <c r="D19" s="105"/>
      <c r="E19" s="105"/>
      <c r="F19" s="4" t="s">
        <v>8</v>
      </c>
      <c r="G19" s="4" t="s">
        <v>9</v>
      </c>
      <c r="H19" s="4" t="s">
        <v>10</v>
      </c>
      <c r="I19" s="4" t="s">
        <v>11</v>
      </c>
      <c r="J19" s="105"/>
      <c r="K19" s="105"/>
      <c r="L19" s="4" t="s">
        <v>16</v>
      </c>
      <c r="M19" s="4" t="s">
        <v>17</v>
      </c>
      <c r="N19" s="4" t="s">
        <v>16</v>
      </c>
      <c r="O19" s="4" t="s">
        <v>17</v>
      </c>
    </row>
    <row r="20" spans="1:15" x14ac:dyDescent="0.25">
      <c r="A20" s="4">
        <v>1</v>
      </c>
      <c r="B20" s="4">
        <v>2</v>
      </c>
      <c r="C20" s="4">
        <v>3</v>
      </c>
      <c r="D20" s="4">
        <v>4</v>
      </c>
      <c r="E20" s="4">
        <v>5</v>
      </c>
      <c r="F20" s="4">
        <v>6</v>
      </c>
      <c r="G20" s="4">
        <v>7</v>
      </c>
      <c r="H20" s="4">
        <v>8</v>
      </c>
      <c r="I20" s="4">
        <v>9</v>
      </c>
      <c r="J20" s="4">
        <v>10</v>
      </c>
      <c r="K20" s="4">
        <v>11</v>
      </c>
      <c r="L20" s="4">
        <v>12</v>
      </c>
      <c r="M20" s="4">
        <v>13</v>
      </c>
      <c r="N20" s="4">
        <v>14</v>
      </c>
      <c r="O20" s="4">
        <v>15</v>
      </c>
    </row>
    <row r="21" spans="1:15" x14ac:dyDescent="0.25">
      <c r="A21" s="106" t="s">
        <v>20</v>
      </c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8"/>
    </row>
    <row r="22" spans="1:15" ht="21" customHeight="1" x14ac:dyDescent="0.25">
      <c r="A22" s="11" t="s">
        <v>80</v>
      </c>
      <c r="B22" s="12"/>
      <c r="C22" s="4"/>
      <c r="D22" s="4"/>
      <c r="E22" s="4"/>
      <c r="F22" s="4"/>
      <c r="G22" s="13"/>
      <c r="H22" s="13"/>
      <c r="I22" s="13"/>
      <c r="J22" s="14"/>
      <c r="K22" s="14"/>
      <c r="L22" s="14"/>
      <c r="M22" s="14"/>
      <c r="N22" s="14"/>
      <c r="O22" s="14"/>
    </row>
    <row r="23" spans="1:15" ht="32.25" customHeight="1" x14ac:dyDescent="0.25">
      <c r="A23" s="11" t="s">
        <v>100</v>
      </c>
      <c r="B23" s="4">
        <v>1</v>
      </c>
      <c r="C23" s="4" t="s">
        <v>27</v>
      </c>
      <c r="D23" s="5">
        <v>2.5</v>
      </c>
      <c r="E23" s="5">
        <v>5</v>
      </c>
      <c r="F23" s="15">
        <v>18</v>
      </c>
      <c r="G23" s="13">
        <v>3520</v>
      </c>
      <c r="H23" s="13">
        <f>F23*2.1</f>
        <v>37.800000000000004</v>
      </c>
      <c r="I23" s="13">
        <f>+G23-H23</f>
        <v>3482.2</v>
      </c>
      <c r="J23" s="13"/>
      <c r="K23" s="13">
        <f>+I23*(108.5/(100+E23))</f>
        <v>3598.2733333333335</v>
      </c>
      <c r="L23" s="13"/>
      <c r="M23" s="13"/>
      <c r="N23" s="13"/>
      <c r="O23" s="13"/>
    </row>
    <row r="24" spans="1:15" ht="32.25" customHeight="1" x14ac:dyDescent="0.25">
      <c r="A24" s="11" t="s">
        <v>101</v>
      </c>
      <c r="B24" s="4">
        <v>1</v>
      </c>
      <c r="C24" s="4" t="s">
        <v>59</v>
      </c>
      <c r="D24" s="5">
        <v>3</v>
      </c>
      <c r="E24" s="5">
        <v>5</v>
      </c>
      <c r="F24" s="15">
        <v>62</v>
      </c>
      <c r="G24" s="13">
        <v>12009.9</v>
      </c>
      <c r="H24" s="13">
        <f>F24*2.1</f>
        <v>130.20000000000002</v>
      </c>
      <c r="I24" s="13">
        <f>+G24-H24</f>
        <v>11879.699999999999</v>
      </c>
      <c r="J24" s="13"/>
      <c r="K24" s="13">
        <f>+I24*(108.5/(100+E24))</f>
        <v>12275.69</v>
      </c>
      <c r="L24" s="13"/>
      <c r="M24" s="13"/>
      <c r="N24" s="13"/>
      <c r="O24" s="13"/>
    </row>
    <row r="25" spans="1:15" ht="32.25" customHeight="1" x14ac:dyDescent="0.25">
      <c r="A25" s="11" t="s">
        <v>102</v>
      </c>
      <c r="B25" s="4">
        <v>1</v>
      </c>
      <c r="C25" s="4" t="s">
        <v>27</v>
      </c>
      <c r="D25" s="5">
        <v>2.5</v>
      </c>
      <c r="E25" s="5">
        <v>5</v>
      </c>
      <c r="F25" s="15">
        <v>13</v>
      </c>
      <c r="G25" s="13">
        <v>2479.6999999999998</v>
      </c>
      <c r="H25" s="13">
        <f>F25*2.1</f>
        <v>27.3</v>
      </c>
      <c r="I25" s="13">
        <f>+G25-H25</f>
        <v>2452.3999999999996</v>
      </c>
      <c r="J25" s="13"/>
      <c r="K25" s="13">
        <f>+I25*(108.5/(100+E25))</f>
        <v>2534.1466666666665</v>
      </c>
      <c r="L25" s="13"/>
      <c r="M25" s="13"/>
      <c r="N25" s="13"/>
      <c r="O25" s="13"/>
    </row>
    <row r="26" spans="1:15" ht="32.25" customHeight="1" x14ac:dyDescent="0.25">
      <c r="A26" s="11" t="s">
        <v>103</v>
      </c>
      <c r="B26" s="4">
        <v>1</v>
      </c>
      <c r="C26" s="4" t="s">
        <v>59</v>
      </c>
      <c r="D26" s="5">
        <v>3</v>
      </c>
      <c r="E26" s="5">
        <v>5</v>
      </c>
      <c r="F26" s="15">
        <v>3</v>
      </c>
      <c r="G26" s="13">
        <v>585.29999999999995</v>
      </c>
      <c r="H26" s="13">
        <f>F26*2.1</f>
        <v>6.3000000000000007</v>
      </c>
      <c r="I26" s="13">
        <f>+G26-H26</f>
        <v>579</v>
      </c>
      <c r="J26" s="13"/>
      <c r="K26" s="13">
        <f>+I26*(108.5/(100+E26))</f>
        <v>598.30000000000007</v>
      </c>
      <c r="L26" s="13"/>
      <c r="M26" s="13"/>
      <c r="N26" s="13"/>
      <c r="O26" s="13"/>
    </row>
    <row r="27" spans="1:15" ht="30.75" customHeight="1" x14ac:dyDescent="0.25">
      <c r="A27" s="16" t="s">
        <v>21</v>
      </c>
      <c r="B27" s="4"/>
      <c r="C27" s="4"/>
      <c r="D27" s="4"/>
      <c r="E27" s="13"/>
      <c r="F27" s="17">
        <f>SUM(F23:F26)</f>
        <v>96</v>
      </c>
      <c r="G27" s="18">
        <f>SUM(G23:G26)</f>
        <v>18594.899999999998</v>
      </c>
      <c r="H27" s="18">
        <f>SUM(H23:H26)</f>
        <v>201.60000000000005</v>
      </c>
      <c r="I27" s="18">
        <f>SUM(I23:I26)</f>
        <v>18393.299999999996</v>
      </c>
      <c r="J27" s="18"/>
      <c r="K27" s="18">
        <f>SUM(K23:K26)</f>
        <v>19006.41</v>
      </c>
      <c r="L27" s="18"/>
      <c r="M27" s="13"/>
      <c r="N27" s="13"/>
      <c r="O27" s="13"/>
    </row>
    <row r="28" spans="1:15" ht="14.25" customHeight="1" x14ac:dyDescent="0.25">
      <c r="A28" s="19"/>
      <c r="B28" s="20"/>
      <c r="C28" s="20"/>
      <c r="D28" s="20"/>
      <c r="E28" s="21"/>
      <c r="F28" s="22"/>
      <c r="G28" s="22"/>
      <c r="H28" s="22"/>
      <c r="I28" s="22"/>
      <c r="J28" s="22"/>
      <c r="K28" s="22"/>
      <c r="L28" s="22"/>
      <c r="M28" s="21"/>
      <c r="N28" s="21"/>
      <c r="O28" s="21"/>
    </row>
    <row r="29" spans="1:15" ht="14.4" x14ac:dyDescent="0.3">
      <c r="A29" s="109" t="s">
        <v>56</v>
      </c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</row>
    <row r="30" spans="1:15" ht="11.25" customHeight="1" x14ac:dyDescent="0.25"/>
    <row r="31" spans="1:15" x14ac:dyDescent="0.25">
      <c r="A31" s="6" t="s">
        <v>22</v>
      </c>
      <c r="D31" s="24">
        <f>+I27</f>
        <v>18393.299999999996</v>
      </c>
    </row>
    <row r="32" spans="1:15" hidden="1" x14ac:dyDescent="0.25">
      <c r="D32" s="25"/>
      <c r="G32" s="23"/>
      <c r="H32" s="23"/>
      <c r="I32" s="23"/>
      <c r="J32" s="23"/>
      <c r="K32" s="23"/>
    </row>
    <row r="33" spans="1:15" x14ac:dyDescent="0.25">
      <c r="A33" s="6" t="s">
        <v>23</v>
      </c>
      <c r="D33" s="24">
        <f>+G27</f>
        <v>18594.899999999998</v>
      </c>
    </row>
    <row r="34" spans="1:15" ht="11.25" customHeight="1" x14ac:dyDescent="0.25">
      <c r="D34" s="24"/>
    </row>
    <row r="35" spans="1:15" ht="10.5" hidden="1" customHeight="1" x14ac:dyDescent="0.25"/>
    <row r="36" spans="1:15" x14ac:dyDescent="0.25">
      <c r="A36" s="95" t="s">
        <v>25</v>
      </c>
      <c r="B36" s="95"/>
      <c r="C36" s="95"/>
      <c r="D36" s="95"/>
      <c r="E36" s="95"/>
      <c r="F36" s="95"/>
      <c r="G36" s="95"/>
    </row>
    <row r="37" spans="1:15" ht="9.75" customHeight="1" x14ac:dyDescent="0.25"/>
    <row r="38" spans="1:15" x14ac:dyDescent="0.25">
      <c r="A38" s="95" t="s">
        <v>82</v>
      </c>
      <c r="B38" s="95"/>
      <c r="C38" s="95"/>
      <c r="D38" s="95"/>
      <c r="E38" s="95"/>
      <c r="F38" s="95"/>
      <c r="G38" s="95"/>
    </row>
    <row r="39" spans="1:15" ht="12" customHeight="1" x14ac:dyDescent="0.25"/>
    <row r="40" spans="1:15" x14ac:dyDescent="0.25">
      <c r="A40" s="95" t="s">
        <v>26</v>
      </c>
      <c r="B40" s="95"/>
      <c r="C40" s="95"/>
      <c r="D40" s="95"/>
      <c r="E40" s="95"/>
      <c r="F40" s="95"/>
      <c r="G40" s="95"/>
      <c r="I40" s="95"/>
      <c r="J40" s="95"/>
      <c r="K40" s="95"/>
      <c r="L40" s="95"/>
      <c r="M40" s="95"/>
      <c r="N40" s="95"/>
      <c r="O40" s="95"/>
    </row>
    <row r="41" spans="1:15" ht="11.25" customHeight="1" x14ac:dyDescent="0.25"/>
    <row r="42" spans="1:15" x14ac:dyDescent="0.25">
      <c r="A42" s="99" t="s">
        <v>34</v>
      </c>
      <c r="B42" s="99"/>
      <c r="C42" s="99"/>
      <c r="D42" s="99"/>
      <c r="E42" s="99"/>
      <c r="F42" s="99"/>
      <c r="G42" s="99"/>
      <c r="I42" s="100" t="s">
        <v>87</v>
      </c>
      <c r="J42" s="100"/>
      <c r="K42" s="100"/>
      <c r="L42" s="100"/>
      <c r="M42" s="100"/>
      <c r="N42" s="100"/>
      <c r="O42" s="100"/>
    </row>
  </sheetData>
  <mergeCells count="24">
    <mergeCell ref="A36:G36"/>
    <mergeCell ref="A38:G38"/>
    <mergeCell ref="A40:G40"/>
    <mergeCell ref="I40:O40"/>
    <mergeCell ref="A42:G42"/>
    <mergeCell ref="I42:O42"/>
    <mergeCell ref="A29:O29"/>
    <mergeCell ref="A18:A19"/>
    <mergeCell ref="B18:B19"/>
    <mergeCell ref="C18:C19"/>
    <mergeCell ref="D18:D19"/>
    <mergeCell ref="E18:E19"/>
    <mergeCell ref="F18:I18"/>
    <mergeCell ref="J18:J19"/>
    <mergeCell ref="K18:K19"/>
    <mergeCell ref="L18:M18"/>
    <mergeCell ref="N18:O18"/>
    <mergeCell ref="A21:O21"/>
    <mergeCell ref="I16:K16"/>
    <mergeCell ref="A1:O1"/>
    <mergeCell ref="A2:O2"/>
    <mergeCell ref="A10:N10"/>
    <mergeCell ref="A12:N12"/>
    <mergeCell ref="A14:N14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>
    <tabColor rgb="FF00B050"/>
  </sheetPr>
  <dimension ref="A1:O39"/>
  <sheetViews>
    <sheetView workbookViewId="0">
      <selection activeCell="A23" sqref="A23:K23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47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96" t="s">
        <v>86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</row>
    <row r="3" spans="1:15" x14ac:dyDescent="0.25">
      <c r="A3" s="7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7" t="s">
        <v>99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5" x14ac:dyDescent="0.25">
      <c r="A5" s="8" t="s">
        <v>41</v>
      </c>
      <c r="B5" s="8"/>
      <c r="C5" s="8"/>
      <c r="D5" s="8"/>
      <c r="E5" s="8"/>
      <c r="F5" s="8"/>
      <c r="G5" s="8"/>
      <c r="H5" s="8"/>
      <c r="I5" s="8"/>
      <c r="J5" s="3" t="s">
        <v>105</v>
      </c>
      <c r="K5" s="2"/>
      <c r="L5" s="2"/>
      <c r="M5" s="2"/>
      <c r="N5" s="2"/>
    </row>
    <row r="6" spans="1:15" x14ac:dyDescent="0.25">
      <c r="A6" s="6" t="s">
        <v>42</v>
      </c>
      <c r="F6" s="9"/>
      <c r="G6" s="9"/>
      <c r="H6" s="9"/>
      <c r="I6" s="9"/>
      <c r="J6" s="3"/>
      <c r="K6" s="3"/>
      <c r="L6" s="1"/>
      <c r="M6" s="1"/>
      <c r="N6" s="1"/>
    </row>
    <row r="7" spans="1:15" x14ac:dyDescent="0.25">
      <c r="A7" s="9" t="s">
        <v>140</v>
      </c>
      <c r="B7" s="9"/>
      <c r="C7" s="9"/>
      <c r="D7" s="9"/>
      <c r="E7" s="9"/>
      <c r="F7" s="9"/>
      <c r="G7" s="9"/>
      <c r="H7" s="9"/>
      <c r="I7" s="9"/>
      <c r="J7" s="3" t="s">
        <v>64</v>
      </c>
      <c r="K7" s="1"/>
      <c r="L7" s="1"/>
      <c r="M7" s="1"/>
      <c r="N7" s="1"/>
    </row>
    <row r="8" spans="1:15" x14ac:dyDescent="0.25">
      <c r="A8" s="9" t="s">
        <v>43</v>
      </c>
      <c r="B8" s="9"/>
      <c r="C8" s="9"/>
      <c r="D8" s="9"/>
      <c r="E8" s="9"/>
      <c r="F8" s="9"/>
      <c r="G8" s="9"/>
      <c r="H8" s="9"/>
      <c r="I8" s="9"/>
      <c r="J8" s="3" t="s">
        <v>106</v>
      </c>
      <c r="K8" s="1"/>
      <c r="L8" s="1"/>
      <c r="M8" s="1"/>
      <c r="N8" s="1"/>
    </row>
    <row r="9" spans="1:15" x14ac:dyDescent="0.25">
      <c r="A9" s="9" t="s">
        <v>1</v>
      </c>
      <c r="B9" s="9"/>
      <c r="C9" s="9"/>
      <c r="D9" s="9"/>
      <c r="E9" s="9"/>
      <c r="J9" s="3"/>
      <c r="K9" s="3"/>
      <c r="L9" s="3"/>
      <c r="M9" s="3"/>
      <c r="N9" s="3"/>
    </row>
    <row r="10" spans="1:15" x14ac:dyDescent="0.25">
      <c r="A10" s="97" t="s">
        <v>69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</row>
    <row r="11" spans="1:15" x14ac:dyDescent="0.25">
      <c r="A11" s="10" t="s">
        <v>70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5" x14ac:dyDescent="0.25">
      <c r="A12" s="98" t="s">
        <v>71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A13" s="6" t="s">
        <v>43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</row>
    <row r="14" spans="1:15" x14ac:dyDescent="0.25">
      <c r="A14" s="98" t="s">
        <v>72</v>
      </c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</row>
    <row r="15" spans="1:15" x14ac:dyDescent="0.25">
      <c r="A15" s="29" t="s">
        <v>73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</row>
    <row r="16" spans="1:15" x14ac:dyDescent="0.25">
      <c r="I16" s="98" t="s">
        <v>18</v>
      </c>
      <c r="J16" s="98"/>
      <c r="K16" s="98"/>
      <c r="L16" s="6" t="s">
        <v>24</v>
      </c>
    </row>
    <row r="17" spans="1:15" x14ac:dyDescent="0.25">
      <c r="A17" s="6" t="s">
        <v>61</v>
      </c>
      <c r="I17" s="6" t="s">
        <v>19</v>
      </c>
      <c r="L17" s="29">
        <v>4</v>
      </c>
    </row>
    <row r="18" spans="1:15" ht="16.5" customHeight="1" x14ac:dyDescent="0.25">
      <c r="A18" s="104" t="s">
        <v>2</v>
      </c>
      <c r="B18" s="104" t="s">
        <v>3</v>
      </c>
      <c r="C18" s="104" t="s">
        <v>4</v>
      </c>
      <c r="D18" s="104" t="s">
        <v>5</v>
      </c>
      <c r="E18" s="104" t="s">
        <v>6</v>
      </c>
      <c r="F18" s="101" t="s">
        <v>7</v>
      </c>
      <c r="G18" s="102"/>
      <c r="H18" s="102"/>
      <c r="I18" s="103"/>
      <c r="J18" s="104" t="s">
        <v>12</v>
      </c>
      <c r="K18" s="104" t="s">
        <v>13</v>
      </c>
      <c r="L18" s="101" t="s">
        <v>14</v>
      </c>
      <c r="M18" s="103"/>
      <c r="N18" s="101" t="s">
        <v>15</v>
      </c>
      <c r="O18" s="103"/>
    </row>
    <row r="19" spans="1:15" ht="27.6" x14ac:dyDescent="0.25">
      <c r="A19" s="105"/>
      <c r="B19" s="105"/>
      <c r="C19" s="105"/>
      <c r="D19" s="105"/>
      <c r="E19" s="105"/>
      <c r="F19" s="4" t="s">
        <v>8</v>
      </c>
      <c r="G19" s="4" t="s">
        <v>9</v>
      </c>
      <c r="H19" s="4" t="s">
        <v>10</v>
      </c>
      <c r="I19" s="4" t="s">
        <v>11</v>
      </c>
      <c r="J19" s="105"/>
      <c r="K19" s="105"/>
      <c r="L19" s="4" t="s">
        <v>16</v>
      </c>
      <c r="M19" s="4" t="s">
        <v>17</v>
      </c>
      <c r="N19" s="4" t="s">
        <v>16</v>
      </c>
      <c r="O19" s="4" t="s">
        <v>17</v>
      </c>
    </row>
    <row r="20" spans="1:15" x14ac:dyDescent="0.25">
      <c r="A20" s="4">
        <v>1</v>
      </c>
      <c r="B20" s="4">
        <v>2</v>
      </c>
      <c r="C20" s="4">
        <v>3</v>
      </c>
      <c r="D20" s="4">
        <v>4</v>
      </c>
      <c r="E20" s="4">
        <v>5</v>
      </c>
      <c r="F20" s="4">
        <v>6</v>
      </c>
      <c r="G20" s="4">
        <v>7</v>
      </c>
      <c r="H20" s="4">
        <v>8</v>
      </c>
      <c r="I20" s="4">
        <v>9</v>
      </c>
      <c r="J20" s="4">
        <v>10</v>
      </c>
      <c r="K20" s="4">
        <v>11</v>
      </c>
      <c r="L20" s="4">
        <v>12</v>
      </c>
      <c r="M20" s="4">
        <v>13</v>
      </c>
      <c r="N20" s="4">
        <v>14</v>
      </c>
      <c r="O20" s="4">
        <v>15</v>
      </c>
    </row>
    <row r="21" spans="1:15" x14ac:dyDescent="0.25">
      <c r="A21" s="106" t="s">
        <v>20</v>
      </c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8"/>
    </row>
    <row r="22" spans="1:15" ht="32.25" customHeight="1" x14ac:dyDescent="0.25">
      <c r="A22" s="11" t="s">
        <v>80</v>
      </c>
      <c r="B22" s="12"/>
      <c r="C22" s="4"/>
      <c r="D22" s="4"/>
      <c r="E22" s="4"/>
      <c r="F22" s="4"/>
      <c r="G22" s="13"/>
      <c r="H22" s="13"/>
      <c r="I22" s="13"/>
      <c r="J22" s="14"/>
      <c r="K22" s="14"/>
      <c r="L22" s="14"/>
      <c r="M22" s="14"/>
      <c r="N22" s="14"/>
      <c r="O22" s="14"/>
    </row>
    <row r="23" spans="1:15" ht="45.75" customHeight="1" x14ac:dyDescent="0.25">
      <c r="A23" s="11" t="s">
        <v>104</v>
      </c>
      <c r="B23" s="4">
        <v>1</v>
      </c>
      <c r="C23" s="4" t="s">
        <v>27</v>
      </c>
      <c r="D23" s="5">
        <v>2.5</v>
      </c>
      <c r="E23" s="5">
        <v>5</v>
      </c>
      <c r="F23" s="15">
        <v>96</v>
      </c>
      <c r="G23" s="13">
        <v>18264.2</v>
      </c>
      <c r="H23" s="13">
        <f>F23*2.1</f>
        <v>201.60000000000002</v>
      </c>
      <c r="I23" s="13">
        <f>+G23-H23</f>
        <v>18062.600000000002</v>
      </c>
      <c r="J23" s="13"/>
      <c r="K23" s="13">
        <f>+I23*(108.5/(100+E23))</f>
        <v>18664.686666666672</v>
      </c>
      <c r="L23" s="13"/>
      <c r="M23" s="13"/>
      <c r="N23" s="13"/>
      <c r="O23" s="13"/>
    </row>
    <row r="24" spans="1:15" ht="30.75" customHeight="1" x14ac:dyDescent="0.25">
      <c r="A24" s="16" t="s">
        <v>21</v>
      </c>
      <c r="B24" s="4"/>
      <c r="C24" s="4"/>
      <c r="D24" s="4"/>
      <c r="E24" s="13"/>
      <c r="F24" s="17">
        <f>SUM(F23:F23)</f>
        <v>96</v>
      </c>
      <c r="G24" s="18">
        <f>SUM(G23:G23)</f>
        <v>18264.2</v>
      </c>
      <c r="H24" s="18">
        <f>SUM(H23:H23)</f>
        <v>201.60000000000002</v>
      </c>
      <c r="I24" s="18">
        <f>SUM(I23:I23)</f>
        <v>18062.600000000002</v>
      </c>
      <c r="J24" s="18"/>
      <c r="K24" s="18">
        <f>SUM(K23:K23)</f>
        <v>18664.686666666672</v>
      </c>
      <c r="L24" s="18"/>
      <c r="M24" s="13"/>
      <c r="N24" s="13"/>
      <c r="O24" s="13"/>
    </row>
    <row r="25" spans="1:15" ht="14.25" customHeight="1" x14ac:dyDescent="0.25">
      <c r="A25" s="19"/>
      <c r="B25" s="20"/>
      <c r="C25" s="20"/>
      <c r="D25" s="20"/>
      <c r="E25" s="21"/>
      <c r="F25" s="22"/>
      <c r="G25" s="22"/>
      <c r="H25" s="22"/>
      <c r="I25" s="22"/>
      <c r="J25" s="22"/>
      <c r="K25" s="22"/>
      <c r="L25" s="22"/>
      <c r="M25" s="21"/>
      <c r="N25" s="21"/>
      <c r="O25" s="21"/>
    </row>
    <row r="26" spans="1:15" ht="14.4" x14ac:dyDescent="0.3">
      <c r="A26" s="109" t="s">
        <v>56</v>
      </c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</row>
    <row r="27" spans="1:15" ht="11.25" customHeight="1" x14ac:dyDescent="0.25"/>
    <row r="28" spans="1:15" x14ac:dyDescent="0.25">
      <c r="A28" s="6" t="s">
        <v>22</v>
      </c>
      <c r="D28" s="24">
        <f>+I24</f>
        <v>18062.600000000002</v>
      </c>
    </row>
    <row r="29" spans="1:15" x14ac:dyDescent="0.25">
      <c r="D29" s="25"/>
      <c r="G29" s="23"/>
      <c r="H29" s="23"/>
      <c r="I29" s="23"/>
      <c r="J29" s="23"/>
      <c r="K29" s="23"/>
    </row>
    <row r="30" spans="1:15" x14ac:dyDescent="0.25">
      <c r="A30" s="6" t="s">
        <v>23</v>
      </c>
      <c r="D30" s="24">
        <f>+G24</f>
        <v>18264.2</v>
      </c>
    </row>
    <row r="31" spans="1:15" ht="11.25" customHeight="1" x14ac:dyDescent="0.25">
      <c r="D31" s="24"/>
    </row>
    <row r="32" spans="1:15" ht="10.5" customHeight="1" x14ac:dyDescent="0.25"/>
    <row r="33" spans="1:15" x14ac:dyDescent="0.25">
      <c r="A33" s="95" t="s">
        <v>25</v>
      </c>
      <c r="B33" s="95"/>
      <c r="C33" s="95"/>
      <c r="D33" s="95"/>
      <c r="E33" s="95"/>
      <c r="F33" s="95"/>
      <c r="G33" s="95"/>
    </row>
    <row r="34" spans="1:15" ht="9.75" customHeight="1" x14ac:dyDescent="0.25"/>
    <row r="35" spans="1:15" x14ac:dyDescent="0.25">
      <c r="A35" s="95" t="s">
        <v>82</v>
      </c>
      <c r="B35" s="95"/>
      <c r="C35" s="95"/>
      <c r="D35" s="95"/>
      <c r="E35" s="95"/>
      <c r="F35" s="95"/>
      <c r="G35" s="95"/>
    </row>
    <row r="36" spans="1:15" ht="12" customHeight="1" x14ac:dyDescent="0.25"/>
    <row r="37" spans="1:15" x14ac:dyDescent="0.25">
      <c r="A37" s="95" t="s">
        <v>26</v>
      </c>
      <c r="B37" s="95"/>
      <c r="C37" s="95"/>
      <c r="D37" s="95"/>
      <c r="E37" s="95"/>
      <c r="F37" s="95"/>
      <c r="G37" s="95"/>
      <c r="I37" s="95"/>
      <c r="J37" s="95"/>
      <c r="K37" s="95"/>
      <c r="L37" s="95"/>
      <c r="M37" s="95"/>
      <c r="N37" s="95"/>
      <c r="O37" s="95"/>
    </row>
    <row r="38" spans="1:15" ht="11.25" customHeight="1" x14ac:dyDescent="0.25"/>
    <row r="39" spans="1:15" x14ac:dyDescent="0.25">
      <c r="A39" s="110" t="s">
        <v>65</v>
      </c>
      <c r="B39" s="110"/>
      <c r="C39" s="110"/>
      <c r="D39" s="110"/>
      <c r="E39" s="110"/>
      <c r="F39" s="110"/>
      <c r="G39" s="110"/>
      <c r="I39" s="100" t="s">
        <v>87</v>
      </c>
      <c r="J39" s="100"/>
      <c r="K39" s="100"/>
      <c r="L39" s="100"/>
      <c r="M39" s="100"/>
      <c r="N39" s="100"/>
      <c r="O39" s="100"/>
    </row>
  </sheetData>
  <mergeCells count="24">
    <mergeCell ref="A33:G33"/>
    <mergeCell ref="A35:G35"/>
    <mergeCell ref="A37:G37"/>
    <mergeCell ref="I37:O37"/>
    <mergeCell ref="A39:G39"/>
    <mergeCell ref="I39:O39"/>
    <mergeCell ref="A26:O26"/>
    <mergeCell ref="A18:A19"/>
    <mergeCell ref="B18:B19"/>
    <mergeCell ref="C18:C19"/>
    <mergeCell ref="D18:D19"/>
    <mergeCell ref="E18:E19"/>
    <mergeCell ref="F18:I18"/>
    <mergeCell ref="J18:J19"/>
    <mergeCell ref="K18:K19"/>
    <mergeCell ref="L18:M18"/>
    <mergeCell ref="N18:O18"/>
    <mergeCell ref="A21:O21"/>
    <mergeCell ref="I16:K16"/>
    <mergeCell ref="A1:O1"/>
    <mergeCell ref="A2:O2"/>
    <mergeCell ref="A10:N10"/>
    <mergeCell ref="A12:N12"/>
    <mergeCell ref="A14:N14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>
    <tabColor rgb="FFFFFF00"/>
  </sheetPr>
  <dimension ref="A1:O37"/>
  <sheetViews>
    <sheetView workbookViewId="0">
      <selection activeCell="J4" sqref="J4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52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5" x14ac:dyDescent="0.25">
      <c r="A3" s="7" t="s">
        <v>99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8" t="s">
        <v>41</v>
      </c>
      <c r="B4" s="8"/>
      <c r="C4" s="8"/>
      <c r="D4" s="8"/>
      <c r="E4" s="8"/>
      <c r="F4" s="8"/>
      <c r="G4" s="8"/>
      <c r="H4" s="8"/>
      <c r="I4" s="8"/>
      <c r="J4" s="3" t="s">
        <v>38</v>
      </c>
      <c r="K4" s="2"/>
      <c r="L4" s="2"/>
      <c r="M4" s="2"/>
      <c r="N4" s="2"/>
    </row>
    <row r="5" spans="1:15" x14ac:dyDescent="0.25">
      <c r="A5" s="6" t="s">
        <v>42</v>
      </c>
      <c r="F5" s="9"/>
      <c r="G5" s="9"/>
      <c r="H5" s="9"/>
      <c r="I5" s="9"/>
      <c r="J5" s="3"/>
      <c r="K5" s="3"/>
      <c r="L5" s="1"/>
      <c r="M5" s="1"/>
      <c r="N5" s="1"/>
    </row>
    <row r="6" spans="1:15" x14ac:dyDescent="0.25">
      <c r="A6" s="9" t="s">
        <v>68</v>
      </c>
      <c r="B6" s="9"/>
      <c r="C6" s="9"/>
      <c r="D6" s="9"/>
      <c r="E6" s="9"/>
      <c r="F6" s="9"/>
      <c r="G6" s="9"/>
      <c r="H6" s="9"/>
      <c r="I6" s="9"/>
      <c r="J6" s="3" t="s">
        <v>77</v>
      </c>
      <c r="K6" s="1"/>
      <c r="L6" s="1"/>
      <c r="M6" s="1"/>
      <c r="N6" s="1"/>
    </row>
    <row r="7" spans="1:15" x14ac:dyDescent="0.25">
      <c r="A7" s="9" t="s">
        <v>43</v>
      </c>
      <c r="B7" s="9"/>
      <c r="C7" s="9"/>
      <c r="D7" s="9"/>
      <c r="E7" s="9"/>
      <c r="F7" s="9"/>
      <c r="G7" s="9"/>
      <c r="H7" s="9"/>
      <c r="I7" s="9"/>
      <c r="J7" s="3" t="s">
        <v>39</v>
      </c>
      <c r="K7" s="1"/>
      <c r="L7" s="1"/>
      <c r="M7" s="1"/>
      <c r="N7" s="1"/>
    </row>
    <row r="8" spans="1:15" x14ac:dyDescent="0.25">
      <c r="A8" s="9" t="s">
        <v>1</v>
      </c>
      <c r="B8" s="9"/>
      <c r="C8" s="9"/>
      <c r="D8" s="9"/>
      <c r="E8" s="9"/>
      <c r="J8" s="3"/>
      <c r="K8" s="3"/>
      <c r="L8" s="3"/>
      <c r="M8" s="3"/>
      <c r="N8" s="3"/>
    </row>
    <row r="9" spans="1:15" x14ac:dyDescent="0.25">
      <c r="A9" s="97" t="s">
        <v>44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</row>
    <row r="10" spans="1:15" x14ac:dyDescent="0.25">
      <c r="A10" s="10" t="s">
        <v>45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</row>
    <row r="11" spans="1:15" x14ac:dyDescent="0.25">
      <c r="A11" s="98" t="s">
        <v>140</v>
      </c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</row>
    <row r="12" spans="1:15" x14ac:dyDescent="0.25">
      <c r="A12" s="98" t="s">
        <v>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I13" s="98" t="s">
        <v>18</v>
      </c>
      <c r="J13" s="98"/>
      <c r="K13" s="98"/>
      <c r="L13" s="6" t="s">
        <v>79</v>
      </c>
    </row>
    <row r="14" spans="1:15" x14ac:dyDescent="0.25">
      <c r="A14" s="6" t="s">
        <v>107</v>
      </c>
      <c r="I14" s="6" t="s">
        <v>19</v>
      </c>
      <c r="L14" s="29">
        <v>4</v>
      </c>
    </row>
    <row r="15" spans="1:15" ht="16.5" customHeight="1" x14ac:dyDescent="0.25">
      <c r="A15" s="104" t="s">
        <v>2</v>
      </c>
      <c r="B15" s="104" t="s">
        <v>3</v>
      </c>
      <c r="C15" s="104" t="s">
        <v>4</v>
      </c>
      <c r="D15" s="104" t="s">
        <v>5</v>
      </c>
      <c r="E15" s="104" t="s">
        <v>6</v>
      </c>
      <c r="F15" s="101" t="s">
        <v>7</v>
      </c>
      <c r="G15" s="102"/>
      <c r="H15" s="102"/>
      <c r="I15" s="103"/>
      <c r="J15" s="104" t="s">
        <v>12</v>
      </c>
      <c r="K15" s="104" t="s">
        <v>13</v>
      </c>
      <c r="L15" s="101" t="s">
        <v>14</v>
      </c>
      <c r="M15" s="103"/>
      <c r="N15" s="101" t="s">
        <v>15</v>
      </c>
      <c r="O15" s="103"/>
    </row>
    <row r="16" spans="1:15" ht="27.6" x14ac:dyDescent="0.25">
      <c r="A16" s="105"/>
      <c r="B16" s="105"/>
      <c r="C16" s="105"/>
      <c r="D16" s="105"/>
      <c r="E16" s="105"/>
      <c r="F16" s="4" t="s">
        <v>8</v>
      </c>
      <c r="G16" s="4" t="s">
        <v>9</v>
      </c>
      <c r="H16" s="4" t="s">
        <v>10</v>
      </c>
      <c r="I16" s="4" t="s">
        <v>11</v>
      </c>
      <c r="J16" s="105"/>
      <c r="K16" s="105"/>
      <c r="L16" s="4" t="s">
        <v>16</v>
      </c>
      <c r="M16" s="4" t="s">
        <v>17</v>
      </c>
      <c r="N16" s="4" t="s">
        <v>16</v>
      </c>
      <c r="O16" s="4" t="s">
        <v>17</v>
      </c>
    </row>
    <row r="17" spans="1:15" x14ac:dyDescent="0.25">
      <c r="A17" s="4">
        <v>1</v>
      </c>
      <c r="B17" s="4">
        <v>2</v>
      </c>
      <c r="C17" s="4">
        <v>3</v>
      </c>
      <c r="D17" s="4">
        <v>4</v>
      </c>
      <c r="E17" s="4">
        <v>5</v>
      </c>
      <c r="F17" s="4">
        <v>6</v>
      </c>
      <c r="G17" s="4">
        <v>7</v>
      </c>
      <c r="H17" s="4">
        <v>8</v>
      </c>
      <c r="I17" s="4">
        <v>9</v>
      </c>
      <c r="J17" s="4">
        <v>10</v>
      </c>
      <c r="K17" s="4">
        <v>11</v>
      </c>
      <c r="L17" s="4">
        <v>12</v>
      </c>
      <c r="M17" s="4">
        <v>13</v>
      </c>
      <c r="N17" s="4">
        <v>14</v>
      </c>
      <c r="O17" s="4">
        <v>15</v>
      </c>
    </row>
    <row r="18" spans="1:15" x14ac:dyDescent="0.25">
      <c r="A18" s="106" t="s">
        <v>20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8"/>
    </row>
    <row r="19" spans="1:15" ht="32.25" customHeight="1" x14ac:dyDescent="0.25">
      <c r="A19" s="11" t="s">
        <v>80</v>
      </c>
      <c r="B19" s="12"/>
      <c r="C19" s="4"/>
      <c r="D19" s="4"/>
      <c r="E19" s="4"/>
      <c r="F19" s="4"/>
      <c r="G19" s="13"/>
      <c r="H19" s="13"/>
      <c r="I19" s="13"/>
      <c r="J19" s="14"/>
      <c r="K19" s="14"/>
      <c r="L19" s="14"/>
      <c r="M19" s="14"/>
      <c r="N19" s="14"/>
      <c r="O19" s="14"/>
    </row>
    <row r="20" spans="1:15" ht="39" customHeight="1" x14ac:dyDescent="0.25">
      <c r="A20" s="11" t="s">
        <v>108</v>
      </c>
      <c r="B20" s="4">
        <v>1</v>
      </c>
      <c r="C20" s="4" t="s">
        <v>59</v>
      </c>
      <c r="D20" s="5">
        <v>3</v>
      </c>
      <c r="E20" s="5">
        <v>5</v>
      </c>
      <c r="F20" s="15">
        <v>30</v>
      </c>
      <c r="G20" s="13">
        <v>5635.1</v>
      </c>
      <c r="H20" s="13">
        <f>F20*2.1</f>
        <v>63</v>
      </c>
      <c r="I20" s="13">
        <f>+G20-H20</f>
        <v>5572.1</v>
      </c>
      <c r="J20" s="13"/>
      <c r="K20" s="13">
        <f>+I20*(108.5/(100+E20))</f>
        <v>5757.836666666668</v>
      </c>
      <c r="L20" s="13"/>
      <c r="M20" s="13"/>
      <c r="N20" s="13"/>
      <c r="O20" s="13"/>
    </row>
    <row r="21" spans="1:15" ht="39" customHeight="1" x14ac:dyDescent="0.25">
      <c r="A21" s="11" t="s">
        <v>109</v>
      </c>
      <c r="B21" s="4">
        <v>1</v>
      </c>
      <c r="C21" s="4" t="s">
        <v>59</v>
      </c>
      <c r="D21" s="5">
        <v>3</v>
      </c>
      <c r="E21" s="5">
        <v>5</v>
      </c>
      <c r="F21" s="15">
        <v>66</v>
      </c>
      <c r="G21" s="13">
        <v>12728.1</v>
      </c>
      <c r="H21" s="13">
        <f>F21*2.1</f>
        <v>138.6</v>
      </c>
      <c r="I21" s="13">
        <f>+G21-H21</f>
        <v>12589.5</v>
      </c>
      <c r="J21" s="13"/>
      <c r="K21" s="13">
        <f>+I21*(108.5/(100+E21))</f>
        <v>13009.150000000001</v>
      </c>
      <c r="L21" s="13"/>
      <c r="M21" s="13"/>
      <c r="N21" s="13"/>
      <c r="O21" s="13"/>
    </row>
    <row r="22" spans="1:15" ht="30.75" customHeight="1" x14ac:dyDescent="0.25">
      <c r="A22" s="16" t="s">
        <v>21</v>
      </c>
      <c r="B22" s="4"/>
      <c r="C22" s="4"/>
      <c r="D22" s="4"/>
      <c r="E22" s="13"/>
      <c r="F22" s="17">
        <f>SUM(F20:F21)</f>
        <v>96</v>
      </c>
      <c r="G22" s="18">
        <f>SUM(G20:G21)</f>
        <v>18363.2</v>
      </c>
      <c r="H22" s="18">
        <f>SUM(H20:H21)</f>
        <v>201.6</v>
      </c>
      <c r="I22" s="18">
        <f>SUM(I20:I21)</f>
        <v>18161.599999999999</v>
      </c>
      <c r="J22" s="18"/>
      <c r="K22" s="18">
        <f>SUM(K20:K21)</f>
        <v>18766.986666666671</v>
      </c>
      <c r="L22" s="18"/>
      <c r="M22" s="13"/>
      <c r="N22" s="13"/>
      <c r="O22" s="13"/>
    </row>
    <row r="23" spans="1:15" ht="14.25" customHeight="1" x14ac:dyDescent="0.25">
      <c r="A23" s="19"/>
      <c r="B23" s="20"/>
      <c r="C23" s="20"/>
      <c r="D23" s="20"/>
      <c r="E23" s="21"/>
      <c r="F23" s="22"/>
      <c r="G23" s="22"/>
      <c r="H23" s="22"/>
      <c r="I23" s="22"/>
      <c r="J23" s="22"/>
      <c r="K23" s="22"/>
      <c r="L23" s="22"/>
      <c r="M23" s="21"/>
      <c r="N23" s="21"/>
      <c r="O23" s="21"/>
    </row>
    <row r="24" spans="1:15" ht="14.4" x14ac:dyDescent="0.3">
      <c r="A24" s="109" t="s">
        <v>56</v>
      </c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</row>
    <row r="25" spans="1:15" ht="11.25" customHeight="1" x14ac:dyDescent="0.25"/>
    <row r="26" spans="1:15" x14ac:dyDescent="0.25">
      <c r="A26" s="6" t="s">
        <v>22</v>
      </c>
      <c r="D26" s="24">
        <f>+I22</f>
        <v>18161.599999999999</v>
      </c>
    </row>
    <row r="27" spans="1:15" x14ac:dyDescent="0.25">
      <c r="D27" s="25"/>
      <c r="G27" s="23"/>
      <c r="H27" s="23"/>
      <c r="I27" s="23"/>
      <c r="J27" s="23"/>
      <c r="K27" s="23"/>
    </row>
    <row r="28" spans="1:15" x14ac:dyDescent="0.25">
      <c r="A28" s="6" t="s">
        <v>23</v>
      </c>
      <c r="D28" s="24">
        <f>+G22</f>
        <v>18363.2</v>
      </c>
    </row>
    <row r="29" spans="1:15" ht="11.25" customHeight="1" x14ac:dyDescent="0.25">
      <c r="D29" s="24"/>
    </row>
    <row r="30" spans="1:15" ht="10.5" customHeight="1" x14ac:dyDescent="0.25"/>
    <row r="31" spans="1:15" x14ac:dyDescent="0.25">
      <c r="A31" s="95" t="s">
        <v>25</v>
      </c>
      <c r="B31" s="95"/>
      <c r="C31" s="95"/>
      <c r="D31" s="95"/>
      <c r="E31" s="95"/>
      <c r="F31" s="95"/>
      <c r="G31" s="95"/>
    </row>
    <row r="32" spans="1:15" ht="9.75" customHeight="1" x14ac:dyDescent="0.25"/>
    <row r="33" spans="1:15" x14ac:dyDescent="0.25">
      <c r="A33" s="95" t="s">
        <v>82</v>
      </c>
      <c r="B33" s="95"/>
      <c r="C33" s="95"/>
      <c r="D33" s="95"/>
      <c r="E33" s="95"/>
      <c r="F33" s="95"/>
      <c r="G33" s="95"/>
    </row>
    <row r="34" spans="1:15" ht="12" customHeight="1" x14ac:dyDescent="0.25"/>
    <row r="35" spans="1:15" x14ac:dyDescent="0.25">
      <c r="A35" s="95" t="s">
        <v>26</v>
      </c>
      <c r="B35" s="95"/>
      <c r="C35" s="95"/>
      <c r="D35" s="95"/>
      <c r="E35" s="95"/>
      <c r="F35" s="95"/>
      <c r="G35" s="95"/>
      <c r="I35" s="95"/>
      <c r="J35" s="95"/>
      <c r="K35" s="95"/>
      <c r="L35" s="95"/>
      <c r="M35" s="95"/>
      <c r="N35" s="95"/>
      <c r="O35" s="95"/>
    </row>
    <row r="36" spans="1:15" ht="11.25" customHeight="1" x14ac:dyDescent="0.25"/>
    <row r="37" spans="1:15" x14ac:dyDescent="0.25">
      <c r="A37" s="110" t="s">
        <v>40</v>
      </c>
      <c r="B37" s="110"/>
      <c r="C37" s="110"/>
      <c r="D37" s="110"/>
      <c r="E37" s="110"/>
      <c r="F37" s="110"/>
      <c r="G37" s="110"/>
      <c r="I37" s="100" t="s">
        <v>46</v>
      </c>
      <c r="J37" s="100"/>
      <c r="K37" s="100"/>
      <c r="L37" s="100"/>
      <c r="M37" s="100"/>
      <c r="N37" s="100"/>
      <c r="O37" s="100"/>
    </row>
  </sheetData>
  <mergeCells count="23">
    <mergeCell ref="A35:G35"/>
    <mergeCell ref="I35:O35"/>
    <mergeCell ref="A37:G37"/>
    <mergeCell ref="I37:O37"/>
    <mergeCell ref="F15:I15"/>
    <mergeCell ref="J15:J16"/>
    <mergeCell ref="K15:K16"/>
    <mergeCell ref="L15:M15"/>
    <mergeCell ref="N15:O15"/>
    <mergeCell ref="A18:O18"/>
    <mergeCell ref="A15:A16"/>
    <mergeCell ref="B15:B16"/>
    <mergeCell ref="C15:C16"/>
    <mergeCell ref="D15:D16"/>
    <mergeCell ref="E15:E16"/>
    <mergeCell ref="A24:O24"/>
    <mergeCell ref="A31:G31"/>
    <mergeCell ref="A33:G33"/>
    <mergeCell ref="A1:O1"/>
    <mergeCell ref="A9:N9"/>
    <mergeCell ref="A11:N11"/>
    <mergeCell ref="A12:N12"/>
    <mergeCell ref="I13:K13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>
    <tabColor rgb="FF00B050"/>
  </sheetPr>
  <dimension ref="A1:O40"/>
  <sheetViews>
    <sheetView workbookViewId="0">
      <selection activeCell="A23" sqref="A23:K24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53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96" t="s">
        <v>86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</row>
    <row r="3" spans="1:15" x14ac:dyDescent="0.25">
      <c r="A3" s="7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7" t="s">
        <v>110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5" x14ac:dyDescent="0.25">
      <c r="A5" s="8" t="s">
        <v>41</v>
      </c>
      <c r="B5" s="8"/>
      <c r="C5" s="8"/>
      <c r="D5" s="8"/>
      <c r="E5" s="8"/>
      <c r="F5" s="8"/>
      <c r="G5" s="8"/>
      <c r="H5" s="8"/>
      <c r="I5" s="8"/>
      <c r="J5" s="3" t="s">
        <v>38</v>
      </c>
      <c r="K5" s="2"/>
      <c r="L5" s="2"/>
      <c r="M5" s="2"/>
      <c r="N5" s="2"/>
    </row>
    <row r="6" spans="1:15" x14ac:dyDescent="0.25">
      <c r="A6" s="6" t="s">
        <v>42</v>
      </c>
      <c r="F6" s="9"/>
      <c r="G6" s="9"/>
      <c r="H6" s="9"/>
      <c r="I6" s="9"/>
      <c r="J6" s="3"/>
      <c r="K6" s="3"/>
      <c r="L6" s="1"/>
      <c r="M6" s="1"/>
      <c r="N6" s="1"/>
    </row>
    <row r="7" spans="1:15" x14ac:dyDescent="0.25">
      <c r="A7" s="9" t="s">
        <v>140</v>
      </c>
      <c r="B7" s="9"/>
      <c r="C7" s="9"/>
      <c r="D7" s="9"/>
      <c r="E7" s="9"/>
      <c r="F7" s="9"/>
      <c r="G7" s="9"/>
      <c r="H7" s="9"/>
      <c r="I7" s="9"/>
      <c r="J7" s="3" t="s">
        <v>77</v>
      </c>
      <c r="K7" s="1"/>
      <c r="L7" s="1"/>
      <c r="M7" s="1"/>
      <c r="N7" s="1"/>
    </row>
    <row r="8" spans="1:15" x14ac:dyDescent="0.25">
      <c r="A8" s="9" t="s">
        <v>43</v>
      </c>
      <c r="B8" s="9"/>
      <c r="C8" s="9"/>
      <c r="D8" s="9"/>
      <c r="E8" s="9"/>
      <c r="F8" s="9"/>
      <c r="G8" s="9"/>
      <c r="H8" s="9"/>
      <c r="I8" s="9"/>
      <c r="J8" s="3" t="s">
        <v>39</v>
      </c>
      <c r="K8" s="1"/>
      <c r="L8" s="1"/>
      <c r="M8" s="1"/>
      <c r="N8" s="1"/>
    </row>
    <row r="9" spans="1:15" x14ac:dyDescent="0.25">
      <c r="A9" s="9" t="s">
        <v>1</v>
      </c>
      <c r="B9" s="9"/>
      <c r="C9" s="9"/>
      <c r="D9" s="9"/>
      <c r="E9" s="9"/>
      <c r="J9" s="3"/>
      <c r="K9" s="3"/>
      <c r="L9" s="3"/>
      <c r="M9" s="3"/>
      <c r="N9" s="3"/>
    </row>
    <row r="10" spans="1:15" x14ac:dyDescent="0.25">
      <c r="A10" s="97" t="s">
        <v>69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</row>
    <row r="11" spans="1:15" x14ac:dyDescent="0.25">
      <c r="A11" s="10" t="s">
        <v>70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5" x14ac:dyDescent="0.25">
      <c r="A12" s="98" t="s">
        <v>71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A13" s="6" t="s">
        <v>43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</row>
    <row r="14" spans="1:15" x14ac:dyDescent="0.25">
      <c r="A14" s="98" t="s">
        <v>72</v>
      </c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</row>
    <row r="15" spans="1:15" x14ac:dyDescent="0.25">
      <c r="A15" s="29" t="s">
        <v>73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</row>
    <row r="16" spans="1:15" x14ac:dyDescent="0.25">
      <c r="I16" s="98" t="s">
        <v>18</v>
      </c>
      <c r="J16" s="98"/>
      <c r="K16" s="98"/>
      <c r="L16" s="6" t="s">
        <v>24</v>
      </c>
    </row>
    <row r="17" spans="1:15" x14ac:dyDescent="0.25">
      <c r="A17" s="6" t="s">
        <v>62</v>
      </c>
      <c r="I17" s="6" t="s">
        <v>19</v>
      </c>
      <c r="L17" s="29">
        <v>4</v>
      </c>
    </row>
    <row r="18" spans="1:15" ht="16.5" customHeight="1" x14ac:dyDescent="0.25">
      <c r="A18" s="104" t="s">
        <v>2</v>
      </c>
      <c r="B18" s="104" t="s">
        <v>3</v>
      </c>
      <c r="C18" s="104" t="s">
        <v>4</v>
      </c>
      <c r="D18" s="104" t="s">
        <v>5</v>
      </c>
      <c r="E18" s="104" t="s">
        <v>6</v>
      </c>
      <c r="F18" s="101" t="s">
        <v>7</v>
      </c>
      <c r="G18" s="102"/>
      <c r="H18" s="102"/>
      <c r="I18" s="103"/>
      <c r="J18" s="104" t="s">
        <v>12</v>
      </c>
      <c r="K18" s="104" t="s">
        <v>13</v>
      </c>
      <c r="L18" s="101" t="s">
        <v>14</v>
      </c>
      <c r="M18" s="103"/>
      <c r="N18" s="101" t="s">
        <v>15</v>
      </c>
      <c r="O18" s="103"/>
    </row>
    <row r="19" spans="1:15" ht="27.6" x14ac:dyDescent="0.25">
      <c r="A19" s="105"/>
      <c r="B19" s="105"/>
      <c r="C19" s="105"/>
      <c r="D19" s="105"/>
      <c r="E19" s="105"/>
      <c r="F19" s="4" t="s">
        <v>8</v>
      </c>
      <c r="G19" s="4" t="s">
        <v>9</v>
      </c>
      <c r="H19" s="4" t="s">
        <v>10</v>
      </c>
      <c r="I19" s="4" t="s">
        <v>11</v>
      </c>
      <c r="J19" s="105"/>
      <c r="K19" s="105"/>
      <c r="L19" s="4" t="s">
        <v>16</v>
      </c>
      <c r="M19" s="4" t="s">
        <v>17</v>
      </c>
      <c r="N19" s="4" t="s">
        <v>16</v>
      </c>
      <c r="O19" s="4" t="s">
        <v>17</v>
      </c>
    </row>
    <row r="20" spans="1:15" x14ac:dyDescent="0.25">
      <c r="A20" s="4">
        <v>1</v>
      </c>
      <c r="B20" s="4">
        <v>2</v>
      </c>
      <c r="C20" s="4">
        <v>3</v>
      </c>
      <c r="D20" s="4">
        <v>4</v>
      </c>
      <c r="E20" s="4">
        <v>5</v>
      </c>
      <c r="F20" s="4">
        <v>6</v>
      </c>
      <c r="G20" s="4">
        <v>7</v>
      </c>
      <c r="H20" s="4">
        <v>8</v>
      </c>
      <c r="I20" s="4">
        <v>9</v>
      </c>
      <c r="J20" s="4">
        <v>10</v>
      </c>
      <c r="K20" s="4">
        <v>11</v>
      </c>
      <c r="L20" s="4">
        <v>12</v>
      </c>
      <c r="M20" s="4">
        <v>13</v>
      </c>
      <c r="N20" s="4">
        <v>14</v>
      </c>
      <c r="O20" s="4">
        <v>15</v>
      </c>
    </row>
    <row r="21" spans="1:15" x14ac:dyDescent="0.25">
      <c r="A21" s="106" t="s">
        <v>20</v>
      </c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8"/>
    </row>
    <row r="22" spans="1:15" ht="32.25" customHeight="1" x14ac:dyDescent="0.25">
      <c r="A22" s="11" t="s">
        <v>80</v>
      </c>
      <c r="B22" s="12"/>
      <c r="C22" s="4"/>
      <c r="D22" s="4"/>
      <c r="E22" s="4"/>
      <c r="F22" s="4"/>
      <c r="G22" s="13"/>
      <c r="H22" s="13"/>
      <c r="I22" s="13"/>
      <c r="J22" s="14"/>
      <c r="K22" s="14"/>
      <c r="L22" s="14"/>
      <c r="M22" s="14"/>
      <c r="N22" s="14"/>
      <c r="O22" s="14"/>
    </row>
    <row r="23" spans="1:15" ht="45.75" customHeight="1" x14ac:dyDescent="0.25">
      <c r="A23" s="11" t="s">
        <v>111</v>
      </c>
      <c r="B23" s="4">
        <v>1</v>
      </c>
      <c r="C23" s="4" t="s">
        <v>59</v>
      </c>
      <c r="D23" s="5">
        <v>3</v>
      </c>
      <c r="E23" s="5">
        <v>5</v>
      </c>
      <c r="F23" s="15">
        <v>42</v>
      </c>
      <c r="G23" s="13">
        <v>8119.3</v>
      </c>
      <c r="H23" s="13">
        <f>F23*2.1</f>
        <v>88.2</v>
      </c>
      <c r="I23" s="13">
        <f>+G23-H23</f>
        <v>8031.1</v>
      </c>
      <c r="J23" s="13"/>
      <c r="K23" s="13">
        <f>+I23*(108.5/(100+E23))</f>
        <v>8298.8033333333351</v>
      </c>
      <c r="L23" s="13"/>
      <c r="M23" s="13"/>
      <c r="N23" s="13"/>
      <c r="O23" s="13"/>
    </row>
    <row r="24" spans="1:15" ht="45.75" customHeight="1" x14ac:dyDescent="0.25">
      <c r="A24" s="11" t="s">
        <v>112</v>
      </c>
      <c r="B24" s="4">
        <v>1</v>
      </c>
      <c r="C24" s="4" t="s">
        <v>59</v>
      </c>
      <c r="D24" s="5">
        <v>3</v>
      </c>
      <c r="E24" s="5">
        <v>5</v>
      </c>
      <c r="F24" s="15">
        <v>42</v>
      </c>
      <c r="G24" s="13">
        <v>8480.4</v>
      </c>
      <c r="H24" s="13">
        <f>F24*2.1</f>
        <v>88.2</v>
      </c>
      <c r="I24" s="13">
        <f>+G24-H24</f>
        <v>8392.1999999999989</v>
      </c>
      <c r="J24" s="13"/>
      <c r="K24" s="13">
        <f>+I24*(108.5/(100+E24))</f>
        <v>8671.94</v>
      </c>
      <c r="L24" s="13"/>
      <c r="M24" s="13"/>
      <c r="N24" s="13"/>
      <c r="O24" s="13"/>
    </row>
    <row r="25" spans="1:15" ht="30.75" customHeight="1" x14ac:dyDescent="0.25">
      <c r="A25" s="16" t="s">
        <v>21</v>
      </c>
      <c r="B25" s="4"/>
      <c r="C25" s="4"/>
      <c r="D25" s="4"/>
      <c r="E25" s="13"/>
      <c r="F25" s="17">
        <f>SUM(F23:F24)</f>
        <v>84</v>
      </c>
      <c r="G25" s="18">
        <f>SUM(G23:G24)</f>
        <v>16599.7</v>
      </c>
      <c r="H25" s="18">
        <f>SUM(H23:H24)</f>
        <v>176.4</v>
      </c>
      <c r="I25" s="18">
        <f>SUM(I23:I24)</f>
        <v>16423.3</v>
      </c>
      <c r="J25" s="18"/>
      <c r="K25" s="18">
        <f>SUM(K23:K24)</f>
        <v>16970.743333333336</v>
      </c>
      <c r="L25" s="18"/>
      <c r="M25" s="13"/>
      <c r="N25" s="13"/>
      <c r="O25" s="13"/>
    </row>
    <row r="26" spans="1:15" ht="14.25" customHeight="1" x14ac:dyDescent="0.25">
      <c r="A26" s="19"/>
      <c r="B26" s="20"/>
      <c r="C26" s="20"/>
      <c r="D26" s="20"/>
      <c r="E26" s="21"/>
      <c r="F26" s="22"/>
      <c r="G26" s="22"/>
      <c r="H26" s="22"/>
      <c r="I26" s="22"/>
      <c r="J26" s="22"/>
      <c r="K26" s="22"/>
      <c r="L26" s="22"/>
      <c r="M26" s="21"/>
      <c r="N26" s="21"/>
      <c r="O26" s="21"/>
    </row>
    <row r="27" spans="1:15" ht="14.4" x14ac:dyDescent="0.3">
      <c r="A27" s="109" t="s">
        <v>113</v>
      </c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</row>
    <row r="28" spans="1:15" ht="11.25" customHeight="1" x14ac:dyDescent="0.25"/>
    <row r="29" spans="1:15" x14ac:dyDescent="0.25">
      <c r="A29" s="6" t="s">
        <v>22</v>
      </c>
      <c r="D29" s="24">
        <f>+I25</f>
        <v>16423.3</v>
      </c>
    </row>
    <row r="30" spans="1:15" x14ac:dyDescent="0.25">
      <c r="D30" s="25"/>
      <c r="G30" s="23"/>
      <c r="H30" s="23"/>
      <c r="I30" s="23"/>
      <c r="J30" s="23"/>
      <c r="K30" s="23"/>
    </row>
    <row r="31" spans="1:15" x14ac:dyDescent="0.25">
      <c r="A31" s="6" t="s">
        <v>23</v>
      </c>
      <c r="D31" s="24">
        <f>+G25</f>
        <v>16599.7</v>
      </c>
    </row>
    <row r="32" spans="1:15" ht="11.25" customHeight="1" x14ac:dyDescent="0.25">
      <c r="D32" s="24"/>
    </row>
    <row r="33" spans="1:15" ht="10.5" customHeight="1" x14ac:dyDescent="0.25"/>
    <row r="34" spans="1:15" x14ac:dyDescent="0.25">
      <c r="A34" s="95" t="s">
        <v>25</v>
      </c>
      <c r="B34" s="95"/>
      <c r="C34" s="95"/>
      <c r="D34" s="95"/>
      <c r="E34" s="95"/>
      <c r="F34" s="95"/>
      <c r="G34" s="95"/>
    </row>
    <row r="35" spans="1:15" ht="9.75" customHeight="1" x14ac:dyDescent="0.25"/>
    <row r="36" spans="1:15" x14ac:dyDescent="0.25">
      <c r="A36" s="95" t="s">
        <v>82</v>
      </c>
      <c r="B36" s="95"/>
      <c r="C36" s="95"/>
      <c r="D36" s="95"/>
      <c r="E36" s="95"/>
      <c r="F36" s="95"/>
      <c r="G36" s="95"/>
    </row>
    <row r="37" spans="1:15" ht="12" customHeight="1" x14ac:dyDescent="0.25"/>
    <row r="38" spans="1:15" x14ac:dyDescent="0.25">
      <c r="A38" s="95" t="s">
        <v>26</v>
      </c>
      <c r="B38" s="95"/>
      <c r="C38" s="95"/>
      <c r="D38" s="95"/>
      <c r="E38" s="95"/>
      <c r="F38" s="95"/>
      <c r="G38" s="95"/>
      <c r="I38" s="95"/>
      <c r="J38" s="95"/>
      <c r="K38" s="95"/>
      <c r="L38" s="95"/>
      <c r="M38" s="95"/>
      <c r="N38" s="95"/>
      <c r="O38" s="95"/>
    </row>
    <row r="39" spans="1:15" ht="11.25" customHeight="1" x14ac:dyDescent="0.25"/>
    <row r="40" spans="1:15" x14ac:dyDescent="0.25">
      <c r="A40" s="110" t="s">
        <v>40</v>
      </c>
      <c r="B40" s="110"/>
      <c r="C40" s="110"/>
      <c r="D40" s="110"/>
      <c r="E40" s="110"/>
      <c r="F40" s="110"/>
      <c r="G40" s="110"/>
      <c r="I40" s="100" t="s">
        <v>87</v>
      </c>
      <c r="J40" s="100"/>
      <c r="K40" s="100"/>
      <c r="L40" s="100"/>
      <c r="M40" s="100"/>
      <c r="N40" s="100"/>
      <c r="O40" s="100"/>
    </row>
  </sheetData>
  <mergeCells count="24">
    <mergeCell ref="A34:G34"/>
    <mergeCell ref="A36:G36"/>
    <mergeCell ref="A38:G38"/>
    <mergeCell ref="I38:O38"/>
    <mergeCell ref="A40:G40"/>
    <mergeCell ref="I40:O40"/>
    <mergeCell ref="A27:O27"/>
    <mergeCell ref="A18:A19"/>
    <mergeCell ref="B18:B19"/>
    <mergeCell ref="C18:C19"/>
    <mergeCell ref="D18:D19"/>
    <mergeCell ref="E18:E19"/>
    <mergeCell ref="F18:I18"/>
    <mergeCell ref="J18:J19"/>
    <mergeCell ref="K18:K19"/>
    <mergeCell ref="L18:M18"/>
    <mergeCell ref="N18:O18"/>
    <mergeCell ref="A21:O21"/>
    <mergeCell ref="I16:K16"/>
    <mergeCell ref="A1:O1"/>
    <mergeCell ref="A2:O2"/>
    <mergeCell ref="A10:N10"/>
    <mergeCell ref="A12:N12"/>
    <mergeCell ref="A14:N14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>
    <tabColor rgb="FF00B050"/>
  </sheetPr>
  <dimension ref="A1:O40"/>
  <sheetViews>
    <sheetView workbookViewId="0">
      <selection activeCell="J5" sqref="J5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54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96" t="s">
        <v>86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</row>
    <row r="3" spans="1:15" x14ac:dyDescent="0.25">
      <c r="A3" s="7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7" t="s">
        <v>114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5" x14ac:dyDescent="0.25">
      <c r="A5" s="8" t="s">
        <v>41</v>
      </c>
      <c r="B5" s="8"/>
      <c r="C5" s="8"/>
      <c r="D5" s="8"/>
      <c r="E5" s="8"/>
      <c r="F5" s="8"/>
      <c r="G5" s="8"/>
      <c r="H5" s="8"/>
      <c r="I5" s="8"/>
      <c r="J5" s="3" t="s">
        <v>48</v>
      </c>
      <c r="K5" s="2"/>
      <c r="L5" s="2"/>
      <c r="M5" s="2"/>
      <c r="N5" s="2"/>
    </row>
    <row r="6" spans="1:15" x14ac:dyDescent="0.25">
      <c r="A6" s="6" t="s">
        <v>42</v>
      </c>
      <c r="F6" s="9"/>
      <c r="G6" s="9"/>
      <c r="H6" s="9"/>
      <c r="I6" s="9"/>
      <c r="J6" s="3"/>
      <c r="K6" s="3"/>
      <c r="L6" s="1"/>
      <c r="M6" s="1"/>
      <c r="N6" s="1"/>
    </row>
    <row r="7" spans="1:15" x14ac:dyDescent="0.25">
      <c r="A7" s="9" t="s">
        <v>140</v>
      </c>
      <c r="B7" s="9"/>
      <c r="C7" s="9"/>
      <c r="D7" s="9"/>
      <c r="E7" s="9"/>
      <c r="F7" s="9"/>
      <c r="G7" s="9"/>
      <c r="H7" s="9"/>
      <c r="I7" s="9"/>
      <c r="J7" s="3" t="s">
        <v>51</v>
      </c>
      <c r="K7" s="1"/>
      <c r="L7" s="1"/>
      <c r="M7" s="1"/>
      <c r="N7" s="1"/>
    </row>
    <row r="8" spans="1:15" x14ac:dyDescent="0.25">
      <c r="A8" s="9" t="s">
        <v>43</v>
      </c>
      <c r="B8" s="9"/>
      <c r="C8" s="9"/>
      <c r="D8" s="9"/>
      <c r="E8" s="9"/>
      <c r="F8" s="9"/>
      <c r="G8" s="9"/>
      <c r="H8" s="9"/>
      <c r="I8" s="9"/>
      <c r="J8" s="3" t="s">
        <v>49</v>
      </c>
      <c r="K8" s="1"/>
      <c r="L8" s="1"/>
      <c r="M8" s="1"/>
      <c r="N8" s="1"/>
    </row>
    <row r="9" spans="1:15" x14ac:dyDescent="0.25">
      <c r="A9" s="9" t="s">
        <v>1</v>
      </c>
      <c r="B9" s="9"/>
      <c r="C9" s="9"/>
      <c r="D9" s="9"/>
      <c r="E9" s="9"/>
      <c r="J9" s="3"/>
      <c r="K9" s="3"/>
      <c r="L9" s="3"/>
      <c r="M9" s="3"/>
      <c r="N9" s="3"/>
    </row>
    <row r="10" spans="1:15" x14ac:dyDescent="0.25">
      <c r="A10" s="97" t="s">
        <v>69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</row>
    <row r="11" spans="1:15" x14ac:dyDescent="0.25">
      <c r="A11" s="10" t="s">
        <v>70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5" x14ac:dyDescent="0.25">
      <c r="A12" s="98" t="s">
        <v>71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A13" s="6" t="s">
        <v>43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</row>
    <row r="14" spans="1:15" x14ac:dyDescent="0.25">
      <c r="A14" s="98" t="s">
        <v>72</v>
      </c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</row>
    <row r="15" spans="1:15" x14ac:dyDescent="0.25">
      <c r="A15" s="29" t="s">
        <v>73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</row>
    <row r="16" spans="1:15" x14ac:dyDescent="0.25">
      <c r="I16" s="98" t="s">
        <v>18</v>
      </c>
      <c r="J16" s="98"/>
      <c r="K16" s="98"/>
      <c r="L16" s="6" t="s">
        <v>24</v>
      </c>
    </row>
    <row r="17" spans="1:15" x14ac:dyDescent="0.25">
      <c r="A17" s="6" t="s">
        <v>63</v>
      </c>
      <c r="I17" s="6" t="s">
        <v>19</v>
      </c>
      <c r="L17" s="29">
        <v>4</v>
      </c>
    </row>
    <row r="18" spans="1:15" ht="16.5" customHeight="1" x14ac:dyDescent="0.25">
      <c r="A18" s="104" t="s">
        <v>2</v>
      </c>
      <c r="B18" s="104" t="s">
        <v>3</v>
      </c>
      <c r="C18" s="104" t="s">
        <v>4</v>
      </c>
      <c r="D18" s="104" t="s">
        <v>5</v>
      </c>
      <c r="E18" s="104" t="s">
        <v>6</v>
      </c>
      <c r="F18" s="101" t="s">
        <v>7</v>
      </c>
      <c r="G18" s="102"/>
      <c r="H18" s="102"/>
      <c r="I18" s="103"/>
      <c r="J18" s="104" t="s">
        <v>12</v>
      </c>
      <c r="K18" s="104" t="s">
        <v>13</v>
      </c>
      <c r="L18" s="101" t="s">
        <v>14</v>
      </c>
      <c r="M18" s="103"/>
      <c r="N18" s="101" t="s">
        <v>15</v>
      </c>
      <c r="O18" s="103"/>
    </row>
    <row r="19" spans="1:15" ht="27.6" x14ac:dyDescent="0.25">
      <c r="A19" s="105"/>
      <c r="B19" s="105"/>
      <c r="C19" s="105"/>
      <c r="D19" s="105"/>
      <c r="E19" s="105"/>
      <c r="F19" s="4" t="s">
        <v>8</v>
      </c>
      <c r="G19" s="4" t="s">
        <v>9</v>
      </c>
      <c r="H19" s="4" t="s">
        <v>10</v>
      </c>
      <c r="I19" s="4" t="s">
        <v>11</v>
      </c>
      <c r="J19" s="105"/>
      <c r="K19" s="105"/>
      <c r="L19" s="4" t="s">
        <v>16</v>
      </c>
      <c r="M19" s="4" t="s">
        <v>17</v>
      </c>
      <c r="N19" s="4" t="s">
        <v>16</v>
      </c>
      <c r="O19" s="4" t="s">
        <v>17</v>
      </c>
    </row>
    <row r="20" spans="1:15" x14ac:dyDescent="0.25">
      <c r="A20" s="4">
        <v>1</v>
      </c>
      <c r="B20" s="4">
        <v>2</v>
      </c>
      <c r="C20" s="4">
        <v>3</v>
      </c>
      <c r="D20" s="4">
        <v>4</v>
      </c>
      <c r="E20" s="4">
        <v>5</v>
      </c>
      <c r="F20" s="4">
        <v>6</v>
      </c>
      <c r="G20" s="4">
        <v>7</v>
      </c>
      <c r="H20" s="4">
        <v>8</v>
      </c>
      <c r="I20" s="4">
        <v>9</v>
      </c>
      <c r="J20" s="4">
        <v>10</v>
      </c>
      <c r="K20" s="4">
        <v>11</v>
      </c>
      <c r="L20" s="4">
        <v>12</v>
      </c>
      <c r="M20" s="4">
        <v>13</v>
      </c>
      <c r="N20" s="4">
        <v>14</v>
      </c>
      <c r="O20" s="4">
        <v>15</v>
      </c>
    </row>
    <row r="21" spans="1:15" x14ac:dyDescent="0.25">
      <c r="A21" s="106" t="s">
        <v>20</v>
      </c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8"/>
    </row>
    <row r="22" spans="1:15" ht="32.25" customHeight="1" x14ac:dyDescent="0.25">
      <c r="A22" s="11" t="s">
        <v>80</v>
      </c>
      <c r="B22" s="12"/>
      <c r="C22" s="4"/>
      <c r="D22" s="4"/>
      <c r="E22" s="4"/>
      <c r="F22" s="4"/>
      <c r="G22" s="13"/>
      <c r="H22" s="13"/>
      <c r="I22" s="13"/>
      <c r="J22" s="14"/>
      <c r="K22" s="14"/>
      <c r="L22" s="14"/>
      <c r="M22" s="14"/>
      <c r="N22" s="14"/>
      <c r="O22" s="14"/>
    </row>
    <row r="23" spans="1:15" ht="36" customHeight="1" x14ac:dyDescent="0.25">
      <c r="A23" s="11" t="s">
        <v>115</v>
      </c>
      <c r="B23" s="4">
        <v>1</v>
      </c>
      <c r="C23" s="4" t="s">
        <v>59</v>
      </c>
      <c r="D23" s="5">
        <v>3</v>
      </c>
      <c r="E23" s="5">
        <v>5</v>
      </c>
      <c r="F23" s="15">
        <v>69</v>
      </c>
      <c r="G23" s="13">
        <v>13588</v>
      </c>
      <c r="H23" s="13">
        <f>F23*2.1</f>
        <v>144.9</v>
      </c>
      <c r="I23" s="13">
        <f>+G23-H23</f>
        <v>13443.1</v>
      </c>
      <c r="J23" s="13"/>
      <c r="K23" s="13">
        <f>+I23*(108.5/(100+E23))</f>
        <v>13891.203333333335</v>
      </c>
      <c r="L23" s="13"/>
      <c r="M23" s="13"/>
      <c r="N23" s="13"/>
      <c r="O23" s="13"/>
    </row>
    <row r="24" spans="1:15" ht="36" customHeight="1" x14ac:dyDescent="0.25">
      <c r="A24" s="11" t="s">
        <v>116</v>
      </c>
      <c r="B24" s="4">
        <v>1</v>
      </c>
      <c r="C24" s="4" t="s">
        <v>66</v>
      </c>
      <c r="D24" s="5">
        <v>4</v>
      </c>
      <c r="E24" s="5">
        <v>5</v>
      </c>
      <c r="F24" s="15">
        <v>27</v>
      </c>
      <c r="G24" s="13">
        <v>5404.5</v>
      </c>
      <c r="H24" s="13">
        <f>F24*2.1</f>
        <v>56.7</v>
      </c>
      <c r="I24" s="13">
        <f>+G24-H24</f>
        <v>5347.8</v>
      </c>
      <c r="J24" s="13"/>
      <c r="K24" s="13">
        <f>+I24*(108.5/(100+E24))</f>
        <v>5526.06</v>
      </c>
      <c r="L24" s="13"/>
      <c r="M24" s="13"/>
      <c r="N24" s="13"/>
      <c r="O24" s="13"/>
    </row>
    <row r="25" spans="1:15" ht="30.75" customHeight="1" x14ac:dyDescent="0.25">
      <c r="A25" s="16" t="s">
        <v>21</v>
      </c>
      <c r="B25" s="4"/>
      <c r="C25" s="4"/>
      <c r="D25" s="4"/>
      <c r="E25" s="13"/>
      <c r="F25" s="17">
        <f>SUM(F23:F24)</f>
        <v>96</v>
      </c>
      <c r="G25" s="18">
        <f>SUM(G23:G24)</f>
        <v>18992.5</v>
      </c>
      <c r="H25" s="18">
        <f>SUM(H23:H24)</f>
        <v>201.60000000000002</v>
      </c>
      <c r="I25" s="18">
        <f>SUM(I23:I24)</f>
        <v>18790.900000000001</v>
      </c>
      <c r="J25" s="18"/>
      <c r="K25" s="18">
        <f>SUM(K23:K24)</f>
        <v>19417.263333333336</v>
      </c>
      <c r="L25" s="18"/>
      <c r="M25" s="13"/>
      <c r="N25" s="13"/>
      <c r="O25" s="13"/>
    </row>
    <row r="26" spans="1:15" ht="14.25" customHeight="1" x14ac:dyDescent="0.25">
      <c r="A26" s="19"/>
      <c r="B26" s="20"/>
      <c r="C26" s="20"/>
      <c r="D26" s="20"/>
      <c r="E26" s="21"/>
      <c r="F26" s="22"/>
      <c r="G26" s="22"/>
      <c r="H26" s="22"/>
      <c r="I26" s="22"/>
      <c r="J26" s="22"/>
      <c r="K26" s="22"/>
      <c r="L26" s="22"/>
      <c r="M26" s="21"/>
      <c r="N26" s="21"/>
      <c r="O26" s="21"/>
    </row>
    <row r="27" spans="1:15" ht="14.4" x14ac:dyDescent="0.3">
      <c r="A27" s="109" t="s">
        <v>56</v>
      </c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</row>
    <row r="28" spans="1:15" ht="11.25" customHeight="1" x14ac:dyDescent="0.25"/>
    <row r="29" spans="1:15" x14ac:dyDescent="0.25">
      <c r="A29" s="6" t="s">
        <v>22</v>
      </c>
      <c r="D29" s="24">
        <f>+I25</f>
        <v>18790.900000000001</v>
      </c>
    </row>
    <row r="30" spans="1:15" x14ac:dyDescent="0.25">
      <c r="D30" s="25"/>
      <c r="G30" s="23"/>
      <c r="H30" s="23"/>
      <c r="I30" s="23"/>
      <c r="J30" s="23"/>
      <c r="K30" s="23"/>
    </row>
    <row r="31" spans="1:15" x14ac:dyDescent="0.25">
      <c r="A31" s="6" t="s">
        <v>23</v>
      </c>
      <c r="D31" s="24">
        <f>+G25</f>
        <v>18992.5</v>
      </c>
    </row>
    <row r="32" spans="1:15" ht="11.25" customHeight="1" x14ac:dyDescent="0.25">
      <c r="D32" s="24"/>
    </row>
    <row r="33" spans="1:15" ht="10.5" customHeight="1" x14ac:dyDescent="0.25"/>
    <row r="34" spans="1:15" x14ac:dyDescent="0.25">
      <c r="A34" s="95" t="s">
        <v>25</v>
      </c>
      <c r="B34" s="95"/>
      <c r="C34" s="95"/>
      <c r="D34" s="95"/>
      <c r="E34" s="95"/>
      <c r="F34" s="95"/>
      <c r="G34" s="95"/>
    </row>
    <row r="35" spans="1:15" ht="9.75" customHeight="1" x14ac:dyDescent="0.25"/>
    <row r="36" spans="1:15" x14ac:dyDescent="0.25">
      <c r="A36" s="95" t="s">
        <v>82</v>
      </c>
      <c r="B36" s="95"/>
      <c r="C36" s="95"/>
      <c r="D36" s="95"/>
      <c r="E36" s="95"/>
      <c r="F36" s="95"/>
      <c r="G36" s="95"/>
    </row>
    <row r="37" spans="1:15" ht="12" customHeight="1" x14ac:dyDescent="0.25"/>
    <row r="38" spans="1:15" x14ac:dyDescent="0.25">
      <c r="A38" s="95" t="s">
        <v>26</v>
      </c>
      <c r="B38" s="95"/>
      <c r="C38" s="95"/>
      <c r="D38" s="95"/>
      <c r="E38" s="95"/>
      <c r="F38" s="95"/>
      <c r="G38" s="95"/>
      <c r="I38" s="95"/>
      <c r="J38" s="95"/>
      <c r="K38" s="95"/>
      <c r="L38" s="95"/>
      <c r="M38" s="95"/>
      <c r="N38" s="95"/>
      <c r="O38" s="95"/>
    </row>
    <row r="39" spans="1:15" ht="11.25" customHeight="1" x14ac:dyDescent="0.25"/>
    <row r="40" spans="1:15" x14ac:dyDescent="0.25">
      <c r="A40" s="110" t="s">
        <v>50</v>
      </c>
      <c r="B40" s="110"/>
      <c r="C40" s="110"/>
      <c r="D40" s="110"/>
      <c r="E40" s="110"/>
      <c r="F40" s="110"/>
      <c r="G40" s="110"/>
      <c r="I40" s="100" t="s">
        <v>87</v>
      </c>
      <c r="J40" s="100"/>
      <c r="K40" s="100"/>
      <c r="L40" s="100"/>
      <c r="M40" s="100"/>
      <c r="N40" s="100"/>
      <c r="O40" s="100"/>
    </row>
  </sheetData>
  <mergeCells count="24">
    <mergeCell ref="A34:G34"/>
    <mergeCell ref="A36:G36"/>
    <mergeCell ref="A38:G38"/>
    <mergeCell ref="I38:O38"/>
    <mergeCell ref="A40:G40"/>
    <mergeCell ref="I40:O40"/>
    <mergeCell ref="A27:O27"/>
    <mergeCell ref="A18:A19"/>
    <mergeCell ref="B18:B19"/>
    <mergeCell ref="C18:C19"/>
    <mergeCell ref="D18:D19"/>
    <mergeCell ref="E18:E19"/>
    <mergeCell ref="F18:I18"/>
    <mergeCell ref="J18:J19"/>
    <mergeCell ref="K18:K19"/>
    <mergeCell ref="L18:M18"/>
    <mergeCell ref="N18:O18"/>
    <mergeCell ref="A21:O21"/>
    <mergeCell ref="I16:K16"/>
    <mergeCell ref="A1:O1"/>
    <mergeCell ref="A2:O2"/>
    <mergeCell ref="A10:N10"/>
    <mergeCell ref="A12:N12"/>
    <mergeCell ref="A14:N14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tabColor rgb="FFFFFF00"/>
  </sheetPr>
  <dimension ref="A1:O37"/>
  <sheetViews>
    <sheetView workbookViewId="0">
      <selection activeCell="A20" sqref="A20:K21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117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5" x14ac:dyDescent="0.25">
      <c r="A3" s="7" t="s">
        <v>118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8" t="s">
        <v>41</v>
      </c>
      <c r="B4" s="8"/>
      <c r="C4" s="8"/>
      <c r="D4" s="8"/>
      <c r="E4" s="8"/>
      <c r="F4" s="8"/>
      <c r="G4" s="8"/>
      <c r="H4" s="8"/>
      <c r="I4" s="8"/>
      <c r="J4" s="3" t="s">
        <v>94</v>
      </c>
      <c r="K4" s="2"/>
      <c r="L4" s="2"/>
      <c r="M4" s="2"/>
      <c r="N4" s="2"/>
    </row>
    <row r="5" spans="1:15" x14ac:dyDescent="0.25">
      <c r="A5" s="6" t="s">
        <v>42</v>
      </c>
      <c r="F5" s="9"/>
      <c r="G5" s="9"/>
      <c r="H5" s="9"/>
      <c r="I5" s="9"/>
      <c r="J5" s="3"/>
      <c r="K5" s="3"/>
      <c r="L5" s="1"/>
      <c r="M5" s="1"/>
      <c r="N5" s="1"/>
    </row>
    <row r="6" spans="1:15" x14ac:dyDescent="0.25">
      <c r="A6" s="9" t="s">
        <v>68</v>
      </c>
      <c r="B6" s="9"/>
      <c r="C6" s="9"/>
      <c r="D6" s="9"/>
      <c r="E6" s="9"/>
      <c r="F6" s="9"/>
      <c r="G6" s="9"/>
      <c r="H6" s="9"/>
      <c r="I6" s="9"/>
      <c r="J6" s="3" t="s">
        <v>95</v>
      </c>
      <c r="K6" s="1"/>
      <c r="L6" s="1"/>
      <c r="M6" s="1"/>
      <c r="N6" s="1"/>
    </row>
    <row r="7" spans="1:15" x14ac:dyDescent="0.25">
      <c r="A7" s="9" t="s">
        <v>43</v>
      </c>
      <c r="B7" s="9"/>
      <c r="C7" s="9"/>
      <c r="D7" s="9"/>
      <c r="E7" s="9"/>
      <c r="F7" s="9"/>
      <c r="G7" s="9"/>
      <c r="H7" s="9"/>
      <c r="I7" s="9"/>
      <c r="J7" s="3" t="s">
        <v>96</v>
      </c>
      <c r="K7" s="1"/>
      <c r="L7" s="1"/>
      <c r="M7" s="1"/>
      <c r="N7" s="1"/>
    </row>
    <row r="8" spans="1:15" x14ac:dyDescent="0.25">
      <c r="A8" s="9" t="s">
        <v>1</v>
      </c>
      <c r="B8" s="9"/>
      <c r="C8" s="9"/>
      <c r="D8" s="9"/>
      <c r="E8" s="9"/>
      <c r="J8" s="3"/>
      <c r="K8" s="3"/>
      <c r="L8" s="3"/>
      <c r="M8" s="3"/>
      <c r="N8" s="3"/>
    </row>
    <row r="9" spans="1:15" x14ac:dyDescent="0.25">
      <c r="A9" s="97" t="s">
        <v>44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</row>
    <row r="10" spans="1:15" x14ac:dyDescent="0.25">
      <c r="A10" s="10" t="s">
        <v>45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</row>
    <row r="11" spans="1:15" x14ac:dyDescent="0.25">
      <c r="A11" s="98" t="s">
        <v>140</v>
      </c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</row>
    <row r="12" spans="1:15" x14ac:dyDescent="0.25">
      <c r="A12" s="98" t="s">
        <v>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I13" s="98" t="s">
        <v>18</v>
      </c>
      <c r="J13" s="98"/>
      <c r="K13" s="98"/>
      <c r="L13" s="6" t="s">
        <v>79</v>
      </c>
    </row>
    <row r="14" spans="1:15" x14ac:dyDescent="0.25">
      <c r="A14" s="6" t="s">
        <v>120</v>
      </c>
      <c r="I14" s="6" t="s">
        <v>19</v>
      </c>
      <c r="L14" s="31">
        <v>4</v>
      </c>
    </row>
    <row r="15" spans="1:15" ht="16.5" customHeight="1" x14ac:dyDescent="0.25">
      <c r="A15" s="104" t="s">
        <v>2</v>
      </c>
      <c r="B15" s="104" t="s">
        <v>3</v>
      </c>
      <c r="C15" s="104" t="s">
        <v>4</v>
      </c>
      <c r="D15" s="104" t="s">
        <v>5</v>
      </c>
      <c r="E15" s="104" t="s">
        <v>6</v>
      </c>
      <c r="F15" s="101" t="s">
        <v>7</v>
      </c>
      <c r="G15" s="102"/>
      <c r="H15" s="102"/>
      <c r="I15" s="103"/>
      <c r="J15" s="104" t="s">
        <v>12</v>
      </c>
      <c r="K15" s="104" t="s">
        <v>13</v>
      </c>
      <c r="L15" s="101" t="s">
        <v>14</v>
      </c>
      <c r="M15" s="103"/>
      <c r="N15" s="101" t="s">
        <v>15</v>
      </c>
      <c r="O15" s="103"/>
    </row>
    <row r="16" spans="1:15" ht="27.6" x14ac:dyDescent="0.25">
      <c r="A16" s="105"/>
      <c r="B16" s="105"/>
      <c r="C16" s="105"/>
      <c r="D16" s="105"/>
      <c r="E16" s="105"/>
      <c r="F16" s="4" t="s">
        <v>8</v>
      </c>
      <c r="G16" s="4" t="s">
        <v>9</v>
      </c>
      <c r="H16" s="4" t="s">
        <v>10</v>
      </c>
      <c r="I16" s="4" t="s">
        <v>11</v>
      </c>
      <c r="J16" s="105"/>
      <c r="K16" s="105"/>
      <c r="L16" s="4" t="s">
        <v>16</v>
      </c>
      <c r="M16" s="4" t="s">
        <v>17</v>
      </c>
      <c r="N16" s="4" t="s">
        <v>16</v>
      </c>
      <c r="O16" s="4" t="s">
        <v>17</v>
      </c>
    </row>
    <row r="17" spans="1:15" x14ac:dyDescent="0.25">
      <c r="A17" s="4">
        <v>1</v>
      </c>
      <c r="B17" s="4">
        <v>2</v>
      </c>
      <c r="C17" s="4">
        <v>3</v>
      </c>
      <c r="D17" s="4">
        <v>4</v>
      </c>
      <c r="E17" s="4">
        <v>5</v>
      </c>
      <c r="F17" s="4">
        <v>6</v>
      </c>
      <c r="G17" s="4">
        <v>7</v>
      </c>
      <c r="H17" s="4">
        <v>8</v>
      </c>
      <c r="I17" s="4">
        <v>9</v>
      </c>
      <c r="J17" s="4">
        <v>10</v>
      </c>
      <c r="K17" s="4">
        <v>11</v>
      </c>
      <c r="L17" s="4">
        <v>12</v>
      </c>
      <c r="M17" s="4">
        <v>13</v>
      </c>
      <c r="N17" s="4">
        <v>14</v>
      </c>
      <c r="O17" s="4">
        <v>15</v>
      </c>
    </row>
    <row r="18" spans="1:15" x14ac:dyDescent="0.25">
      <c r="A18" s="106" t="s">
        <v>20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8"/>
    </row>
    <row r="19" spans="1:15" ht="32.25" customHeight="1" x14ac:dyDescent="0.25">
      <c r="A19" s="11" t="s">
        <v>80</v>
      </c>
      <c r="B19" s="12"/>
      <c r="C19" s="4"/>
      <c r="D19" s="4"/>
      <c r="E19" s="4"/>
      <c r="F19" s="4"/>
      <c r="G19" s="13"/>
      <c r="H19" s="13"/>
      <c r="I19" s="13"/>
      <c r="J19" s="14"/>
      <c r="K19" s="14"/>
      <c r="L19" s="14"/>
      <c r="M19" s="14"/>
      <c r="N19" s="14"/>
      <c r="O19" s="14"/>
    </row>
    <row r="20" spans="1:15" ht="39" customHeight="1" x14ac:dyDescent="0.25">
      <c r="A20" s="11" t="s">
        <v>121</v>
      </c>
      <c r="B20" s="4">
        <v>1</v>
      </c>
      <c r="C20" s="4" t="s">
        <v>66</v>
      </c>
      <c r="D20" s="5">
        <v>4</v>
      </c>
      <c r="E20" s="5">
        <v>5</v>
      </c>
      <c r="F20" s="15">
        <v>35</v>
      </c>
      <c r="G20" s="13">
        <v>7111.5</v>
      </c>
      <c r="H20" s="13">
        <f>F20*2.2</f>
        <v>77</v>
      </c>
      <c r="I20" s="13">
        <f>+G20-H20</f>
        <v>7034.5</v>
      </c>
      <c r="J20" s="13"/>
      <c r="K20" s="13">
        <f>+I20*(108.5/(100+E20))</f>
        <v>7268.9833333333345</v>
      </c>
      <c r="L20" s="13"/>
      <c r="M20" s="13"/>
      <c r="N20" s="13"/>
      <c r="O20" s="13"/>
    </row>
    <row r="21" spans="1:15" ht="39" customHeight="1" x14ac:dyDescent="0.25">
      <c r="A21" s="11" t="s">
        <v>122</v>
      </c>
      <c r="B21" s="4">
        <v>1</v>
      </c>
      <c r="C21" s="4" t="s">
        <v>123</v>
      </c>
      <c r="D21" s="5">
        <v>5.5</v>
      </c>
      <c r="E21" s="5">
        <v>5</v>
      </c>
      <c r="F21" s="15">
        <v>61</v>
      </c>
      <c r="G21" s="13">
        <v>11978.6</v>
      </c>
      <c r="H21" s="13">
        <f>F21*2.2</f>
        <v>134.20000000000002</v>
      </c>
      <c r="I21" s="13">
        <f>+G21-H21</f>
        <v>11844.4</v>
      </c>
      <c r="J21" s="13"/>
      <c r="K21" s="13">
        <f>+I21*(108.5/(100+E21))</f>
        <v>12239.213333333335</v>
      </c>
      <c r="L21" s="13"/>
      <c r="M21" s="13"/>
      <c r="N21" s="13"/>
      <c r="O21" s="13"/>
    </row>
    <row r="22" spans="1:15" ht="30.75" customHeight="1" x14ac:dyDescent="0.25">
      <c r="A22" s="16" t="s">
        <v>21</v>
      </c>
      <c r="B22" s="4"/>
      <c r="C22" s="4"/>
      <c r="D22" s="4"/>
      <c r="E22" s="13"/>
      <c r="F22" s="17">
        <f>SUM(F20:F21)</f>
        <v>96</v>
      </c>
      <c r="G22" s="18">
        <f>SUM(G20:G21)</f>
        <v>19090.099999999999</v>
      </c>
      <c r="H22" s="18">
        <f>SUM(H20:H21)</f>
        <v>211.20000000000002</v>
      </c>
      <c r="I22" s="18">
        <f>SUM(I20:I21)</f>
        <v>18878.900000000001</v>
      </c>
      <c r="J22" s="18"/>
      <c r="K22" s="18">
        <f>SUM(K20:K21)</f>
        <v>19508.19666666667</v>
      </c>
      <c r="L22" s="18"/>
      <c r="M22" s="13"/>
      <c r="N22" s="13"/>
      <c r="O22" s="13"/>
    </row>
    <row r="23" spans="1:15" ht="14.25" customHeight="1" x14ac:dyDescent="0.25">
      <c r="A23" s="19"/>
      <c r="B23" s="20"/>
      <c r="C23" s="20"/>
      <c r="D23" s="20"/>
      <c r="E23" s="21"/>
      <c r="F23" s="22"/>
      <c r="G23" s="22"/>
      <c r="H23" s="22"/>
      <c r="I23" s="22"/>
      <c r="J23" s="22"/>
      <c r="K23" s="22"/>
      <c r="L23" s="22"/>
      <c r="M23" s="21"/>
      <c r="N23" s="21"/>
      <c r="O23" s="21"/>
    </row>
    <row r="24" spans="1:15" ht="14.4" x14ac:dyDescent="0.3">
      <c r="A24" s="109" t="s">
        <v>56</v>
      </c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</row>
    <row r="25" spans="1:15" ht="11.25" customHeight="1" x14ac:dyDescent="0.25"/>
    <row r="26" spans="1:15" x14ac:dyDescent="0.25">
      <c r="A26" s="6" t="s">
        <v>22</v>
      </c>
      <c r="D26" s="24">
        <f>+I22</f>
        <v>18878.900000000001</v>
      </c>
    </row>
    <row r="27" spans="1:15" x14ac:dyDescent="0.25">
      <c r="D27" s="25"/>
      <c r="G27" s="23"/>
      <c r="H27" s="23"/>
      <c r="I27" s="23"/>
      <c r="J27" s="23"/>
      <c r="K27" s="23"/>
    </row>
    <row r="28" spans="1:15" x14ac:dyDescent="0.25">
      <c r="A28" s="6" t="s">
        <v>23</v>
      </c>
      <c r="D28" s="24">
        <f>+G22</f>
        <v>19090.099999999999</v>
      </c>
    </row>
    <row r="29" spans="1:15" ht="11.25" customHeight="1" x14ac:dyDescent="0.25">
      <c r="D29" s="24"/>
    </row>
    <row r="30" spans="1:15" ht="10.5" customHeight="1" x14ac:dyDescent="0.25"/>
    <row r="31" spans="1:15" x14ac:dyDescent="0.25">
      <c r="A31" s="95" t="s">
        <v>25</v>
      </c>
      <c r="B31" s="95"/>
      <c r="C31" s="95"/>
      <c r="D31" s="95"/>
      <c r="E31" s="95"/>
      <c r="F31" s="95"/>
      <c r="G31" s="95"/>
    </row>
    <row r="32" spans="1:15" ht="9.75" customHeight="1" x14ac:dyDescent="0.25"/>
    <row r="33" spans="1:15" x14ac:dyDescent="0.25">
      <c r="A33" s="95" t="s">
        <v>82</v>
      </c>
      <c r="B33" s="95"/>
      <c r="C33" s="95"/>
      <c r="D33" s="95"/>
      <c r="E33" s="95"/>
      <c r="F33" s="95"/>
      <c r="G33" s="95"/>
    </row>
    <row r="34" spans="1:15" ht="12" customHeight="1" x14ac:dyDescent="0.25"/>
    <row r="35" spans="1:15" x14ac:dyDescent="0.25">
      <c r="A35" s="95" t="s">
        <v>26</v>
      </c>
      <c r="B35" s="95"/>
      <c r="C35" s="95"/>
      <c r="D35" s="95"/>
      <c r="E35" s="95"/>
      <c r="F35" s="95"/>
      <c r="G35" s="95"/>
      <c r="I35" s="95"/>
      <c r="J35" s="95"/>
      <c r="K35" s="95"/>
      <c r="L35" s="95"/>
      <c r="M35" s="95"/>
      <c r="N35" s="95"/>
      <c r="O35" s="95"/>
    </row>
    <row r="36" spans="1:15" ht="11.25" customHeight="1" x14ac:dyDescent="0.25"/>
    <row r="37" spans="1:15" x14ac:dyDescent="0.25">
      <c r="A37" s="110" t="s">
        <v>119</v>
      </c>
      <c r="B37" s="110"/>
      <c r="C37" s="110"/>
      <c r="D37" s="110"/>
      <c r="E37" s="110"/>
      <c r="F37" s="110"/>
      <c r="G37" s="110"/>
      <c r="I37" s="100" t="s">
        <v>46</v>
      </c>
      <c r="J37" s="100"/>
      <c r="K37" s="100"/>
      <c r="L37" s="100"/>
      <c r="M37" s="100"/>
      <c r="N37" s="100"/>
      <c r="O37" s="100"/>
    </row>
  </sheetData>
  <mergeCells count="23">
    <mergeCell ref="A31:G31"/>
    <mergeCell ref="A33:G33"/>
    <mergeCell ref="A1:O1"/>
    <mergeCell ref="A9:N9"/>
    <mergeCell ref="A11:N11"/>
    <mergeCell ref="A12:N12"/>
    <mergeCell ref="I13:K13"/>
    <mergeCell ref="A35:G35"/>
    <mergeCell ref="I35:O35"/>
    <mergeCell ref="A37:G37"/>
    <mergeCell ref="I37:O37"/>
    <mergeCell ref="F15:I15"/>
    <mergeCell ref="J15:J16"/>
    <mergeCell ref="K15:K16"/>
    <mergeCell ref="L15:M15"/>
    <mergeCell ref="N15:O15"/>
    <mergeCell ref="A18:O18"/>
    <mergeCell ref="A15:A16"/>
    <mergeCell ref="B15:B16"/>
    <mergeCell ref="C15:C16"/>
    <mergeCell ref="D15:D16"/>
    <mergeCell ref="E15:E16"/>
    <mergeCell ref="A24:O24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>
    <tabColor rgb="FFFFFF00"/>
  </sheetPr>
  <dimension ref="A1:O38"/>
  <sheetViews>
    <sheetView workbookViewId="0">
      <selection activeCell="A20" sqref="A20:K22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124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5" x14ac:dyDescent="0.25">
      <c r="A3" s="7" t="s">
        <v>125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8" t="s">
        <v>41</v>
      </c>
      <c r="B4" s="8"/>
      <c r="C4" s="8"/>
      <c r="D4" s="8"/>
      <c r="E4" s="8"/>
      <c r="F4" s="8"/>
      <c r="G4" s="8"/>
      <c r="H4" s="8"/>
      <c r="I4" s="8"/>
      <c r="J4" s="3" t="s">
        <v>304</v>
      </c>
      <c r="K4" s="2"/>
      <c r="L4" s="2"/>
      <c r="M4" s="2"/>
      <c r="N4" s="2"/>
    </row>
    <row r="5" spans="1:15" x14ac:dyDescent="0.25">
      <c r="A5" s="6" t="s">
        <v>42</v>
      </c>
      <c r="F5" s="9"/>
      <c r="G5" s="9"/>
      <c r="H5" s="9"/>
      <c r="I5" s="9"/>
      <c r="J5" s="3"/>
      <c r="K5" s="3"/>
      <c r="L5" s="1"/>
      <c r="M5" s="1"/>
      <c r="N5" s="1"/>
    </row>
    <row r="6" spans="1:15" x14ac:dyDescent="0.25">
      <c r="A6" s="9" t="s">
        <v>68</v>
      </c>
      <c r="B6" s="9"/>
      <c r="C6" s="9"/>
      <c r="D6" s="9"/>
      <c r="E6" s="9"/>
      <c r="F6" s="9"/>
      <c r="G6" s="9"/>
      <c r="H6" s="9"/>
      <c r="I6" s="9"/>
      <c r="J6" s="3" t="s">
        <v>51</v>
      </c>
      <c r="K6" s="1"/>
      <c r="L6" s="1"/>
      <c r="M6" s="1"/>
      <c r="N6" s="1"/>
    </row>
    <row r="7" spans="1:15" x14ac:dyDescent="0.25">
      <c r="A7" s="9" t="s">
        <v>43</v>
      </c>
      <c r="B7" s="9"/>
      <c r="C7" s="9"/>
      <c r="D7" s="9"/>
      <c r="E7" s="9"/>
      <c r="F7" s="9"/>
      <c r="G7" s="9"/>
      <c r="H7" s="9"/>
      <c r="I7" s="9"/>
      <c r="J7" s="3" t="s">
        <v>49</v>
      </c>
      <c r="K7" s="1"/>
      <c r="L7" s="1"/>
      <c r="M7" s="1"/>
      <c r="N7" s="1"/>
    </row>
    <row r="8" spans="1:15" x14ac:dyDescent="0.25">
      <c r="A8" s="9" t="s">
        <v>1</v>
      </c>
      <c r="B8" s="9"/>
      <c r="C8" s="9"/>
      <c r="D8" s="9"/>
      <c r="E8" s="9"/>
      <c r="J8" s="3"/>
      <c r="K8" s="3"/>
      <c r="L8" s="3"/>
      <c r="M8" s="3"/>
      <c r="N8" s="3"/>
    </row>
    <row r="9" spans="1:15" x14ac:dyDescent="0.25">
      <c r="A9" s="97" t="s">
        <v>44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</row>
    <row r="10" spans="1:15" x14ac:dyDescent="0.25">
      <c r="A10" s="10" t="s">
        <v>45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</row>
    <row r="11" spans="1:15" x14ac:dyDescent="0.25">
      <c r="A11" s="98" t="s">
        <v>140</v>
      </c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</row>
    <row r="12" spans="1:15" x14ac:dyDescent="0.25">
      <c r="A12" s="98" t="s">
        <v>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I13" s="98" t="s">
        <v>18</v>
      </c>
      <c r="J13" s="98"/>
      <c r="K13" s="98"/>
      <c r="L13" s="6" t="s">
        <v>79</v>
      </c>
    </row>
    <row r="14" spans="1:15" x14ac:dyDescent="0.25">
      <c r="A14" s="6" t="s">
        <v>120</v>
      </c>
      <c r="I14" s="6" t="s">
        <v>19</v>
      </c>
      <c r="L14" s="33">
        <v>4</v>
      </c>
    </row>
    <row r="15" spans="1:15" ht="16.5" customHeight="1" x14ac:dyDescent="0.25">
      <c r="A15" s="104" t="s">
        <v>2</v>
      </c>
      <c r="B15" s="104" t="s">
        <v>3</v>
      </c>
      <c r="C15" s="104" t="s">
        <v>4</v>
      </c>
      <c r="D15" s="104" t="s">
        <v>5</v>
      </c>
      <c r="E15" s="104" t="s">
        <v>6</v>
      </c>
      <c r="F15" s="101" t="s">
        <v>7</v>
      </c>
      <c r="G15" s="102"/>
      <c r="H15" s="102"/>
      <c r="I15" s="103"/>
      <c r="J15" s="104" t="s">
        <v>12</v>
      </c>
      <c r="K15" s="104" t="s">
        <v>13</v>
      </c>
      <c r="L15" s="101" t="s">
        <v>14</v>
      </c>
      <c r="M15" s="103"/>
      <c r="N15" s="101" t="s">
        <v>15</v>
      </c>
      <c r="O15" s="103"/>
    </row>
    <row r="16" spans="1:15" ht="27.6" x14ac:dyDescent="0.25">
      <c r="A16" s="105"/>
      <c r="B16" s="105"/>
      <c r="C16" s="105"/>
      <c r="D16" s="105"/>
      <c r="E16" s="105"/>
      <c r="F16" s="4" t="s">
        <v>8</v>
      </c>
      <c r="G16" s="4" t="s">
        <v>9</v>
      </c>
      <c r="H16" s="4" t="s">
        <v>10</v>
      </c>
      <c r="I16" s="4" t="s">
        <v>11</v>
      </c>
      <c r="J16" s="105"/>
      <c r="K16" s="105"/>
      <c r="L16" s="4" t="s">
        <v>16</v>
      </c>
      <c r="M16" s="4" t="s">
        <v>17</v>
      </c>
      <c r="N16" s="4" t="s">
        <v>16</v>
      </c>
      <c r="O16" s="4" t="s">
        <v>17</v>
      </c>
    </row>
    <row r="17" spans="1:15" x14ac:dyDescent="0.25">
      <c r="A17" s="4">
        <v>1</v>
      </c>
      <c r="B17" s="4">
        <v>2</v>
      </c>
      <c r="C17" s="4">
        <v>3</v>
      </c>
      <c r="D17" s="4">
        <v>4</v>
      </c>
      <c r="E17" s="4">
        <v>5</v>
      </c>
      <c r="F17" s="4">
        <v>6</v>
      </c>
      <c r="G17" s="4">
        <v>7</v>
      </c>
      <c r="H17" s="4">
        <v>8</v>
      </c>
      <c r="I17" s="4">
        <v>9</v>
      </c>
      <c r="J17" s="4">
        <v>10</v>
      </c>
      <c r="K17" s="4">
        <v>11</v>
      </c>
      <c r="L17" s="4">
        <v>12</v>
      </c>
      <c r="M17" s="4">
        <v>13</v>
      </c>
      <c r="N17" s="4">
        <v>14</v>
      </c>
      <c r="O17" s="4">
        <v>15</v>
      </c>
    </row>
    <row r="18" spans="1:15" x14ac:dyDescent="0.25">
      <c r="A18" s="106" t="s">
        <v>20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8"/>
    </row>
    <row r="19" spans="1:15" ht="26.25" customHeight="1" x14ac:dyDescent="0.25">
      <c r="A19" s="11" t="s">
        <v>80</v>
      </c>
      <c r="B19" s="12"/>
      <c r="C19" s="4"/>
      <c r="D19" s="4"/>
      <c r="E19" s="4"/>
      <c r="F19" s="4"/>
      <c r="G19" s="13"/>
      <c r="H19" s="13"/>
      <c r="I19" s="13"/>
      <c r="J19" s="14"/>
      <c r="K19" s="14"/>
      <c r="L19" s="14"/>
      <c r="M19" s="14"/>
      <c r="N19" s="14"/>
      <c r="O19" s="14"/>
    </row>
    <row r="20" spans="1:15" ht="33" customHeight="1" x14ac:dyDescent="0.25">
      <c r="A20" s="11" t="s">
        <v>126</v>
      </c>
      <c r="B20" s="4">
        <v>1</v>
      </c>
      <c r="C20" s="4" t="s">
        <v>59</v>
      </c>
      <c r="D20" s="5">
        <v>3</v>
      </c>
      <c r="E20" s="5">
        <v>5</v>
      </c>
      <c r="F20" s="15">
        <v>57</v>
      </c>
      <c r="G20" s="13">
        <v>11619.4</v>
      </c>
      <c r="H20" s="13">
        <f>F20*2.2</f>
        <v>125.4</v>
      </c>
      <c r="I20" s="13">
        <f>+G20-H20</f>
        <v>11494</v>
      </c>
      <c r="J20" s="13"/>
      <c r="K20" s="13">
        <f>+I20*(108.5/(100+E20))</f>
        <v>11877.133333333335</v>
      </c>
      <c r="L20" s="13"/>
      <c r="M20" s="13"/>
      <c r="N20" s="13"/>
      <c r="O20" s="13"/>
    </row>
    <row r="21" spans="1:15" ht="33" customHeight="1" x14ac:dyDescent="0.25">
      <c r="A21" s="11" t="s">
        <v>127</v>
      </c>
      <c r="B21" s="4">
        <v>1</v>
      </c>
      <c r="C21" s="4" t="s">
        <v>66</v>
      </c>
      <c r="D21" s="5">
        <v>4</v>
      </c>
      <c r="E21" s="5">
        <v>5</v>
      </c>
      <c r="F21" s="15">
        <v>2</v>
      </c>
      <c r="G21" s="13">
        <v>432.7</v>
      </c>
      <c r="H21" s="13">
        <f>F21*2.2</f>
        <v>4.4000000000000004</v>
      </c>
      <c r="I21" s="13">
        <f>+G21-H21</f>
        <v>428.3</v>
      </c>
      <c r="J21" s="13"/>
      <c r="K21" s="13">
        <f>+I21*(108.5/(100+E21))</f>
        <v>442.57666666666671</v>
      </c>
      <c r="L21" s="13"/>
      <c r="M21" s="13"/>
      <c r="N21" s="13"/>
      <c r="O21" s="13"/>
    </row>
    <row r="22" spans="1:15" ht="33" customHeight="1" x14ac:dyDescent="0.25">
      <c r="A22" s="11" t="s">
        <v>128</v>
      </c>
      <c r="B22" s="4">
        <v>1</v>
      </c>
      <c r="C22" s="4" t="s">
        <v>59</v>
      </c>
      <c r="D22" s="5">
        <v>3</v>
      </c>
      <c r="E22" s="5">
        <v>5</v>
      </c>
      <c r="F22" s="15">
        <v>26</v>
      </c>
      <c r="G22" s="13">
        <v>5092.8</v>
      </c>
      <c r="H22" s="13">
        <f>F22*2.2</f>
        <v>57.2</v>
      </c>
      <c r="I22" s="13">
        <f>+G22-H22</f>
        <v>5035.6000000000004</v>
      </c>
      <c r="J22" s="13"/>
      <c r="K22" s="13">
        <f>+I22*(108.5/(100+E22))</f>
        <v>5203.4533333333338</v>
      </c>
      <c r="L22" s="13"/>
      <c r="M22" s="13"/>
      <c r="N22" s="13"/>
      <c r="O22" s="13"/>
    </row>
    <row r="23" spans="1:15" ht="33" customHeight="1" x14ac:dyDescent="0.25">
      <c r="A23" s="16" t="s">
        <v>21</v>
      </c>
      <c r="B23" s="4"/>
      <c r="C23" s="4"/>
      <c r="D23" s="4"/>
      <c r="E23" s="13"/>
      <c r="F23" s="17">
        <f>SUM(F20:F22)</f>
        <v>85</v>
      </c>
      <c r="G23" s="18">
        <f>SUM(G20:G22)</f>
        <v>17144.900000000001</v>
      </c>
      <c r="H23" s="18">
        <f>SUM(H20:H22)</f>
        <v>187</v>
      </c>
      <c r="I23" s="18">
        <f>SUM(I20:I22)</f>
        <v>16957.900000000001</v>
      </c>
      <c r="J23" s="18"/>
      <c r="K23" s="18">
        <f>SUM(K20:K22)</f>
        <v>17523.163333333334</v>
      </c>
      <c r="L23" s="18"/>
      <c r="M23" s="13"/>
      <c r="N23" s="13"/>
      <c r="O23" s="13"/>
    </row>
    <row r="24" spans="1:15" ht="14.25" customHeight="1" x14ac:dyDescent="0.25">
      <c r="A24" s="19"/>
      <c r="B24" s="20"/>
      <c r="C24" s="20"/>
      <c r="D24" s="20"/>
      <c r="E24" s="21"/>
      <c r="F24" s="22"/>
      <c r="G24" s="22"/>
      <c r="H24" s="22"/>
      <c r="I24" s="22"/>
      <c r="J24" s="22"/>
      <c r="K24" s="22"/>
      <c r="L24" s="22"/>
      <c r="M24" s="21"/>
      <c r="N24" s="21"/>
      <c r="O24" s="21"/>
    </row>
    <row r="25" spans="1:15" ht="14.4" x14ac:dyDescent="0.3">
      <c r="A25" s="109" t="s">
        <v>131</v>
      </c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</row>
    <row r="26" spans="1:15" ht="11.25" customHeight="1" x14ac:dyDescent="0.25"/>
    <row r="27" spans="1:15" x14ac:dyDescent="0.25">
      <c r="A27" s="6" t="s">
        <v>22</v>
      </c>
      <c r="D27" s="24">
        <f>+I23</f>
        <v>16957.900000000001</v>
      </c>
    </row>
    <row r="28" spans="1:15" x14ac:dyDescent="0.25">
      <c r="D28" s="25"/>
      <c r="G28" s="23"/>
      <c r="H28" s="23"/>
      <c r="I28" s="23"/>
      <c r="J28" s="23"/>
      <c r="K28" s="23"/>
    </row>
    <row r="29" spans="1:15" x14ac:dyDescent="0.25">
      <c r="A29" s="6" t="s">
        <v>23</v>
      </c>
      <c r="D29" s="24">
        <f>+G23</f>
        <v>17144.900000000001</v>
      </c>
    </row>
    <row r="30" spans="1:15" ht="11.25" customHeight="1" x14ac:dyDescent="0.25">
      <c r="D30" s="24"/>
    </row>
    <row r="31" spans="1:15" ht="10.5" customHeight="1" x14ac:dyDescent="0.25"/>
    <row r="32" spans="1:15" x14ac:dyDescent="0.25">
      <c r="A32" s="95" t="s">
        <v>25</v>
      </c>
      <c r="B32" s="95"/>
      <c r="C32" s="95"/>
      <c r="D32" s="95"/>
      <c r="E32" s="95"/>
      <c r="F32" s="95"/>
      <c r="G32" s="95"/>
    </row>
    <row r="33" spans="1:15" ht="9.75" customHeight="1" x14ac:dyDescent="0.25"/>
    <row r="34" spans="1:15" x14ac:dyDescent="0.25">
      <c r="A34" s="95" t="s">
        <v>82</v>
      </c>
      <c r="B34" s="95"/>
      <c r="C34" s="95"/>
      <c r="D34" s="95"/>
      <c r="E34" s="95"/>
      <c r="F34" s="95"/>
      <c r="G34" s="95"/>
    </row>
    <row r="35" spans="1:15" ht="12" customHeight="1" x14ac:dyDescent="0.25"/>
    <row r="36" spans="1:15" x14ac:dyDescent="0.25">
      <c r="A36" s="95" t="s">
        <v>26</v>
      </c>
      <c r="B36" s="95"/>
      <c r="C36" s="95"/>
      <c r="D36" s="95"/>
      <c r="E36" s="95"/>
      <c r="F36" s="95"/>
      <c r="G36" s="95"/>
      <c r="I36" s="95"/>
      <c r="J36" s="95"/>
      <c r="K36" s="95"/>
      <c r="L36" s="95"/>
      <c r="M36" s="95"/>
      <c r="N36" s="95"/>
      <c r="O36" s="95"/>
    </row>
    <row r="37" spans="1:15" ht="11.25" customHeight="1" x14ac:dyDescent="0.25"/>
    <row r="38" spans="1:15" x14ac:dyDescent="0.25">
      <c r="A38" s="110" t="s">
        <v>50</v>
      </c>
      <c r="B38" s="110"/>
      <c r="C38" s="110"/>
      <c r="D38" s="110"/>
      <c r="E38" s="110"/>
      <c r="F38" s="110"/>
      <c r="G38" s="110"/>
      <c r="I38" s="100" t="s">
        <v>46</v>
      </c>
      <c r="J38" s="100"/>
      <c r="K38" s="100"/>
      <c r="L38" s="100"/>
      <c r="M38" s="100"/>
      <c r="N38" s="100"/>
      <c r="O38" s="100"/>
    </row>
  </sheetData>
  <mergeCells count="23">
    <mergeCell ref="A36:G36"/>
    <mergeCell ref="I36:O36"/>
    <mergeCell ref="A38:G38"/>
    <mergeCell ref="I38:O38"/>
    <mergeCell ref="F15:I15"/>
    <mergeCell ref="J15:J16"/>
    <mergeCell ref="K15:K16"/>
    <mergeCell ref="L15:M15"/>
    <mergeCell ref="N15:O15"/>
    <mergeCell ref="A18:O18"/>
    <mergeCell ref="A15:A16"/>
    <mergeCell ref="B15:B16"/>
    <mergeCell ref="C15:C16"/>
    <mergeCell ref="D15:D16"/>
    <mergeCell ref="E15:E16"/>
    <mergeCell ref="A25:O25"/>
    <mergeCell ref="A32:G32"/>
    <mergeCell ref="A34:G34"/>
    <mergeCell ref="A1:O1"/>
    <mergeCell ref="A9:N9"/>
    <mergeCell ref="A11:N11"/>
    <mergeCell ref="A12:N12"/>
    <mergeCell ref="I13:K13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>
    <tabColor rgb="FFFFFF00"/>
  </sheetPr>
  <dimension ref="A1:O36"/>
  <sheetViews>
    <sheetView workbookViewId="0">
      <selection activeCell="A20" sqref="A20:K20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129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5" x14ac:dyDescent="0.25">
      <c r="A3" s="7" t="s">
        <v>125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8" t="s">
        <v>41</v>
      </c>
      <c r="B4" s="8"/>
      <c r="C4" s="8"/>
      <c r="D4" s="8"/>
      <c r="E4" s="8"/>
      <c r="F4" s="8"/>
      <c r="G4" s="8"/>
      <c r="H4" s="8"/>
      <c r="I4" s="8"/>
      <c r="J4" s="1" t="s">
        <v>74</v>
      </c>
      <c r="K4" s="2"/>
      <c r="L4" s="2"/>
      <c r="M4" s="2"/>
      <c r="N4" s="2"/>
    </row>
    <row r="5" spans="1:15" x14ac:dyDescent="0.25">
      <c r="A5" s="6" t="s">
        <v>42</v>
      </c>
      <c r="F5" s="9"/>
      <c r="G5" s="9"/>
      <c r="H5" s="9"/>
      <c r="I5" s="9"/>
      <c r="J5" s="3"/>
      <c r="K5" s="3"/>
      <c r="L5" s="1"/>
      <c r="M5" s="1"/>
      <c r="N5" s="1"/>
    </row>
    <row r="6" spans="1:15" x14ac:dyDescent="0.25">
      <c r="A6" s="9" t="s">
        <v>68</v>
      </c>
      <c r="B6" s="9"/>
      <c r="C6" s="9"/>
      <c r="D6" s="9"/>
      <c r="E6" s="9"/>
      <c r="F6" s="9"/>
      <c r="G6" s="9"/>
      <c r="H6" s="9"/>
      <c r="I6" s="9"/>
      <c r="J6" s="1" t="s">
        <v>75</v>
      </c>
      <c r="K6" s="1"/>
      <c r="L6" s="1"/>
      <c r="M6" s="1"/>
      <c r="N6" s="1"/>
    </row>
    <row r="7" spans="1:15" x14ac:dyDescent="0.25">
      <c r="A7" s="9" t="s">
        <v>43</v>
      </c>
      <c r="B7" s="9"/>
      <c r="C7" s="9"/>
      <c r="D7" s="9"/>
      <c r="E7" s="9"/>
      <c r="F7" s="9"/>
      <c r="G7" s="9"/>
      <c r="H7" s="9"/>
      <c r="I7" s="9"/>
      <c r="J7" s="1" t="s">
        <v>76</v>
      </c>
      <c r="K7" s="1"/>
      <c r="L7" s="1"/>
      <c r="M7" s="1"/>
      <c r="N7" s="1"/>
    </row>
    <row r="8" spans="1:15" x14ac:dyDescent="0.25">
      <c r="A8" s="9" t="s">
        <v>1</v>
      </c>
      <c r="B8" s="9"/>
      <c r="C8" s="9"/>
      <c r="D8" s="9"/>
      <c r="E8" s="9"/>
      <c r="J8" s="3"/>
      <c r="K8" s="3"/>
      <c r="L8" s="3"/>
      <c r="M8" s="3"/>
      <c r="N8" s="3"/>
    </row>
    <row r="9" spans="1:15" x14ac:dyDescent="0.25">
      <c r="A9" s="97" t="s">
        <v>44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</row>
    <row r="10" spans="1:15" x14ac:dyDescent="0.25">
      <c r="A10" s="10" t="s">
        <v>45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</row>
    <row r="11" spans="1:15" x14ac:dyDescent="0.25">
      <c r="A11" s="98" t="s">
        <v>140</v>
      </c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</row>
    <row r="12" spans="1:15" x14ac:dyDescent="0.25">
      <c r="A12" s="98" t="s">
        <v>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I13" s="98" t="s">
        <v>18</v>
      </c>
      <c r="J13" s="98"/>
      <c r="K13" s="98"/>
      <c r="L13" s="6" t="s">
        <v>79</v>
      </c>
    </row>
    <row r="14" spans="1:15" x14ac:dyDescent="0.25">
      <c r="A14" s="6" t="s">
        <v>63</v>
      </c>
      <c r="I14" s="6" t="s">
        <v>19</v>
      </c>
      <c r="L14" s="33">
        <v>4</v>
      </c>
    </row>
    <row r="15" spans="1:15" ht="16.5" customHeight="1" x14ac:dyDescent="0.25">
      <c r="A15" s="104" t="s">
        <v>2</v>
      </c>
      <c r="B15" s="104" t="s">
        <v>3</v>
      </c>
      <c r="C15" s="104" t="s">
        <v>4</v>
      </c>
      <c r="D15" s="104" t="s">
        <v>5</v>
      </c>
      <c r="E15" s="104" t="s">
        <v>6</v>
      </c>
      <c r="F15" s="101" t="s">
        <v>7</v>
      </c>
      <c r="G15" s="102"/>
      <c r="H15" s="102"/>
      <c r="I15" s="103"/>
      <c r="J15" s="104" t="s">
        <v>12</v>
      </c>
      <c r="K15" s="104" t="s">
        <v>13</v>
      </c>
      <c r="L15" s="101" t="s">
        <v>14</v>
      </c>
      <c r="M15" s="103"/>
      <c r="N15" s="101" t="s">
        <v>15</v>
      </c>
      <c r="O15" s="103"/>
    </row>
    <row r="16" spans="1:15" ht="27.6" x14ac:dyDescent="0.25">
      <c r="A16" s="105"/>
      <c r="B16" s="105"/>
      <c r="C16" s="105"/>
      <c r="D16" s="105"/>
      <c r="E16" s="105"/>
      <c r="F16" s="4" t="s">
        <v>8</v>
      </c>
      <c r="G16" s="4" t="s">
        <v>9</v>
      </c>
      <c r="H16" s="4" t="s">
        <v>10</v>
      </c>
      <c r="I16" s="4" t="s">
        <v>11</v>
      </c>
      <c r="J16" s="105"/>
      <c r="K16" s="105"/>
      <c r="L16" s="4" t="s">
        <v>16</v>
      </c>
      <c r="M16" s="4" t="s">
        <v>17</v>
      </c>
      <c r="N16" s="4" t="s">
        <v>16</v>
      </c>
      <c r="O16" s="4" t="s">
        <v>17</v>
      </c>
    </row>
    <row r="17" spans="1:15" x14ac:dyDescent="0.25">
      <c r="A17" s="4">
        <v>1</v>
      </c>
      <c r="B17" s="4">
        <v>2</v>
      </c>
      <c r="C17" s="4">
        <v>3</v>
      </c>
      <c r="D17" s="4">
        <v>4</v>
      </c>
      <c r="E17" s="4">
        <v>5</v>
      </c>
      <c r="F17" s="4">
        <v>6</v>
      </c>
      <c r="G17" s="4">
        <v>7</v>
      </c>
      <c r="H17" s="4">
        <v>8</v>
      </c>
      <c r="I17" s="4">
        <v>9</v>
      </c>
      <c r="J17" s="4">
        <v>10</v>
      </c>
      <c r="K17" s="4">
        <v>11</v>
      </c>
      <c r="L17" s="4">
        <v>12</v>
      </c>
      <c r="M17" s="4">
        <v>13</v>
      </c>
      <c r="N17" s="4">
        <v>14</v>
      </c>
      <c r="O17" s="4">
        <v>15</v>
      </c>
    </row>
    <row r="18" spans="1:15" x14ac:dyDescent="0.25">
      <c r="A18" s="106" t="s">
        <v>20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8"/>
    </row>
    <row r="19" spans="1:15" ht="32.25" customHeight="1" x14ac:dyDescent="0.25">
      <c r="A19" s="11" t="s">
        <v>80</v>
      </c>
      <c r="B19" s="12"/>
      <c r="C19" s="4"/>
      <c r="D19" s="4"/>
      <c r="E19" s="4"/>
      <c r="F19" s="4"/>
      <c r="G19" s="13"/>
      <c r="H19" s="13"/>
      <c r="I19" s="13"/>
      <c r="J19" s="14"/>
      <c r="K19" s="14"/>
      <c r="L19" s="14"/>
      <c r="M19" s="14"/>
      <c r="N19" s="14"/>
      <c r="O19" s="14"/>
    </row>
    <row r="20" spans="1:15" ht="55.5" customHeight="1" x14ac:dyDescent="0.25">
      <c r="A20" s="11" t="s">
        <v>130</v>
      </c>
      <c r="B20" s="4">
        <v>1</v>
      </c>
      <c r="C20" s="4" t="s">
        <v>66</v>
      </c>
      <c r="D20" s="5">
        <v>4</v>
      </c>
      <c r="E20" s="5">
        <v>5</v>
      </c>
      <c r="F20" s="15">
        <v>82</v>
      </c>
      <c r="G20" s="13">
        <v>17027.8</v>
      </c>
      <c r="H20" s="13">
        <f>F20*2.1</f>
        <v>172.20000000000002</v>
      </c>
      <c r="I20" s="13">
        <f>+G20-H20</f>
        <v>16855.599999999999</v>
      </c>
      <c r="J20" s="13"/>
      <c r="K20" s="13">
        <f>+I20*(108.5/(100+E20))</f>
        <v>17417.453333333335</v>
      </c>
      <c r="L20" s="13"/>
      <c r="M20" s="13"/>
      <c r="N20" s="13"/>
      <c r="O20" s="13"/>
    </row>
    <row r="21" spans="1:15" ht="30.75" customHeight="1" x14ac:dyDescent="0.25">
      <c r="A21" s="16" t="s">
        <v>21</v>
      </c>
      <c r="B21" s="4"/>
      <c r="C21" s="4"/>
      <c r="D21" s="4"/>
      <c r="E21" s="13"/>
      <c r="F21" s="17">
        <f>SUM(F20:F20)</f>
        <v>82</v>
      </c>
      <c r="G21" s="18">
        <f>SUM(G20:G20)</f>
        <v>17027.8</v>
      </c>
      <c r="H21" s="18">
        <f>SUM(H20:H20)</f>
        <v>172.20000000000002</v>
      </c>
      <c r="I21" s="18">
        <f>SUM(I20:I20)</f>
        <v>16855.599999999999</v>
      </c>
      <c r="J21" s="18"/>
      <c r="K21" s="18">
        <f>SUM(K20:K20)</f>
        <v>17417.453333333335</v>
      </c>
      <c r="L21" s="18"/>
      <c r="M21" s="13"/>
      <c r="N21" s="13"/>
      <c r="O21" s="13"/>
    </row>
    <row r="22" spans="1:15" ht="14.25" customHeight="1" x14ac:dyDescent="0.25">
      <c r="A22" s="19"/>
      <c r="B22" s="20"/>
      <c r="C22" s="20"/>
      <c r="D22" s="20"/>
      <c r="E22" s="21"/>
      <c r="F22" s="22"/>
      <c r="G22" s="22"/>
      <c r="H22" s="22"/>
      <c r="I22" s="22"/>
      <c r="J22" s="22"/>
      <c r="K22" s="22"/>
      <c r="L22" s="22"/>
      <c r="M22" s="21"/>
      <c r="N22" s="21"/>
      <c r="O22" s="21"/>
    </row>
    <row r="23" spans="1:15" ht="14.4" x14ac:dyDescent="0.3">
      <c r="A23" s="109" t="s">
        <v>132</v>
      </c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</row>
    <row r="24" spans="1:15" ht="11.25" customHeight="1" x14ac:dyDescent="0.25"/>
    <row r="25" spans="1:15" x14ac:dyDescent="0.25">
      <c r="A25" s="6" t="s">
        <v>22</v>
      </c>
      <c r="D25" s="24">
        <f>+I21</f>
        <v>16855.599999999999</v>
      </c>
    </row>
    <row r="26" spans="1:15" x14ac:dyDescent="0.25">
      <c r="D26" s="25"/>
      <c r="G26" s="23"/>
      <c r="H26" s="23"/>
      <c r="I26" s="23"/>
      <c r="J26" s="23"/>
      <c r="K26" s="23"/>
    </row>
    <row r="27" spans="1:15" x14ac:dyDescent="0.25">
      <c r="A27" s="6" t="s">
        <v>23</v>
      </c>
      <c r="D27" s="24">
        <f>+G21</f>
        <v>17027.8</v>
      </c>
    </row>
    <row r="28" spans="1:15" ht="11.25" customHeight="1" x14ac:dyDescent="0.25">
      <c r="D28" s="24"/>
    </row>
    <row r="29" spans="1:15" ht="10.5" customHeight="1" x14ac:dyDescent="0.25"/>
    <row r="30" spans="1:15" x14ac:dyDescent="0.25">
      <c r="A30" s="95" t="s">
        <v>25</v>
      </c>
      <c r="B30" s="95"/>
      <c r="C30" s="95"/>
      <c r="D30" s="95"/>
      <c r="E30" s="95"/>
      <c r="F30" s="95"/>
      <c r="G30" s="95"/>
    </row>
    <row r="31" spans="1:15" ht="9.75" customHeight="1" x14ac:dyDescent="0.25"/>
    <row r="32" spans="1:15" x14ac:dyDescent="0.25">
      <c r="A32" s="95" t="s">
        <v>82</v>
      </c>
      <c r="B32" s="95"/>
      <c r="C32" s="95"/>
      <c r="D32" s="95"/>
      <c r="E32" s="95"/>
      <c r="F32" s="95"/>
      <c r="G32" s="95"/>
    </row>
    <row r="33" spans="1:15" ht="12" customHeight="1" x14ac:dyDescent="0.25"/>
    <row r="34" spans="1:15" x14ac:dyDescent="0.25">
      <c r="A34" s="95" t="s">
        <v>26</v>
      </c>
      <c r="B34" s="95"/>
      <c r="C34" s="95"/>
      <c r="D34" s="95"/>
      <c r="E34" s="95"/>
      <c r="F34" s="95"/>
      <c r="G34" s="95"/>
      <c r="I34" s="95"/>
      <c r="J34" s="95"/>
      <c r="K34" s="95"/>
      <c r="L34" s="95"/>
      <c r="M34" s="95"/>
      <c r="N34" s="95"/>
      <c r="O34" s="95"/>
    </row>
    <row r="35" spans="1:15" ht="11.25" customHeight="1" x14ac:dyDescent="0.25"/>
    <row r="36" spans="1:15" x14ac:dyDescent="0.25">
      <c r="A36" s="99" t="s">
        <v>34</v>
      </c>
      <c r="B36" s="99"/>
      <c r="C36" s="99"/>
      <c r="D36" s="99"/>
      <c r="E36" s="99"/>
      <c r="F36" s="99"/>
      <c r="G36" s="99"/>
      <c r="I36" s="100" t="s">
        <v>46</v>
      </c>
      <c r="J36" s="100"/>
      <c r="K36" s="100"/>
      <c r="L36" s="100"/>
      <c r="M36" s="100"/>
      <c r="N36" s="100"/>
      <c r="O36" s="100"/>
    </row>
  </sheetData>
  <mergeCells count="23">
    <mergeCell ref="A34:G34"/>
    <mergeCell ref="I34:O34"/>
    <mergeCell ref="A36:G36"/>
    <mergeCell ref="I36:O36"/>
    <mergeCell ref="F15:I15"/>
    <mergeCell ref="J15:J16"/>
    <mergeCell ref="K15:K16"/>
    <mergeCell ref="L15:M15"/>
    <mergeCell ref="N15:O15"/>
    <mergeCell ref="A18:O18"/>
    <mergeCell ref="A15:A16"/>
    <mergeCell ref="B15:B16"/>
    <mergeCell ref="C15:C16"/>
    <mergeCell ref="D15:D16"/>
    <mergeCell ref="E15:E16"/>
    <mergeCell ref="A23:O23"/>
    <mergeCell ref="A30:G30"/>
    <mergeCell ref="A32:G32"/>
    <mergeCell ref="A1:O1"/>
    <mergeCell ref="A9:N9"/>
    <mergeCell ref="A11:N11"/>
    <mergeCell ref="A12:N12"/>
    <mergeCell ref="I13:K13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>
    <tabColor rgb="FFFFFF00"/>
  </sheetPr>
  <dimension ref="A1:O36"/>
  <sheetViews>
    <sheetView workbookViewId="0">
      <selection activeCell="A20" sqref="A20:K20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133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5" x14ac:dyDescent="0.25">
      <c r="A3" s="7" t="s">
        <v>134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8" t="s">
        <v>41</v>
      </c>
      <c r="B4" s="8"/>
      <c r="C4" s="8"/>
      <c r="D4" s="8"/>
      <c r="E4" s="8"/>
      <c r="F4" s="8"/>
      <c r="G4" s="8"/>
      <c r="H4" s="8"/>
      <c r="I4" s="8"/>
      <c r="J4" s="3" t="s">
        <v>94</v>
      </c>
      <c r="K4" s="2"/>
      <c r="L4" s="2"/>
      <c r="M4" s="2"/>
      <c r="N4" s="2"/>
    </row>
    <row r="5" spans="1:15" x14ac:dyDescent="0.25">
      <c r="A5" s="6" t="s">
        <v>42</v>
      </c>
      <c r="F5" s="9"/>
      <c r="G5" s="9"/>
      <c r="H5" s="9"/>
      <c r="I5" s="9"/>
      <c r="J5" s="3"/>
      <c r="K5" s="3"/>
      <c r="L5" s="1"/>
      <c r="M5" s="1"/>
      <c r="N5" s="1"/>
    </row>
    <row r="6" spans="1:15" x14ac:dyDescent="0.25">
      <c r="A6" s="9" t="s">
        <v>68</v>
      </c>
      <c r="B6" s="9"/>
      <c r="C6" s="9"/>
      <c r="D6" s="9"/>
      <c r="E6" s="9"/>
      <c r="F6" s="9"/>
      <c r="G6" s="9"/>
      <c r="H6" s="9"/>
      <c r="I6" s="9"/>
      <c r="J6" s="3" t="s">
        <v>95</v>
      </c>
      <c r="K6" s="1"/>
      <c r="L6" s="1"/>
      <c r="M6" s="1"/>
      <c r="N6" s="1"/>
    </row>
    <row r="7" spans="1:15" x14ac:dyDescent="0.25">
      <c r="A7" s="9" t="s">
        <v>43</v>
      </c>
      <c r="B7" s="9"/>
      <c r="C7" s="9"/>
      <c r="D7" s="9"/>
      <c r="E7" s="9"/>
      <c r="F7" s="9"/>
      <c r="G7" s="9"/>
      <c r="H7" s="9"/>
      <c r="I7" s="9"/>
      <c r="J7" s="3" t="s">
        <v>96</v>
      </c>
      <c r="K7" s="1"/>
      <c r="L7" s="1"/>
      <c r="M7" s="1"/>
      <c r="N7" s="1"/>
    </row>
    <row r="8" spans="1:15" x14ac:dyDescent="0.25">
      <c r="A8" s="9" t="s">
        <v>1</v>
      </c>
      <c r="B8" s="9"/>
      <c r="C8" s="9"/>
      <c r="D8" s="9"/>
      <c r="E8" s="9"/>
      <c r="J8" s="3"/>
      <c r="K8" s="3"/>
      <c r="L8" s="3"/>
      <c r="M8" s="3"/>
      <c r="N8" s="3"/>
    </row>
    <row r="9" spans="1:15" x14ac:dyDescent="0.25">
      <c r="A9" s="97" t="s">
        <v>44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</row>
    <row r="10" spans="1:15" x14ac:dyDescent="0.25">
      <c r="A10" s="10" t="s">
        <v>45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</row>
    <row r="11" spans="1:15" x14ac:dyDescent="0.25">
      <c r="A11" s="98" t="s">
        <v>140</v>
      </c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</row>
    <row r="12" spans="1:15" x14ac:dyDescent="0.25">
      <c r="A12" s="98" t="s">
        <v>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I13" s="98" t="s">
        <v>18</v>
      </c>
      <c r="J13" s="98"/>
      <c r="K13" s="98"/>
      <c r="L13" s="6" t="s">
        <v>79</v>
      </c>
    </row>
    <row r="14" spans="1:15" x14ac:dyDescent="0.25">
      <c r="A14" s="6" t="s">
        <v>135</v>
      </c>
      <c r="I14" s="6" t="s">
        <v>19</v>
      </c>
      <c r="L14" s="33">
        <v>4</v>
      </c>
    </row>
    <row r="15" spans="1:15" ht="16.5" customHeight="1" x14ac:dyDescent="0.25">
      <c r="A15" s="104" t="s">
        <v>2</v>
      </c>
      <c r="B15" s="104" t="s">
        <v>3</v>
      </c>
      <c r="C15" s="104" t="s">
        <v>4</v>
      </c>
      <c r="D15" s="104" t="s">
        <v>5</v>
      </c>
      <c r="E15" s="104" t="s">
        <v>6</v>
      </c>
      <c r="F15" s="101" t="s">
        <v>7</v>
      </c>
      <c r="G15" s="102"/>
      <c r="H15" s="102"/>
      <c r="I15" s="103"/>
      <c r="J15" s="104" t="s">
        <v>12</v>
      </c>
      <c r="K15" s="104" t="s">
        <v>13</v>
      </c>
      <c r="L15" s="101" t="s">
        <v>14</v>
      </c>
      <c r="M15" s="103"/>
      <c r="N15" s="101" t="s">
        <v>15</v>
      </c>
      <c r="O15" s="103"/>
    </row>
    <row r="16" spans="1:15" ht="27.6" x14ac:dyDescent="0.25">
      <c r="A16" s="105"/>
      <c r="B16" s="105"/>
      <c r="C16" s="105"/>
      <c r="D16" s="105"/>
      <c r="E16" s="105"/>
      <c r="F16" s="4" t="s">
        <v>8</v>
      </c>
      <c r="G16" s="4" t="s">
        <v>9</v>
      </c>
      <c r="H16" s="4" t="s">
        <v>10</v>
      </c>
      <c r="I16" s="4" t="s">
        <v>11</v>
      </c>
      <c r="J16" s="105"/>
      <c r="K16" s="105"/>
      <c r="L16" s="4" t="s">
        <v>16</v>
      </c>
      <c r="M16" s="4" t="s">
        <v>17</v>
      </c>
      <c r="N16" s="4" t="s">
        <v>16</v>
      </c>
      <c r="O16" s="4" t="s">
        <v>17</v>
      </c>
    </row>
    <row r="17" spans="1:15" x14ac:dyDescent="0.25">
      <c r="A17" s="4">
        <v>1</v>
      </c>
      <c r="B17" s="4">
        <v>2</v>
      </c>
      <c r="C17" s="4">
        <v>3</v>
      </c>
      <c r="D17" s="4">
        <v>4</v>
      </c>
      <c r="E17" s="4">
        <v>5</v>
      </c>
      <c r="F17" s="4">
        <v>6</v>
      </c>
      <c r="G17" s="4">
        <v>7</v>
      </c>
      <c r="H17" s="4">
        <v>8</v>
      </c>
      <c r="I17" s="4">
        <v>9</v>
      </c>
      <c r="J17" s="4">
        <v>10</v>
      </c>
      <c r="K17" s="4">
        <v>11</v>
      </c>
      <c r="L17" s="4">
        <v>12</v>
      </c>
      <c r="M17" s="4">
        <v>13</v>
      </c>
      <c r="N17" s="4">
        <v>14</v>
      </c>
      <c r="O17" s="4">
        <v>15</v>
      </c>
    </row>
    <row r="18" spans="1:15" x14ac:dyDescent="0.25">
      <c r="A18" s="106" t="s">
        <v>20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8"/>
    </row>
    <row r="19" spans="1:15" ht="32.25" customHeight="1" x14ac:dyDescent="0.25">
      <c r="A19" s="11" t="s">
        <v>80</v>
      </c>
      <c r="B19" s="12"/>
      <c r="C19" s="4"/>
      <c r="D19" s="4"/>
      <c r="E19" s="4"/>
      <c r="F19" s="4"/>
      <c r="G19" s="13"/>
      <c r="H19" s="13"/>
      <c r="I19" s="13"/>
      <c r="J19" s="14"/>
      <c r="K19" s="14"/>
      <c r="L19" s="14"/>
      <c r="M19" s="14"/>
      <c r="N19" s="14"/>
      <c r="O19" s="14"/>
    </row>
    <row r="20" spans="1:15" ht="48.75" customHeight="1" x14ac:dyDescent="0.25">
      <c r="A20" s="11" t="s">
        <v>136</v>
      </c>
      <c r="B20" s="4">
        <v>1</v>
      </c>
      <c r="C20" s="4" t="s">
        <v>59</v>
      </c>
      <c r="D20" s="5">
        <v>3</v>
      </c>
      <c r="E20" s="5">
        <v>5</v>
      </c>
      <c r="F20" s="15">
        <v>96</v>
      </c>
      <c r="G20" s="13">
        <v>19360.400000000001</v>
      </c>
      <c r="H20" s="13">
        <f>F20*2.2</f>
        <v>211.20000000000002</v>
      </c>
      <c r="I20" s="13">
        <f>+G20-H20</f>
        <v>19149.2</v>
      </c>
      <c r="J20" s="13"/>
      <c r="K20" s="13">
        <f>+I20*(108.5/(100+E20))</f>
        <v>19787.506666666668</v>
      </c>
      <c r="L20" s="13"/>
      <c r="M20" s="13"/>
      <c r="N20" s="13"/>
      <c r="O20" s="13"/>
    </row>
    <row r="21" spans="1:15" ht="30.75" customHeight="1" x14ac:dyDescent="0.25">
      <c r="A21" s="16" t="s">
        <v>21</v>
      </c>
      <c r="B21" s="4"/>
      <c r="C21" s="4"/>
      <c r="D21" s="4"/>
      <c r="E21" s="13"/>
      <c r="F21" s="17">
        <f>SUM(F20:F20)</f>
        <v>96</v>
      </c>
      <c r="G21" s="18">
        <f>SUM(G20:G20)</f>
        <v>19360.400000000001</v>
      </c>
      <c r="H21" s="18">
        <f>SUM(H20:H20)</f>
        <v>211.20000000000002</v>
      </c>
      <c r="I21" s="18">
        <f>SUM(I20:I20)</f>
        <v>19149.2</v>
      </c>
      <c r="J21" s="18"/>
      <c r="K21" s="18">
        <f>SUM(K20:K20)</f>
        <v>19787.506666666668</v>
      </c>
      <c r="L21" s="18"/>
      <c r="M21" s="13"/>
      <c r="N21" s="13"/>
      <c r="O21" s="13"/>
    </row>
    <row r="22" spans="1:15" ht="14.25" customHeight="1" x14ac:dyDescent="0.25">
      <c r="A22" s="19"/>
      <c r="B22" s="20"/>
      <c r="C22" s="20"/>
      <c r="D22" s="20"/>
      <c r="E22" s="21"/>
      <c r="F22" s="22"/>
      <c r="G22" s="22"/>
      <c r="H22" s="22"/>
      <c r="I22" s="22"/>
      <c r="J22" s="22"/>
      <c r="K22" s="22"/>
      <c r="L22" s="22"/>
      <c r="M22" s="21"/>
      <c r="N22" s="21"/>
      <c r="O22" s="21"/>
    </row>
    <row r="23" spans="1:15" ht="14.4" x14ac:dyDescent="0.3">
      <c r="A23" s="109" t="s">
        <v>56</v>
      </c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</row>
    <row r="24" spans="1:15" ht="11.25" customHeight="1" x14ac:dyDescent="0.25"/>
    <row r="25" spans="1:15" x14ac:dyDescent="0.25">
      <c r="A25" s="6" t="s">
        <v>22</v>
      </c>
      <c r="D25" s="24">
        <f>+I21</f>
        <v>19149.2</v>
      </c>
    </row>
    <row r="26" spans="1:15" x14ac:dyDescent="0.25">
      <c r="D26" s="25"/>
      <c r="G26" s="23"/>
      <c r="H26" s="23"/>
      <c r="I26" s="23"/>
      <c r="J26" s="23"/>
      <c r="K26" s="23"/>
    </row>
    <row r="27" spans="1:15" x14ac:dyDescent="0.25">
      <c r="A27" s="6" t="s">
        <v>23</v>
      </c>
      <c r="D27" s="24">
        <f>+G21</f>
        <v>19360.400000000001</v>
      </c>
    </row>
    <row r="28" spans="1:15" ht="11.25" customHeight="1" x14ac:dyDescent="0.25">
      <c r="D28" s="24"/>
    </row>
    <row r="29" spans="1:15" ht="10.5" customHeight="1" x14ac:dyDescent="0.25"/>
    <row r="30" spans="1:15" x14ac:dyDescent="0.25">
      <c r="A30" s="95" t="s">
        <v>25</v>
      </c>
      <c r="B30" s="95"/>
      <c r="C30" s="95"/>
      <c r="D30" s="95"/>
      <c r="E30" s="95"/>
      <c r="F30" s="95"/>
      <c r="G30" s="95"/>
    </row>
    <row r="31" spans="1:15" ht="9.75" customHeight="1" x14ac:dyDescent="0.25"/>
    <row r="32" spans="1:15" x14ac:dyDescent="0.25">
      <c r="A32" s="95" t="s">
        <v>82</v>
      </c>
      <c r="B32" s="95"/>
      <c r="C32" s="95"/>
      <c r="D32" s="95"/>
      <c r="E32" s="95"/>
      <c r="F32" s="95"/>
      <c r="G32" s="95"/>
    </row>
    <row r="33" spans="1:15" ht="12" customHeight="1" x14ac:dyDescent="0.25"/>
    <row r="34" spans="1:15" x14ac:dyDescent="0.25">
      <c r="A34" s="95" t="s">
        <v>26</v>
      </c>
      <c r="B34" s="95"/>
      <c r="C34" s="95"/>
      <c r="D34" s="95"/>
      <c r="E34" s="95"/>
      <c r="F34" s="95"/>
      <c r="G34" s="95"/>
      <c r="I34" s="95"/>
      <c r="J34" s="95"/>
      <c r="K34" s="95"/>
      <c r="L34" s="95"/>
      <c r="M34" s="95"/>
      <c r="N34" s="95"/>
      <c r="O34" s="95"/>
    </row>
    <row r="35" spans="1:15" ht="11.25" customHeight="1" x14ac:dyDescent="0.25"/>
    <row r="36" spans="1:15" x14ac:dyDescent="0.25">
      <c r="A36" s="110" t="s">
        <v>119</v>
      </c>
      <c r="B36" s="110"/>
      <c r="C36" s="110"/>
      <c r="D36" s="110"/>
      <c r="E36" s="110"/>
      <c r="F36" s="110"/>
      <c r="G36" s="110"/>
      <c r="I36" s="100" t="s">
        <v>46</v>
      </c>
      <c r="J36" s="100"/>
      <c r="K36" s="100"/>
      <c r="L36" s="100"/>
      <c r="M36" s="100"/>
      <c r="N36" s="100"/>
      <c r="O36" s="100"/>
    </row>
  </sheetData>
  <mergeCells count="23">
    <mergeCell ref="A34:G34"/>
    <mergeCell ref="I34:O34"/>
    <mergeCell ref="A36:G36"/>
    <mergeCell ref="I36:O36"/>
    <mergeCell ref="F15:I15"/>
    <mergeCell ref="J15:J16"/>
    <mergeCell ref="K15:K16"/>
    <mergeCell ref="L15:M15"/>
    <mergeCell ref="N15:O15"/>
    <mergeCell ref="A18:O18"/>
    <mergeCell ref="A15:A16"/>
    <mergeCell ref="B15:B16"/>
    <mergeCell ref="C15:C16"/>
    <mergeCell ref="D15:D16"/>
    <mergeCell ref="E15:E16"/>
    <mergeCell ref="A23:O23"/>
    <mergeCell ref="A30:G30"/>
    <mergeCell ref="A32:G32"/>
    <mergeCell ref="A1:O1"/>
    <mergeCell ref="A9:N9"/>
    <mergeCell ref="A11:N11"/>
    <mergeCell ref="A12:N12"/>
    <mergeCell ref="I13:K13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>
    <tabColor rgb="FFFFFF00"/>
  </sheetPr>
  <dimension ref="A1:O37"/>
  <sheetViews>
    <sheetView workbookViewId="0">
      <selection activeCell="K20" sqref="A20:K21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137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5" x14ac:dyDescent="0.25">
      <c r="A3" s="7" t="s">
        <v>134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8" t="s">
        <v>41</v>
      </c>
      <c r="B4" s="8"/>
      <c r="C4" s="8"/>
      <c r="D4" s="8"/>
      <c r="E4" s="8"/>
      <c r="F4" s="8"/>
      <c r="G4" s="8"/>
      <c r="H4" s="8"/>
      <c r="I4" s="8"/>
      <c r="J4" s="3" t="s">
        <v>48</v>
      </c>
      <c r="K4" s="2"/>
      <c r="L4" s="2"/>
      <c r="M4" s="2"/>
      <c r="N4" s="2"/>
    </row>
    <row r="5" spans="1:15" x14ac:dyDescent="0.25">
      <c r="A5" s="6" t="s">
        <v>42</v>
      </c>
      <c r="F5" s="9"/>
      <c r="G5" s="9"/>
      <c r="H5" s="9"/>
      <c r="I5" s="9"/>
      <c r="J5" s="3"/>
      <c r="K5" s="3"/>
      <c r="L5" s="1"/>
      <c r="M5" s="1"/>
      <c r="N5" s="1"/>
    </row>
    <row r="6" spans="1:15" x14ac:dyDescent="0.25">
      <c r="A6" s="9" t="s">
        <v>68</v>
      </c>
      <c r="B6" s="9"/>
      <c r="C6" s="9"/>
      <c r="D6" s="9"/>
      <c r="E6" s="9"/>
      <c r="F6" s="9"/>
      <c r="G6" s="9"/>
      <c r="H6" s="9"/>
      <c r="I6" s="9"/>
      <c r="J6" s="3" t="s">
        <v>51</v>
      </c>
      <c r="K6" s="1"/>
      <c r="L6" s="1"/>
      <c r="M6" s="1"/>
      <c r="N6" s="1"/>
    </row>
    <row r="7" spans="1:15" x14ac:dyDescent="0.25">
      <c r="A7" s="9" t="s">
        <v>43</v>
      </c>
      <c r="B7" s="9"/>
      <c r="C7" s="9"/>
      <c r="D7" s="9"/>
      <c r="E7" s="9"/>
      <c r="F7" s="9"/>
      <c r="G7" s="9"/>
      <c r="H7" s="9"/>
      <c r="I7" s="9"/>
      <c r="J7" s="3" t="s">
        <v>49</v>
      </c>
      <c r="K7" s="1"/>
      <c r="L7" s="1"/>
      <c r="M7" s="1"/>
      <c r="N7" s="1"/>
    </row>
    <row r="8" spans="1:15" x14ac:dyDescent="0.25">
      <c r="A8" s="9" t="s">
        <v>1</v>
      </c>
      <c r="B8" s="9"/>
      <c r="C8" s="9"/>
      <c r="D8" s="9"/>
      <c r="E8" s="9"/>
      <c r="J8" s="3"/>
      <c r="K8" s="3"/>
      <c r="L8" s="3"/>
      <c r="M8" s="3"/>
      <c r="N8" s="3"/>
    </row>
    <row r="9" spans="1:15" x14ac:dyDescent="0.25">
      <c r="A9" s="97" t="s">
        <v>44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</row>
    <row r="10" spans="1:15" x14ac:dyDescent="0.25">
      <c r="A10" s="10" t="s">
        <v>45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</row>
    <row r="11" spans="1:15" x14ac:dyDescent="0.25">
      <c r="A11" s="98" t="s">
        <v>140</v>
      </c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</row>
    <row r="12" spans="1:15" x14ac:dyDescent="0.25">
      <c r="A12" s="98" t="s">
        <v>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I13" s="98" t="s">
        <v>18</v>
      </c>
      <c r="J13" s="98"/>
      <c r="K13" s="98"/>
      <c r="L13" s="6" t="s">
        <v>79</v>
      </c>
    </row>
    <row r="14" spans="1:15" x14ac:dyDescent="0.25">
      <c r="A14" s="6" t="s">
        <v>135</v>
      </c>
      <c r="I14" s="6" t="s">
        <v>19</v>
      </c>
      <c r="L14" s="33">
        <v>4</v>
      </c>
    </row>
    <row r="15" spans="1:15" ht="16.5" customHeight="1" x14ac:dyDescent="0.25">
      <c r="A15" s="104" t="s">
        <v>2</v>
      </c>
      <c r="B15" s="104" t="s">
        <v>3</v>
      </c>
      <c r="C15" s="104" t="s">
        <v>4</v>
      </c>
      <c r="D15" s="104" t="s">
        <v>5</v>
      </c>
      <c r="E15" s="104" t="s">
        <v>6</v>
      </c>
      <c r="F15" s="101" t="s">
        <v>7</v>
      </c>
      <c r="G15" s="102"/>
      <c r="H15" s="102"/>
      <c r="I15" s="103"/>
      <c r="J15" s="104" t="s">
        <v>12</v>
      </c>
      <c r="K15" s="104" t="s">
        <v>13</v>
      </c>
      <c r="L15" s="101" t="s">
        <v>14</v>
      </c>
      <c r="M15" s="103"/>
      <c r="N15" s="101" t="s">
        <v>15</v>
      </c>
      <c r="O15" s="103"/>
    </row>
    <row r="16" spans="1:15" ht="27.6" x14ac:dyDescent="0.25">
      <c r="A16" s="105"/>
      <c r="B16" s="105"/>
      <c r="C16" s="105"/>
      <c r="D16" s="105"/>
      <c r="E16" s="105"/>
      <c r="F16" s="4" t="s">
        <v>8</v>
      </c>
      <c r="G16" s="4" t="s">
        <v>9</v>
      </c>
      <c r="H16" s="4" t="s">
        <v>10</v>
      </c>
      <c r="I16" s="4" t="s">
        <v>11</v>
      </c>
      <c r="J16" s="105"/>
      <c r="K16" s="105"/>
      <c r="L16" s="4" t="s">
        <v>16</v>
      </c>
      <c r="M16" s="4" t="s">
        <v>17</v>
      </c>
      <c r="N16" s="4" t="s">
        <v>16</v>
      </c>
      <c r="O16" s="4" t="s">
        <v>17</v>
      </c>
    </row>
    <row r="17" spans="1:15" x14ac:dyDescent="0.25">
      <c r="A17" s="4">
        <v>1</v>
      </c>
      <c r="B17" s="4">
        <v>2</v>
      </c>
      <c r="C17" s="4">
        <v>3</v>
      </c>
      <c r="D17" s="4">
        <v>4</v>
      </c>
      <c r="E17" s="4">
        <v>5</v>
      </c>
      <c r="F17" s="4">
        <v>6</v>
      </c>
      <c r="G17" s="4">
        <v>7</v>
      </c>
      <c r="H17" s="4">
        <v>8</v>
      </c>
      <c r="I17" s="4">
        <v>9</v>
      </c>
      <c r="J17" s="4">
        <v>10</v>
      </c>
      <c r="K17" s="4">
        <v>11</v>
      </c>
      <c r="L17" s="4">
        <v>12</v>
      </c>
      <c r="M17" s="4">
        <v>13</v>
      </c>
      <c r="N17" s="4">
        <v>14</v>
      </c>
      <c r="O17" s="4">
        <v>15</v>
      </c>
    </row>
    <row r="18" spans="1:15" x14ac:dyDescent="0.25">
      <c r="A18" s="106" t="s">
        <v>20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8"/>
    </row>
    <row r="19" spans="1:15" ht="26.25" customHeight="1" x14ac:dyDescent="0.25">
      <c r="A19" s="11" t="s">
        <v>80</v>
      </c>
      <c r="B19" s="12"/>
      <c r="C19" s="4"/>
      <c r="D19" s="4"/>
      <c r="E19" s="4"/>
      <c r="F19" s="4"/>
      <c r="G19" s="13"/>
      <c r="H19" s="13"/>
      <c r="I19" s="13"/>
      <c r="J19" s="14"/>
      <c r="K19" s="14"/>
      <c r="L19" s="14"/>
      <c r="M19" s="14"/>
      <c r="N19" s="14"/>
      <c r="O19" s="14"/>
    </row>
    <row r="20" spans="1:15" ht="33" customHeight="1" x14ac:dyDescent="0.25">
      <c r="A20" s="11" t="s">
        <v>138</v>
      </c>
      <c r="B20" s="4">
        <v>1</v>
      </c>
      <c r="C20" s="4" t="s">
        <v>27</v>
      </c>
      <c r="D20" s="5">
        <v>2.5</v>
      </c>
      <c r="E20" s="5">
        <v>5</v>
      </c>
      <c r="F20" s="15">
        <v>81</v>
      </c>
      <c r="G20" s="13">
        <v>16128.4</v>
      </c>
      <c r="H20" s="13">
        <f>F20*2.2</f>
        <v>178.20000000000002</v>
      </c>
      <c r="I20" s="13">
        <f>+G20-H20</f>
        <v>15950.199999999999</v>
      </c>
      <c r="J20" s="13"/>
      <c r="K20" s="13">
        <f>+I20*(108.5/(100+E20))</f>
        <v>16481.873333333333</v>
      </c>
      <c r="L20" s="13"/>
      <c r="M20" s="13"/>
      <c r="N20" s="13"/>
      <c r="O20" s="13"/>
    </row>
    <row r="21" spans="1:15" ht="33" customHeight="1" x14ac:dyDescent="0.25">
      <c r="A21" s="11" t="s">
        <v>139</v>
      </c>
      <c r="B21" s="4">
        <v>1</v>
      </c>
      <c r="C21" s="4" t="s">
        <v>59</v>
      </c>
      <c r="D21" s="5">
        <v>3</v>
      </c>
      <c r="E21" s="5">
        <v>5</v>
      </c>
      <c r="F21" s="15">
        <v>15</v>
      </c>
      <c r="G21" s="13">
        <v>3019.6</v>
      </c>
      <c r="H21" s="13">
        <f>F21*2.2</f>
        <v>33</v>
      </c>
      <c r="I21" s="13">
        <f>+G21-H21</f>
        <v>2986.6</v>
      </c>
      <c r="J21" s="13"/>
      <c r="K21" s="13">
        <f>+I21*(108.5/(100+E21))</f>
        <v>3086.1533333333336</v>
      </c>
      <c r="L21" s="13"/>
      <c r="M21" s="13"/>
      <c r="N21" s="13"/>
      <c r="O21" s="13"/>
    </row>
    <row r="22" spans="1:15" ht="33" customHeight="1" x14ac:dyDescent="0.25">
      <c r="A22" s="16" t="s">
        <v>21</v>
      </c>
      <c r="B22" s="4"/>
      <c r="C22" s="4"/>
      <c r="D22" s="4"/>
      <c r="E22" s="13"/>
      <c r="F22" s="17">
        <f>SUM(F20:F21)</f>
        <v>96</v>
      </c>
      <c r="G22" s="18">
        <f>SUM(G20:G21)</f>
        <v>19148</v>
      </c>
      <c r="H22" s="18">
        <f>SUM(H20:H21)</f>
        <v>211.20000000000002</v>
      </c>
      <c r="I22" s="18">
        <f>SUM(I20:I21)</f>
        <v>18936.8</v>
      </c>
      <c r="J22" s="18"/>
      <c r="K22" s="18">
        <f>SUM(K20:K21)</f>
        <v>19568.026666666665</v>
      </c>
      <c r="L22" s="18"/>
      <c r="M22" s="13"/>
      <c r="N22" s="13"/>
      <c r="O22" s="13"/>
    </row>
    <row r="23" spans="1:15" ht="14.25" customHeight="1" x14ac:dyDescent="0.25">
      <c r="A23" s="19"/>
      <c r="B23" s="20"/>
      <c r="C23" s="20"/>
      <c r="D23" s="20"/>
      <c r="E23" s="21"/>
      <c r="F23" s="22"/>
      <c r="G23" s="22"/>
      <c r="H23" s="22"/>
      <c r="I23" s="22"/>
      <c r="J23" s="22"/>
      <c r="K23" s="22"/>
      <c r="L23" s="22"/>
      <c r="M23" s="21"/>
      <c r="N23" s="21"/>
      <c r="O23" s="21"/>
    </row>
    <row r="24" spans="1:15" ht="14.4" x14ac:dyDescent="0.3">
      <c r="A24" s="109" t="s">
        <v>56</v>
      </c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</row>
    <row r="25" spans="1:15" ht="11.25" customHeight="1" x14ac:dyDescent="0.25"/>
    <row r="26" spans="1:15" x14ac:dyDescent="0.25">
      <c r="A26" s="6" t="s">
        <v>22</v>
      </c>
      <c r="D26" s="24">
        <f>+I22</f>
        <v>18936.8</v>
      </c>
    </row>
    <row r="27" spans="1:15" x14ac:dyDescent="0.25">
      <c r="D27" s="25"/>
      <c r="G27" s="23"/>
      <c r="H27" s="23"/>
      <c r="I27" s="23"/>
      <c r="J27" s="23"/>
      <c r="K27" s="23"/>
    </row>
    <row r="28" spans="1:15" x14ac:dyDescent="0.25">
      <c r="A28" s="6" t="s">
        <v>23</v>
      </c>
      <c r="D28" s="24">
        <f>+G22</f>
        <v>19148</v>
      </c>
    </row>
    <row r="29" spans="1:15" ht="11.25" customHeight="1" x14ac:dyDescent="0.25">
      <c r="D29" s="24"/>
    </row>
    <row r="30" spans="1:15" ht="10.5" customHeight="1" x14ac:dyDescent="0.25"/>
    <row r="31" spans="1:15" x14ac:dyDescent="0.25">
      <c r="A31" s="95" t="s">
        <v>25</v>
      </c>
      <c r="B31" s="95"/>
      <c r="C31" s="95"/>
      <c r="D31" s="95"/>
      <c r="E31" s="95"/>
      <c r="F31" s="95"/>
      <c r="G31" s="95"/>
    </row>
    <row r="32" spans="1:15" ht="9.75" customHeight="1" x14ac:dyDescent="0.25"/>
    <row r="33" spans="1:15" x14ac:dyDescent="0.25">
      <c r="A33" s="95" t="s">
        <v>82</v>
      </c>
      <c r="B33" s="95"/>
      <c r="C33" s="95"/>
      <c r="D33" s="95"/>
      <c r="E33" s="95"/>
      <c r="F33" s="95"/>
      <c r="G33" s="95"/>
    </row>
    <row r="34" spans="1:15" ht="12" customHeight="1" x14ac:dyDescent="0.25"/>
    <row r="35" spans="1:15" x14ac:dyDescent="0.25">
      <c r="A35" s="95" t="s">
        <v>26</v>
      </c>
      <c r="B35" s="95"/>
      <c r="C35" s="95"/>
      <c r="D35" s="95"/>
      <c r="E35" s="95"/>
      <c r="F35" s="95"/>
      <c r="G35" s="95"/>
      <c r="I35" s="95"/>
      <c r="J35" s="95"/>
      <c r="K35" s="95"/>
      <c r="L35" s="95"/>
      <c r="M35" s="95"/>
      <c r="N35" s="95"/>
      <c r="O35" s="95"/>
    </row>
    <row r="36" spans="1:15" ht="11.25" customHeight="1" x14ac:dyDescent="0.25"/>
    <row r="37" spans="1:15" x14ac:dyDescent="0.25">
      <c r="A37" s="110" t="s">
        <v>50</v>
      </c>
      <c r="B37" s="110"/>
      <c r="C37" s="110"/>
      <c r="D37" s="110"/>
      <c r="E37" s="110"/>
      <c r="F37" s="110"/>
      <c r="G37" s="110"/>
      <c r="I37" s="100" t="s">
        <v>46</v>
      </c>
      <c r="J37" s="100"/>
      <c r="K37" s="100"/>
      <c r="L37" s="100"/>
      <c r="M37" s="100"/>
      <c r="N37" s="100"/>
      <c r="O37" s="100"/>
    </row>
  </sheetData>
  <mergeCells count="23">
    <mergeCell ref="A35:G35"/>
    <mergeCell ref="I35:O35"/>
    <mergeCell ref="A37:G37"/>
    <mergeCell ref="I37:O37"/>
    <mergeCell ref="F15:I15"/>
    <mergeCell ref="J15:J16"/>
    <mergeCell ref="K15:K16"/>
    <mergeCell ref="L15:M15"/>
    <mergeCell ref="N15:O15"/>
    <mergeCell ref="A18:O18"/>
    <mergeCell ref="A15:A16"/>
    <mergeCell ref="B15:B16"/>
    <mergeCell ref="C15:C16"/>
    <mergeCell ref="D15:D16"/>
    <mergeCell ref="E15:E16"/>
    <mergeCell ref="A24:O24"/>
    <mergeCell ref="A31:G31"/>
    <mergeCell ref="A33:G33"/>
    <mergeCell ref="A1:O1"/>
    <mergeCell ref="A9:N9"/>
    <mergeCell ref="A11:N11"/>
    <mergeCell ref="A12:N12"/>
    <mergeCell ref="I13:K13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>
    <tabColor rgb="FFFFFF00"/>
  </sheetPr>
  <dimension ref="A1:O36"/>
  <sheetViews>
    <sheetView workbookViewId="0">
      <selection activeCell="I19" sqref="I19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141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5" x14ac:dyDescent="0.25">
      <c r="A3" s="7" t="s">
        <v>142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8" t="s">
        <v>41</v>
      </c>
      <c r="B4" s="8"/>
      <c r="C4" s="8"/>
      <c r="D4" s="8"/>
      <c r="E4" s="8"/>
      <c r="F4" s="8"/>
      <c r="G4" s="8"/>
      <c r="H4" s="8"/>
      <c r="I4" s="8"/>
      <c r="J4" s="3" t="s">
        <v>38</v>
      </c>
      <c r="K4" s="2"/>
      <c r="L4" s="2"/>
      <c r="M4" s="2"/>
      <c r="N4" s="2"/>
    </row>
    <row r="5" spans="1:15" x14ac:dyDescent="0.25">
      <c r="A5" s="6" t="s">
        <v>42</v>
      </c>
      <c r="F5" s="9"/>
      <c r="G5" s="9"/>
      <c r="H5" s="9"/>
      <c r="I5" s="9"/>
      <c r="J5" s="3"/>
      <c r="K5" s="3"/>
      <c r="L5" s="1"/>
      <c r="M5" s="1"/>
      <c r="N5" s="1"/>
    </row>
    <row r="6" spans="1:15" x14ac:dyDescent="0.25">
      <c r="A6" s="9" t="s">
        <v>68</v>
      </c>
      <c r="B6" s="9"/>
      <c r="C6" s="9"/>
      <c r="D6" s="9"/>
      <c r="E6" s="9"/>
      <c r="F6" s="9"/>
      <c r="G6" s="9"/>
      <c r="H6" s="9"/>
      <c r="I6" s="9"/>
      <c r="J6" s="3" t="s">
        <v>77</v>
      </c>
      <c r="K6" s="1"/>
      <c r="L6" s="1"/>
      <c r="M6" s="1"/>
      <c r="N6" s="1"/>
    </row>
    <row r="7" spans="1:15" x14ac:dyDescent="0.25">
      <c r="A7" s="9" t="s">
        <v>43</v>
      </c>
      <c r="B7" s="9"/>
      <c r="C7" s="9"/>
      <c r="D7" s="9"/>
      <c r="E7" s="9"/>
      <c r="F7" s="9"/>
      <c r="G7" s="9"/>
      <c r="H7" s="9"/>
      <c r="I7" s="9"/>
      <c r="J7" s="3" t="s">
        <v>39</v>
      </c>
      <c r="K7" s="1"/>
      <c r="L7" s="1"/>
      <c r="M7" s="1"/>
      <c r="N7" s="1"/>
    </row>
    <row r="8" spans="1:15" x14ac:dyDescent="0.25">
      <c r="A8" s="9" t="s">
        <v>1</v>
      </c>
      <c r="B8" s="9"/>
      <c r="C8" s="9"/>
      <c r="D8" s="9"/>
      <c r="E8" s="9"/>
      <c r="J8" s="3"/>
      <c r="K8" s="3"/>
      <c r="L8" s="3"/>
      <c r="M8" s="3"/>
      <c r="N8" s="3"/>
    </row>
    <row r="9" spans="1:15" x14ac:dyDescent="0.25">
      <c r="A9" s="97" t="s">
        <v>44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</row>
    <row r="10" spans="1:15" x14ac:dyDescent="0.25">
      <c r="A10" s="10" t="s">
        <v>45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</row>
    <row r="11" spans="1:15" x14ac:dyDescent="0.25">
      <c r="A11" s="98" t="s">
        <v>140</v>
      </c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</row>
    <row r="12" spans="1:15" x14ac:dyDescent="0.25">
      <c r="A12" s="98" t="s">
        <v>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I13" s="98" t="s">
        <v>18</v>
      </c>
      <c r="J13" s="98"/>
      <c r="K13" s="98"/>
      <c r="L13" s="6" t="s">
        <v>79</v>
      </c>
    </row>
    <row r="14" spans="1:15" x14ac:dyDescent="0.25">
      <c r="A14" s="6" t="s">
        <v>143</v>
      </c>
      <c r="I14" s="6" t="s">
        <v>19</v>
      </c>
      <c r="L14" s="35">
        <v>4</v>
      </c>
    </row>
    <row r="15" spans="1:15" ht="16.5" customHeight="1" x14ac:dyDescent="0.25">
      <c r="A15" s="104" t="s">
        <v>2</v>
      </c>
      <c r="B15" s="104" t="s">
        <v>3</v>
      </c>
      <c r="C15" s="104" t="s">
        <v>4</v>
      </c>
      <c r="D15" s="104" t="s">
        <v>5</v>
      </c>
      <c r="E15" s="104" t="s">
        <v>6</v>
      </c>
      <c r="F15" s="101" t="s">
        <v>7</v>
      </c>
      <c r="G15" s="102"/>
      <c r="H15" s="102"/>
      <c r="I15" s="103"/>
      <c r="J15" s="104" t="s">
        <v>12</v>
      </c>
      <c r="K15" s="104" t="s">
        <v>13</v>
      </c>
      <c r="L15" s="101" t="s">
        <v>14</v>
      </c>
      <c r="M15" s="103"/>
      <c r="N15" s="101" t="s">
        <v>15</v>
      </c>
      <c r="O15" s="103"/>
    </row>
    <row r="16" spans="1:15" ht="27.6" x14ac:dyDescent="0.25">
      <c r="A16" s="105"/>
      <c r="B16" s="105"/>
      <c r="C16" s="105"/>
      <c r="D16" s="105"/>
      <c r="E16" s="105"/>
      <c r="F16" s="4" t="s">
        <v>8</v>
      </c>
      <c r="G16" s="4" t="s">
        <v>9</v>
      </c>
      <c r="H16" s="4" t="s">
        <v>10</v>
      </c>
      <c r="I16" s="4" t="s">
        <v>11</v>
      </c>
      <c r="J16" s="105"/>
      <c r="K16" s="105"/>
      <c r="L16" s="4" t="s">
        <v>16</v>
      </c>
      <c r="M16" s="4" t="s">
        <v>17</v>
      </c>
      <c r="N16" s="4" t="s">
        <v>16</v>
      </c>
      <c r="O16" s="4" t="s">
        <v>17</v>
      </c>
    </row>
    <row r="17" spans="1:15" x14ac:dyDescent="0.25">
      <c r="A17" s="4">
        <v>1</v>
      </c>
      <c r="B17" s="4">
        <v>2</v>
      </c>
      <c r="C17" s="4">
        <v>3</v>
      </c>
      <c r="D17" s="4">
        <v>4</v>
      </c>
      <c r="E17" s="4">
        <v>5</v>
      </c>
      <c r="F17" s="4">
        <v>6</v>
      </c>
      <c r="G17" s="4">
        <v>7</v>
      </c>
      <c r="H17" s="4">
        <v>8</v>
      </c>
      <c r="I17" s="4">
        <v>9</v>
      </c>
      <c r="J17" s="4">
        <v>10</v>
      </c>
      <c r="K17" s="4">
        <v>11</v>
      </c>
      <c r="L17" s="4">
        <v>12</v>
      </c>
      <c r="M17" s="4">
        <v>13</v>
      </c>
      <c r="N17" s="4">
        <v>14</v>
      </c>
      <c r="O17" s="4">
        <v>15</v>
      </c>
    </row>
    <row r="18" spans="1:15" x14ac:dyDescent="0.25">
      <c r="A18" s="106" t="s">
        <v>20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8"/>
    </row>
    <row r="19" spans="1:15" ht="32.25" customHeight="1" x14ac:dyDescent="0.25">
      <c r="A19" s="11" t="s">
        <v>80</v>
      </c>
      <c r="B19" s="12"/>
      <c r="C19" s="4"/>
      <c r="D19" s="4"/>
      <c r="E19" s="4"/>
      <c r="F19" s="4"/>
      <c r="G19" s="13"/>
      <c r="H19" s="13"/>
      <c r="I19" s="13"/>
      <c r="J19" s="14"/>
      <c r="K19" s="14"/>
      <c r="L19" s="14"/>
      <c r="M19" s="14"/>
      <c r="N19" s="14"/>
      <c r="O19" s="14"/>
    </row>
    <row r="20" spans="1:15" ht="48.75" customHeight="1" x14ac:dyDescent="0.25">
      <c r="A20" s="11" t="s">
        <v>144</v>
      </c>
      <c r="B20" s="4">
        <v>1</v>
      </c>
      <c r="C20" s="4" t="s">
        <v>27</v>
      </c>
      <c r="D20" s="5">
        <v>2.5</v>
      </c>
      <c r="E20" s="5">
        <v>5</v>
      </c>
      <c r="F20" s="15">
        <v>78</v>
      </c>
      <c r="G20" s="13">
        <v>16682</v>
      </c>
      <c r="H20" s="13">
        <f>F20*2.4</f>
        <v>187.2</v>
      </c>
      <c r="I20" s="13">
        <f>+G20-H20</f>
        <v>16494.8</v>
      </c>
      <c r="J20" s="13"/>
      <c r="K20" s="13">
        <f>+I20*(108.5/(100+E20))</f>
        <v>17044.626666666667</v>
      </c>
      <c r="L20" s="13"/>
      <c r="M20" s="13"/>
      <c r="N20" s="13"/>
      <c r="O20" s="13"/>
    </row>
    <row r="21" spans="1:15" ht="30.75" customHeight="1" x14ac:dyDescent="0.25">
      <c r="A21" s="16" t="s">
        <v>21</v>
      </c>
      <c r="B21" s="4"/>
      <c r="C21" s="4"/>
      <c r="D21" s="4"/>
      <c r="E21" s="13"/>
      <c r="F21" s="17">
        <f>SUM(F20:F20)</f>
        <v>78</v>
      </c>
      <c r="G21" s="18">
        <f>SUM(G20:G20)</f>
        <v>16682</v>
      </c>
      <c r="H21" s="18">
        <f>SUM(H20:H20)</f>
        <v>187.2</v>
      </c>
      <c r="I21" s="18">
        <f>SUM(I20:I20)</f>
        <v>16494.8</v>
      </c>
      <c r="J21" s="18"/>
      <c r="K21" s="18">
        <f>SUM(K20:K20)</f>
        <v>17044.626666666667</v>
      </c>
      <c r="L21" s="18"/>
      <c r="M21" s="13"/>
      <c r="N21" s="13"/>
      <c r="O21" s="13"/>
    </row>
    <row r="22" spans="1:15" ht="14.25" customHeight="1" x14ac:dyDescent="0.25">
      <c r="A22" s="19"/>
      <c r="B22" s="20"/>
      <c r="C22" s="20"/>
      <c r="D22" s="20"/>
      <c r="E22" s="21"/>
      <c r="F22" s="22"/>
      <c r="G22" s="22"/>
      <c r="H22" s="22"/>
      <c r="I22" s="22"/>
      <c r="J22" s="22"/>
      <c r="K22" s="22"/>
      <c r="L22" s="22"/>
      <c r="M22" s="21"/>
      <c r="N22" s="21"/>
      <c r="O22" s="21"/>
    </row>
    <row r="23" spans="1:15" ht="14.4" x14ac:dyDescent="0.3">
      <c r="A23" s="109" t="s">
        <v>145</v>
      </c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</row>
    <row r="24" spans="1:15" ht="11.25" customHeight="1" x14ac:dyDescent="0.25"/>
    <row r="25" spans="1:15" x14ac:dyDescent="0.25">
      <c r="A25" s="6" t="s">
        <v>22</v>
      </c>
      <c r="D25" s="24">
        <f>+I21</f>
        <v>16494.8</v>
      </c>
    </row>
    <row r="26" spans="1:15" x14ac:dyDescent="0.25">
      <c r="D26" s="25"/>
      <c r="G26" s="23"/>
      <c r="H26" s="23"/>
      <c r="I26" s="23"/>
      <c r="J26" s="23"/>
      <c r="K26" s="23"/>
    </row>
    <row r="27" spans="1:15" x14ac:dyDescent="0.25">
      <c r="A27" s="6" t="s">
        <v>23</v>
      </c>
      <c r="D27" s="24">
        <f>+G21</f>
        <v>16682</v>
      </c>
    </row>
    <row r="28" spans="1:15" ht="11.25" customHeight="1" x14ac:dyDescent="0.25">
      <c r="D28" s="24"/>
    </row>
    <row r="29" spans="1:15" ht="10.5" customHeight="1" x14ac:dyDescent="0.25"/>
    <row r="30" spans="1:15" x14ac:dyDescent="0.25">
      <c r="A30" s="95" t="s">
        <v>25</v>
      </c>
      <c r="B30" s="95"/>
      <c r="C30" s="95"/>
      <c r="D30" s="95"/>
      <c r="E30" s="95"/>
      <c r="F30" s="95"/>
      <c r="G30" s="95"/>
    </row>
    <row r="31" spans="1:15" ht="9.75" customHeight="1" x14ac:dyDescent="0.25"/>
    <row r="32" spans="1:15" x14ac:dyDescent="0.25">
      <c r="A32" s="95" t="s">
        <v>82</v>
      </c>
      <c r="B32" s="95"/>
      <c r="C32" s="95"/>
      <c r="D32" s="95"/>
      <c r="E32" s="95"/>
      <c r="F32" s="95"/>
      <c r="G32" s="95"/>
    </row>
    <row r="33" spans="1:15" ht="12" customHeight="1" x14ac:dyDescent="0.25"/>
    <row r="34" spans="1:15" x14ac:dyDescent="0.25">
      <c r="A34" s="95" t="s">
        <v>26</v>
      </c>
      <c r="B34" s="95"/>
      <c r="C34" s="95"/>
      <c r="D34" s="95"/>
      <c r="E34" s="95"/>
      <c r="F34" s="95"/>
      <c r="G34" s="95"/>
      <c r="I34" s="95"/>
      <c r="J34" s="95"/>
      <c r="K34" s="95"/>
      <c r="L34" s="95"/>
      <c r="M34" s="95"/>
      <c r="N34" s="95"/>
      <c r="O34" s="95"/>
    </row>
    <row r="35" spans="1:15" ht="11.25" customHeight="1" x14ac:dyDescent="0.25"/>
    <row r="36" spans="1:15" x14ac:dyDescent="0.25">
      <c r="A36" s="110" t="s">
        <v>40</v>
      </c>
      <c r="B36" s="110"/>
      <c r="C36" s="110"/>
      <c r="D36" s="110"/>
      <c r="E36" s="110"/>
      <c r="F36" s="110"/>
      <c r="G36" s="110"/>
      <c r="I36" s="100" t="s">
        <v>46</v>
      </c>
      <c r="J36" s="100"/>
      <c r="K36" s="100"/>
      <c r="L36" s="100"/>
      <c r="M36" s="100"/>
      <c r="N36" s="100"/>
      <c r="O36" s="100"/>
    </row>
  </sheetData>
  <mergeCells count="23">
    <mergeCell ref="A30:G30"/>
    <mergeCell ref="A32:G32"/>
    <mergeCell ref="A1:O1"/>
    <mergeCell ref="A9:N9"/>
    <mergeCell ref="A11:N11"/>
    <mergeCell ref="A12:N12"/>
    <mergeCell ref="I13:K13"/>
    <mergeCell ref="A34:G34"/>
    <mergeCell ref="I34:O34"/>
    <mergeCell ref="A36:G36"/>
    <mergeCell ref="I36:O36"/>
    <mergeCell ref="F15:I15"/>
    <mergeCell ref="J15:J16"/>
    <mergeCell ref="K15:K16"/>
    <mergeCell ref="L15:M15"/>
    <mergeCell ref="N15:O15"/>
    <mergeCell ref="A18:O18"/>
    <mergeCell ref="A15:A16"/>
    <mergeCell ref="B15:B16"/>
    <mergeCell ref="C15:C16"/>
    <mergeCell ref="D15:D16"/>
    <mergeCell ref="E15:E16"/>
    <mergeCell ref="A23:O23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>
    <tabColor rgb="FFFFFF00"/>
  </sheetPr>
  <dimension ref="A1:O38"/>
  <sheetViews>
    <sheetView workbookViewId="0">
      <selection activeCell="A20" sqref="A20:K22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146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5" x14ac:dyDescent="0.25">
      <c r="A3" s="7" t="s">
        <v>147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8" t="s">
        <v>41</v>
      </c>
      <c r="B4" s="8"/>
      <c r="C4" s="8"/>
      <c r="D4" s="8"/>
      <c r="E4" s="8"/>
      <c r="F4" s="8"/>
      <c r="G4" s="8"/>
      <c r="H4" s="8"/>
      <c r="I4" s="8"/>
      <c r="J4" s="3" t="s">
        <v>105</v>
      </c>
      <c r="K4" s="2"/>
      <c r="L4" s="2"/>
      <c r="M4" s="2"/>
      <c r="N4" s="2"/>
    </row>
    <row r="5" spans="1:15" x14ac:dyDescent="0.25">
      <c r="A5" s="6" t="s">
        <v>42</v>
      </c>
      <c r="F5" s="9"/>
      <c r="G5" s="9"/>
      <c r="H5" s="9"/>
      <c r="I5" s="9"/>
      <c r="J5" s="3"/>
      <c r="K5" s="3"/>
      <c r="L5" s="1"/>
      <c r="M5" s="1"/>
      <c r="N5" s="1"/>
    </row>
    <row r="6" spans="1:15" x14ac:dyDescent="0.25">
      <c r="A6" s="9" t="s">
        <v>68</v>
      </c>
      <c r="B6" s="9"/>
      <c r="C6" s="9"/>
      <c r="D6" s="9"/>
      <c r="E6" s="9"/>
      <c r="F6" s="9"/>
      <c r="G6" s="9"/>
      <c r="H6" s="9"/>
      <c r="I6" s="9"/>
      <c r="J6" s="3" t="s">
        <v>64</v>
      </c>
      <c r="K6" s="1"/>
      <c r="L6" s="1"/>
      <c r="M6" s="1"/>
      <c r="N6" s="1"/>
    </row>
    <row r="7" spans="1:15" x14ac:dyDescent="0.25">
      <c r="A7" s="9" t="s">
        <v>43</v>
      </c>
      <c r="B7" s="9"/>
      <c r="C7" s="9"/>
      <c r="D7" s="9"/>
      <c r="E7" s="9"/>
      <c r="F7" s="9"/>
      <c r="G7" s="9"/>
      <c r="H7" s="9"/>
      <c r="I7" s="9"/>
      <c r="J7" s="3" t="s">
        <v>106</v>
      </c>
      <c r="K7" s="1"/>
      <c r="L7" s="1"/>
      <c r="M7" s="1"/>
      <c r="N7" s="1"/>
    </row>
    <row r="8" spans="1:15" x14ac:dyDescent="0.25">
      <c r="A8" s="9" t="s">
        <v>1</v>
      </c>
      <c r="B8" s="9"/>
      <c r="C8" s="9"/>
      <c r="D8" s="9"/>
      <c r="E8" s="9"/>
      <c r="J8" s="3"/>
      <c r="K8" s="3"/>
      <c r="L8" s="3"/>
      <c r="M8" s="3"/>
      <c r="N8" s="3"/>
    </row>
    <row r="9" spans="1:15" x14ac:dyDescent="0.25">
      <c r="A9" s="97" t="s">
        <v>44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</row>
    <row r="10" spans="1:15" x14ac:dyDescent="0.25">
      <c r="A10" s="10" t="s">
        <v>45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</row>
    <row r="11" spans="1:15" x14ac:dyDescent="0.25">
      <c r="A11" s="98" t="s">
        <v>140</v>
      </c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</row>
    <row r="12" spans="1:15" x14ac:dyDescent="0.25">
      <c r="A12" s="98" t="s">
        <v>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I13" s="98" t="s">
        <v>18</v>
      </c>
      <c r="J13" s="98"/>
      <c r="K13" s="98"/>
      <c r="L13" s="6" t="s">
        <v>79</v>
      </c>
    </row>
    <row r="14" spans="1:15" x14ac:dyDescent="0.25">
      <c r="A14" s="6" t="s">
        <v>148</v>
      </c>
      <c r="I14" s="6" t="s">
        <v>19</v>
      </c>
      <c r="L14" s="35">
        <v>4</v>
      </c>
    </row>
    <row r="15" spans="1:15" ht="16.5" customHeight="1" x14ac:dyDescent="0.25">
      <c r="A15" s="104" t="s">
        <v>2</v>
      </c>
      <c r="B15" s="104" t="s">
        <v>3</v>
      </c>
      <c r="C15" s="104" t="s">
        <v>4</v>
      </c>
      <c r="D15" s="104" t="s">
        <v>5</v>
      </c>
      <c r="E15" s="104" t="s">
        <v>6</v>
      </c>
      <c r="F15" s="101" t="s">
        <v>7</v>
      </c>
      <c r="G15" s="102"/>
      <c r="H15" s="102"/>
      <c r="I15" s="103"/>
      <c r="J15" s="104" t="s">
        <v>12</v>
      </c>
      <c r="K15" s="104" t="s">
        <v>13</v>
      </c>
      <c r="L15" s="101" t="s">
        <v>14</v>
      </c>
      <c r="M15" s="103"/>
      <c r="N15" s="101" t="s">
        <v>15</v>
      </c>
      <c r="O15" s="103"/>
    </row>
    <row r="16" spans="1:15" ht="27.6" x14ac:dyDescent="0.25">
      <c r="A16" s="105"/>
      <c r="B16" s="105"/>
      <c r="C16" s="105"/>
      <c r="D16" s="105"/>
      <c r="E16" s="105"/>
      <c r="F16" s="4" t="s">
        <v>8</v>
      </c>
      <c r="G16" s="4" t="s">
        <v>9</v>
      </c>
      <c r="H16" s="4" t="s">
        <v>10</v>
      </c>
      <c r="I16" s="4" t="s">
        <v>11</v>
      </c>
      <c r="J16" s="105"/>
      <c r="K16" s="105"/>
      <c r="L16" s="4" t="s">
        <v>16</v>
      </c>
      <c r="M16" s="4" t="s">
        <v>17</v>
      </c>
      <c r="N16" s="4" t="s">
        <v>16</v>
      </c>
      <c r="O16" s="4" t="s">
        <v>17</v>
      </c>
    </row>
    <row r="17" spans="1:15" x14ac:dyDescent="0.25">
      <c r="A17" s="4">
        <v>1</v>
      </c>
      <c r="B17" s="4">
        <v>2</v>
      </c>
      <c r="C17" s="4">
        <v>3</v>
      </c>
      <c r="D17" s="4">
        <v>4</v>
      </c>
      <c r="E17" s="4">
        <v>5</v>
      </c>
      <c r="F17" s="4">
        <v>6</v>
      </c>
      <c r="G17" s="4">
        <v>7</v>
      </c>
      <c r="H17" s="4">
        <v>8</v>
      </c>
      <c r="I17" s="4">
        <v>9</v>
      </c>
      <c r="J17" s="4">
        <v>10</v>
      </c>
      <c r="K17" s="4">
        <v>11</v>
      </c>
      <c r="L17" s="4">
        <v>12</v>
      </c>
      <c r="M17" s="4">
        <v>13</v>
      </c>
      <c r="N17" s="4">
        <v>14</v>
      </c>
      <c r="O17" s="4">
        <v>15</v>
      </c>
    </row>
    <row r="18" spans="1:15" x14ac:dyDescent="0.25">
      <c r="A18" s="106" t="s">
        <v>20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8"/>
    </row>
    <row r="19" spans="1:15" ht="26.25" customHeight="1" x14ac:dyDescent="0.25">
      <c r="A19" s="11" t="s">
        <v>80</v>
      </c>
      <c r="B19" s="12"/>
      <c r="C19" s="4"/>
      <c r="D19" s="4"/>
      <c r="E19" s="4"/>
      <c r="F19" s="4"/>
      <c r="G19" s="13"/>
      <c r="H19" s="13"/>
      <c r="I19" s="13"/>
      <c r="J19" s="14"/>
      <c r="K19" s="14"/>
      <c r="L19" s="14"/>
      <c r="M19" s="14"/>
      <c r="N19" s="14"/>
      <c r="O19" s="14"/>
    </row>
    <row r="20" spans="1:15" ht="33" customHeight="1" x14ac:dyDescent="0.25">
      <c r="A20" s="11" t="s">
        <v>149</v>
      </c>
      <c r="B20" s="4">
        <v>1</v>
      </c>
      <c r="C20" s="4" t="s">
        <v>27</v>
      </c>
      <c r="D20" s="5">
        <v>2.5</v>
      </c>
      <c r="E20" s="5">
        <v>5</v>
      </c>
      <c r="F20" s="15">
        <v>28</v>
      </c>
      <c r="G20" s="13">
        <v>5710</v>
      </c>
      <c r="H20" s="13">
        <f>F20*2.2</f>
        <v>61.600000000000009</v>
      </c>
      <c r="I20" s="13">
        <f>+G20-H20</f>
        <v>5648.4</v>
      </c>
      <c r="J20" s="13"/>
      <c r="K20" s="13">
        <f>+I20*(108.5/(100+E20))</f>
        <v>5836.68</v>
      </c>
      <c r="L20" s="13"/>
      <c r="M20" s="13"/>
      <c r="N20" s="13"/>
      <c r="O20" s="13"/>
    </row>
    <row r="21" spans="1:15" ht="33" customHeight="1" x14ac:dyDescent="0.25">
      <c r="A21" s="11" t="s">
        <v>150</v>
      </c>
      <c r="B21" s="4">
        <v>1</v>
      </c>
      <c r="C21" s="4" t="s">
        <v>27</v>
      </c>
      <c r="D21" s="5">
        <v>2.5</v>
      </c>
      <c r="E21" s="5">
        <v>5</v>
      </c>
      <c r="F21" s="15">
        <v>18</v>
      </c>
      <c r="G21" s="13">
        <v>3694.2</v>
      </c>
      <c r="H21" s="13">
        <f>F21*2.2</f>
        <v>39.6</v>
      </c>
      <c r="I21" s="13">
        <f>+G21-H21</f>
        <v>3654.6</v>
      </c>
      <c r="J21" s="13"/>
      <c r="K21" s="13">
        <f>+I21*(108.5/(100+E21))</f>
        <v>3776.42</v>
      </c>
      <c r="L21" s="13"/>
      <c r="M21" s="13"/>
      <c r="N21" s="13"/>
      <c r="O21" s="13"/>
    </row>
    <row r="22" spans="1:15" ht="33" customHeight="1" x14ac:dyDescent="0.25">
      <c r="A22" s="11" t="s">
        <v>151</v>
      </c>
      <c r="B22" s="4">
        <v>1</v>
      </c>
      <c r="C22" s="4" t="s">
        <v>59</v>
      </c>
      <c r="D22" s="5">
        <v>3</v>
      </c>
      <c r="E22" s="5">
        <v>5</v>
      </c>
      <c r="F22" s="15">
        <v>50</v>
      </c>
      <c r="G22" s="13">
        <v>10113.700000000001</v>
      </c>
      <c r="H22" s="13">
        <f>F22*2.2</f>
        <v>110.00000000000001</v>
      </c>
      <c r="I22" s="13">
        <f>+G22-H22</f>
        <v>10003.700000000001</v>
      </c>
      <c r="J22" s="13"/>
      <c r="K22" s="13">
        <f>+I22*(108.5/(100+E22))</f>
        <v>10337.156666666668</v>
      </c>
      <c r="L22" s="13"/>
      <c r="M22" s="13"/>
      <c r="N22" s="13"/>
      <c r="O22" s="13"/>
    </row>
    <row r="23" spans="1:15" ht="33" customHeight="1" x14ac:dyDescent="0.25">
      <c r="A23" s="16" t="s">
        <v>21</v>
      </c>
      <c r="B23" s="4"/>
      <c r="C23" s="4"/>
      <c r="D23" s="4"/>
      <c r="E23" s="13"/>
      <c r="F23" s="17">
        <f>SUM(F20:F22)</f>
        <v>96</v>
      </c>
      <c r="G23" s="18">
        <f>SUM(G20:G22)</f>
        <v>19517.900000000001</v>
      </c>
      <c r="H23" s="18">
        <f>SUM(H20:H22)</f>
        <v>211.20000000000005</v>
      </c>
      <c r="I23" s="18">
        <f>SUM(I20:I22)</f>
        <v>19306.7</v>
      </c>
      <c r="J23" s="18"/>
      <c r="K23" s="18">
        <f>SUM(K20:K22)</f>
        <v>19950.256666666668</v>
      </c>
      <c r="L23" s="18"/>
      <c r="M23" s="13"/>
      <c r="N23" s="13"/>
      <c r="O23" s="13"/>
    </row>
    <row r="24" spans="1:15" ht="14.25" customHeight="1" x14ac:dyDescent="0.25">
      <c r="A24" s="19"/>
      <c r="B24" s="20"/>
      <c r="C24" s="20"/>
      <c r="D24" s="20"/>
      <c r="E24" s="21"/>
      <c r="F24" s="22"/>
      <c r="G24" s="22"/>
      <c r="H24" s="22"/>
      <c r="I24" s="22"/>
      <c r="J24" s="22"/>
      <c r="K24" s="22"/>
      <c r="L24" s="22"/>
      <c r="M24" s="21"/>
      <c r="N24" s="21"/>
      <c r="O24" s="21"/>
    </row>
    <row r="25" spans="1:15" ht="14.4" x14ac:dyDescent="0.3">
      <c r="A25" s="109" t="s">
        <v>152</v>
      </c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</row>
    <row r="26" spans="1:15" ht="11.25" customHeight="1" x14ac:dyDescent="0.25"/>
    <row r="27" spans="1:15" x14ac:dyDescent="0.25">
      <c r="A27" s="6" t="s">
        <v>22</v>
      </c>
      <c r="D27" s="24">
        <f>+I23</f>
        <v>19306.7</v>
      </c>
    </row>
    <row r="28" spans="1:15" x14ac:dyDescent="0.25">
      <c r="D28" s="25"/>
      <c r="G28" s="23"/>
      <c r="H28" s="23"/>
      <c r="I28" s="23"/>
      <c r="J28" s="23"/>
      <c r="K28" s="23"/>
    </row>
    <row r="29" spans="1:15" x14ac:dyDescent="0.25">
      <c r="A29" s="6" t="s">
        <v>23</v>
      </c>
      <c r="D29" s="24">
        <f>+G23</f>
        <v>19517.900000000001</v>
      </c>
    </row>
    <row r="30" spans="1:15" ht="11.25" customHeight="1" x14ac:dyDescent="0.25">
      <c r="D30" s="24"/>
    </row>
    <row r="31" spans="1:15" ht="10.5" customHeight="1" x14ac:dyDescent="0.25"/>
    <row r="32" spans="1:15" x14ac:dyDescent="0.25">
      <c r="A32" s="95" t="s">
        <v>25</v>
      </c>
      <c r="B32" s="95"/>
      <c r="C32" s="95"/>
      <c r="D32" s="95"/>
      <c r="E32" s="95"/>
      <c r="F32" s="95"/>
      <c r="G32" s="95"/>
    </row>
    <row r="33" spans="1:15" ht="9.75" customHeight="1" x14ac:dyDescent="0.25"/>
    <row r="34" spans="1:15" x14ac:dyDescent="0.25">
      <c r="A34" s="95" t="s">
        <v>82</v>
      </c>
      <c r="B34" s="95"/>
      <c r="C34" s="95"/>
      <c r="D34" s="95"/>
      <c r="E34" s="95"/>
      <c r="F34" s="95"/>
      <c r="G34" s="95"/>
    </row>
    <row r="35" spans="1:15" ht="12" customHeight="1" x14ac:dyDescent="0.25"/>
    <row r="36" spans="1:15" x14ac:dyDescent="0.25">
      <c r="A36" s="95" t="s">
        <v>26</v>
      </c>
      <c r="B36" s="95"/>
      <c r="C36" s="95"/>
      <c r="D36" s="95"/>
      <c r="E36" s="95"/>
      <c r="F36" s="95"/>
      <c r="G36" s="95"/>
      <c r="I36" s="95"/>
      <c r="J36" s="95"/>
      <c r="K36" s="95"/>
      <c r="L36" s="95"/>
      <c r="M36" s="95"/>
      <c r="N36" s="95"/>
      <c r="O36" s="95"/>
    </row>
    <row r="37" spans="1:15" ht="11.25" customHeight="1" x14ac:dyDescent="0.25"/>
    <row r="38" spans="1:15" x14ac:dyDescent="0.25">
      <c r="A38" s="110" t="s">
        <v>65</v>
      </c>
      <c r="B38" s="110"/>
      <c r="C38" s="110"/>
      <c r="D38" s="110"/>
      <c r="E38" s="110"/>
      <c r="F38" s="110"/>
      <c r="G38" s="110"/>
      <c r="I38" s="100" t="s">
        <v>46</v>
      </c>
      <c r="J38" s="100"/>
      <c r="K38" s="100"/>
      <c r="L38" s="100"/>
      <c r="M38" s="100"/>
      <c r="N38" s="100"/>
      <c r="O38" s="100"/>
    </row>
  </sheetData>
  <mergeCells count="23">
    <mergeCell ref="A32:G32"/>
    <mergeCell ref="A34:G34"/>
    <mergeCell ref="A1:O1"/>
    <mergeCell ref="A9:N9"/>
    <mergeCell ref="A11:N11"/>
    <mergeCell ref="A12:N12"/>
    <mergeCell ref="I13:K13"/>
    <mergeCell ref="A36:G36"/>
    <mergeCell ref="I36:O36"/>
    <mergeCell ref="A38:G38"/>
    <mergeCell ref="I38:O38"/>
    <mergeCell ref="F15:I15"/>
    <mergeCell ref="J15:J16"/>
    <mergeCell ref="K15:K16"/>
    <mergeCell ref="L15:M15"/>
    <mergeCell ref="N15:O15"/>
    <mergeCell ref="A18:O18"/>
    <mergeCell ref="A15:A16"/>
    <mergeCell ref="B15:B16"/>
    <mergeCell ref="C15:C16"/>
    <mergeCell ref="D15:D16"/>
    <mergeCell ref="E15:E16"/>
    <mergeCell ref="A25:O25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>
    <tabColor rgb="FFFFFF00"/>
  </sheetPr>
  <dimension ref="A1:O36"/>
  <sheetViews>
    <sheetView workbookViewId="0">
      <selection activeCell="A20" sqref="A20:K20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153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5" x14ac:dyDescent="0.25">
      <c r="A3" s="7" t="s">
        <v>154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8" t="s">
        <v>41</v>
      </c>
      <c r="B4" s="8"/>
      <c r="C4" s="8"/>
      <c r="D4" s="8"/>
      <c r="E4" s="8"/>
      <c r="F4" s="8"/>
      <c r="G4" s="8"/>
      <c r="H4" s="8"/>
      <c r="I4" s="8"/>
      <c r="J4" s="3" t="s">
        <v>94</v>
      </c>
      <c r="K4" s="2"/>
      <c r="L4" s="2"/>
      <c r="M4" s="2"/>
      <c r="N4" s="2"/>
    </row>
    <row r="5" spans="1:15" x14ac:dyDescent="0.25">
      <c r="A5" s="6" t="s">
        <v>42</v>
      </c>
      <c r="F5" s="9"/>
      <c r="G5" s="9"/>
      <c r="H5" s="9"/>
      <c r="I5" s="9"/>
      <c r="J5" s="3"/>
      <c r="K5" s="3"/>
      <c r="L5" s="1"/>
      <c r="M5" s="1"/>
      <c r="N5" s="1"/>
    </row>
    <row r="6" spans="1:15" x14ac:dyDescent="0.25">
      <c r="A6" s="9" t="s">
        <v>68</v>
      </c>
      <c r="B6" s="9"/>
      <c r="C6" s="9"/>
      <c r="D6" s="9"/>
      <c r="E6" s="9"/>
      <c r="F6" s="9"/>
      <c r="G6" s="9"/>
      <c r="H6" s="9"/>
      <c r="I6" s="9"/>
      <c r="J6" s="3" t="s">
        <v>95</v>
      </c>
      <c r="K6" s="1"/>
      <c r="L6" s="1"/>
      <c r="M6" s="1"/>
      <c r="N6" s="1"/>
    </row>
    <row r="7" spans="1:15" x14ac:dyDescent="0.25">
      <c r="A7" s="9" t="s">
        <v>43</v>
      </c>
      <c r="B7" s="9"/>
      <c r="C7" s="9"/>
      <c r="D7" s="9"/>
      <c r="E7" s="9"/>
      <c r="F7" s="9"/>
      <c r="G7" s="9"/>
      <c r="H7" s="9"/>
      <c r="I7" s="9"/>
      <c r="J7" s="3" t="s">
        <v>96</v>
      </c>
      <c r="K7" s="1"/>
      <c r="L7" s="1"/>
      <c r="M7" s="1"/>
      <c r="N7" s="1"/>
    </row>
    <row r="8" spans="1:15" x14ac:dyDescent="0.25">
      <c r="A8" s="9" t="s">
        <v>1</v>
      </c>
      <c r="B8" s="9"/>
      <c r="C8" s="9"/>
      <c r="D8" s="9"/>
      <c r="E8" s="9"/>
      <c r="J8" s="3"/>
      <c r="K8" s="3"/>
      <c r="L8" s="3"/>
      <c r="M8" s="3"/>
      <c r="N8" s="3"/>
    </row>
    <row r="9" spans="1:15" x14ac:dyDescent="0.25">
      <c r="A9" s="97" t="s">
        <v>44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</row>
    <row r="10" spans="1:15" x14ac:dyDescent="0.25">
      <c r="A10" s="10" t="s">
        <v>45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</row>
    <row r="11" spans="1:15" x14ac:dyDescent="0.25">
      <c r="A11" s="98" t="s">
        <v>140</v>
      </c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</row>
    <row r="12" spans="1:15" x14ac:dyDescent="0.25">
      <c r="A12" s="98" t="s">
        <v>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I13" s="98" t="s">
        <v>18</v>
      </c>
      <c r="J13" s="98"/>
      <c r="K13" s="98"/>
      <c r="L13" s="6" t="s">
        <v>79</v>
      </c>
    </row>
    <row r="14" spans="1:15" x14ac:dyDescent="0.25">
      <c r="A14" s="6" t="s">
        <v>155</v>
      </c>
      <c r="I14" s="6" t="s">
        <v>19</v>
      </c>
      <c r="L14" s="35">
        <v>4</v>
      </c>
    </row>
    <row r="15" spans="1:15" ht="16.5" customHeight="1" x14ac:dyDescent="0.25">
      <c r="A15" s="104" t="s">
        <v>2</v>
      </c>
      <c r="B15" s="104" t="s">
        <v>3</v>
      </c>
      <c r="C15" s="104" t="s">
        <v>4</v>
      </c>
      <c r="D15" s="104" t="s">
        <v>5</v>
      </c>
      <c r="E15" s="104" t="s">
        <v>6</v>
      </c>
      <c r="F15" s="101" t="s">
        <v>7</v>
      </c>
      <c r="G15" s="102"/>
      <c r="H15" s="102"/>
      <c r="I15" s="103"/>
      <c r="J15" s="104" t="s">
        <v>12</v>
      </c>
      <c r="K15" s="104" t="s">
        <v>13</v>
      </c>
      <c r="L15" s="101" t="s">
        <v>14</v>
      </c>
      <c r="M15" s="103"/>
      <c r="N15" s="101" t="s">
        <v>15</v>
      </c>
      <c r="O15" s="103"/>
    </row>
    <row r="16" spans="1:15" ht="27.6" x14ac:dyDescent="0.25">
      <c r="A16" s="105"/>
      <c r="B16" s="105"/>
      <c r="C16" s="105"/>
      <c r="D16" s="105"/>
      <c r="E16" s="105"/>
      <c r="F16" s="4" t="s">
        <v>8</v>
      </c>
      <c r="G16" s="4" t="s">
        <v>9</v>
      </c>
      <c r="H16" s="4" t="s">
        <v>10</v>
      </c>
      <c r="I16" s="4" t="s">
        <v>11</v>
      </c>
      <c r="J16" s="105"/>
      <c r="K16" s="105"/>
      <c r="L16" s="4" t="s">
        <v>16</v>
      </c>
      <c r="M16" s="4" t="s">
        <v>17</v>
      </c>
      <c r="N16" s="4" t="s">
        <v>16</v>
      </c>
      <c r="O16" s="4" t="s">
        <v>17</v>
      </c>
    </row>
    <row r="17" spans="1:15" x14ac:dyDescent="0.25">
      <c r="A17" s="4">
        <v>1</v>
      </c>
      <c r="B17" s="4">
        <v>2</v>
      </c>
      <c r="C17" s="4">
        <v>3</v>
      </c>
      <c r="D17" s="4">
        <v>4</v>
      </c>
      <c r="E17" s="4">
        <v>5</v>
      </c>
      <c r="F17" s="4">
        <v>6</v>
      </c>
      <c r="G17" s="4">
        <v>7</v>
      </c>
      <c r="H17" s="4">
        <v>8</v>
      </c>
      <c r="I17" s="4">
        <v>9</v>
      </c>
      <c r="J17" s="4">
        <v>10</v>
      </c>
      <c r="K17" s="4">
        <v>11</v>
      </c>
      <c r="L17" s="4">
        <v>12</v>
      </c>
      <c r="M17" s="4">
        <v>13</v>
      </c>
      <c r="N17" s="4">
        <v>14</v>
      </c>
      <c r="O17" s="4">
        <v>15</v>
      </c>
    </row>
    <row r="18" spans="1:15" x14ac:dyDescent="0.25">
      <c r="A18" s="106" t="s">
        <v>20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8"/>
    </row>
    <row r="19" spans="1:15" ht="32.25" customHeight="1" x14ac:dyDescent="0.25">
      <c r="A19" s="11" t="s">
        <v>80</v>
      </c>
      <c r="B19" s="12"/>
      <c r="C19" s="4"/>
      <c r="D19" s="4"/>
      <c r="E19" s="4"/>
      <c r="F19" s="4"/>
      <c r="G19" s="13"/>
      <c r="H19" s="13"/>
      <c r="I19" s="13"/>
      <c r="J19" s="14"/>
      <c r="K19" s="14"/>
      <c r="L19" s="14"/>
      <c r="M19" s="14"/>
      <c r="N19" s="14"/>
      <c r="O19" s="14"/>
    </row>
    <row r="20" spans="1:15" ht="48.75" customHeight="1" x14ac:dyDescent="0.25">
      <c r="A20" s="11" t="s">
        <v>156</v>
      </c>
      <c r="B20" s="4">
        <v>1</v>
      </c>
      <c r="C20" s="4" t="s">
        <v>27</v>
      </c>
      <c r="D20" s="5">
        <v>2.5</v>
      </c>
      <c r="E20" s="5">
        <v>5</v>
      </c>
      <c r="F20" s="15">
        <v>96</v>
      </c>
      <c r="G20" s="13">
        <v>19333.5</v>
      </c>
      <c r="H20" s="13">
        <f>F20*2.2</f>
        <v>211.20000000000002</v>
      </c>
      <c r="I20" s="13">
        <f>+G20-H20</f>
        <v>19122.3</v>
      </c>
      <c r="J20" s="13"/>
      <c r="K20" s="13">
        <f>+I20*(108.5/(100+E20))</f>
        <v>19759.710000000003</v>
      </c>
      <c r="L20" s="13"/>
      <c r="M20" s="13"/>
      <c r="N20" s="13"/>
      <c r="O20" s="13"/>
    </row>
    <row r="21" spans="1:15" ht="30.75" customHeight="1" x14ac:dyDescent="0.25">
      <c r="A21" s="16" t="s">
        <v>21</v>
      </c>
      <c r="B21" s="4"/>
      <c r="C21" s="4"/>
      <c r="D21" s="4"/>
      <c r="E21" s="13"/>
      <c r="F21" s="17">
        <f>SUM(F20:F20)</f>
        <v>96</v>
      </c>
      <c r="G21" s="18">
        <f>SUM(G20:G20)</f>
        <v>19333.5</v>
      </c>
      <c r="H21" s="18">
        <f>SUM(H20:H20)</f>
        <v>211.20000000000002</v>
      </c>
      <c r="I21" s="18">
        <f>SUM(I20:I20)</f>
        <v>19122.3</v>
      </c>
      <c r="J21" s="18"/>
      <c r="K21" s="18">
        <f>SUM(K20:K20)</f>
        <v>19759.710000000003</v>
      </c>
      <c r="L21" s="18"/>
      <c r="M21" s="13"/>
      <c r="N21" s="13"/>
      <c r="O21" s="13"/>
    </row>
    <row r="22" spans="1:15" ht="14.25" customHeight="1" x14ac:dyDescent="0.25">
      <c r="A22" s="19"/>
      <c r="B22" s="20"/>
      <c r="C22" s="20"/>
      <c r="D22" s="20"/>
      <c r="E22" s="21"/>
      <c r="F22" s="22"/>
      <c r="G22" s="22"/>
      <c r="H22" s="22"/>
      <c r="I22" s="22"/>
      <c r="J22" s="22"/>
      <c r="K22" s="22"/>
      <c r="L22" s="22"/>
      <c r="M22" s="21"/>
      <c r="N22" s="21"/>
      <c r="O22" s="21"/>
    </row>
    <row r="23" spans="1:15" ht="14.4" x14ac:dyDescent="0.3">
      <c r="A23" s="109" t="s">
        <v>56</v>
      </c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</row>
    <row r="24" spans="1:15" ht="11.25" customHeight="1" x14ac:dyDescent="0.25"/>
    <row r="25" spans="1:15" x14ac:dyDescent="0.25">
      <c r="A25" s="6" t="s">
        <v>22</v>
      </c>
      <c r="D25" s="24">
        <f>+I21</f>
        <v>19122.3</v>
      </c>
    </row>
    <row r="26" spans="1:15" x14ac:dyDescent="0.25">
      <c r="D26" s="25"/>
      <c r="G26" s="23"/>
      <c r="H26" s="23"/>
      <c r="I26" s="23"/>
      <c r="J26" s="23"/>
      <c r="K26" s="23"/>
    </row>
    <row r="27" spans="1:15" x14ac:dyDescent="0.25">
      <c r="A27" s="6" t="s">
        <v>23</v>
      </c>
      <c r="D27" s="24">
        <f>+G21</f>
        <v>19333.5</v>
      </c>
    </row>
    <row r="28" spans="1:15" ht="11.25" customHeight="1" x14ac:dyDescent="0.25">
      <c r="D28" s="24"/>
    </row>
    <row r="29" spans="1:15" ht="10.5" customHeight="1" x14ac:dyDescent="0.25"/>
    <row r="30" spans="1:15" x14ac:dyDescent="0.25">
      <c r="A30" s="95" t="s">
        <v>25</v>
      </c>
      <c r="B30" s="95"/>
      <c r="C30" s="95"/>
      <c r="D30" s="95"/>
      <c r="E30" s="95"/>
      <c r="F30" s="95"/>
      <c r="G30" s="95"/>
    </row>
    <row r="31" spans="1:15" ht="9.75" customHeight="1" x14ac:dyDescent="0.25"/>
    <row r="32" spans="1:15" x14ac:dyDescent="0.25">
      <c r="A32" s="95" t="s">
        <v>82</v>
      </c>
      <c r="B32" s="95"/>
      <c r="C32" s="95"/>
      <c r="D32" s="95"/>
      <c r="E32" s="95"/>
      <c r="F32" s="95"/>
      <c r="G32" s="95"/>
    </row>
    <row r="33" spans="1:15" ht="12" customHeight="1" x14ac:dyDescent="0.25"/>
    <row r="34" spans="1:15" x14ac:dyDescent="0.25">
      <c r="A34" s="95" t="s">
        <v>26</v>
      </c>
      <c r="B34" s="95"/>
      <c r="C34" s="95"/>
      <c r="D34" s="95"/>
      <c r="E34" s="95"/>
      <c r="F34" s="95"/>
      <c r="G34" s="95"/>
      <c r="I34" s="95"/>
      <c r="J34" s="95"/>
      <c r="K34" s="95"/>
      <c r="L34" s="95"/>
      <c r="M34" s="95"/>
      <c r="N34" s="95"/>
      <c r="O34" s="95"/>
    </row>
    <row r="35" spans="1:15" ht="11.25" customHeight="1" x14ac:dyDescent="0.25"/>
    <row r="36" spans="1:15" x14ac:dyDescent="0.25">
      <c r="A36" s="110" t="s">
        <v>119</v>
      </c>
      <c r="B36" s="110"/>
      <c r="C36" s="110"/>
      <c r="D36" s="110"/>
      <c r="E36" s="110"/>
      <c r="F36" s="110"/>
      <c r="G36" s="110"/>
      <c r="I36" s="100" t="s">
        <v>46</v>
      </c>
      <c r="J36" s="100"/>
      <c r="K36" s="100"/>
      <c r="L36" s="100"/>
      <c r="M36" s="100"/>
      <c r="N36" s="100"/>
      <c r="O36" s="100"/>
    </row>
  </sheetData>
  <mergeCells count="23">
    <mergeCell ref="A30:G30"/>
    <mergeCell ref="A32:G32"/>
    <mergeCell ref="A1:O1"/>
    <mergeCell ref="A9:N9"/>
    <mergeCell ref="A11:N11"/>
    <mergeCell ref="A12:N12"/>
    <mergeCell ref="I13:K13"/>
    <mergeCell ref="A34:G34"/>
    <mergeCell ref="I34:O34"/>
    <mergeCell ref="A36:G36"/>
    <mergeCell ref="I36:O36"/>
    <mergeCell ref="F15:I15"/>
    <mergeCell ref="J15:J16"/>
    <mergeCell ref="K15:K16"/>
    <mergeCell ref="L15:M15"/>
    <mergeCell ref="N15:O15"/>
    <mergeCell ref="A18:O18"/>
    <mergeCell ref="A15:A16"/>
    <mergeCell ref="B15:B16"/>
    <mergeCell ref="C15:C16"/>
    <mergeCell ref="D15:D16"/>
    <mergeCell ref="E15:E16"/>
    <mergeCell ref="A23:O23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>
    <tabColor rgb="FFFFFF00"/>
  </sheetPr>
  <dimension ref="A1:O38"/>
  <sheetViews>
    <sheetView workbookViewId="0">
      <selection activeCell="A20" sqref="A20:K22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157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5" x14ac:dyDescent="0.25">
      <c r="A3" s="7" t="s">
        <v>154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8" t="s">
        <v>41</v>
      </c>
      <c r="B4" s="8"/>
      <c r="C4" s="8"/>
      <c r="D4" s="8"/>
      <c r="E4" s="8"/>
      <c r="F4" s="8"/>
      <c r="G4" s="8"/>
      <c r="H4" s="8"/>
      <c r="I4" s="8"/>
      <c r="J4" s="3" t="s">
        <v>94</v>
      </c>
      <c r="K4" s="2"/>
      <c r="L4" s="2"/>
      <c r="M4" s="2"/>
      <c r="N4" s="2"/>
    </row>
    <row r="5" spans="1:15" x14ac:dyDescent="0.25">
      <c r="A5" s="6" t="s">
        <v>42</v>
      </c>
      <c r="F5" s="9"/>
      <c r="G5" s="9"/>
      <c r="H5" s="9"/>
      <c r="I5" s="9"/>
      <c r="J5" s="3"/>
      <c r="K5" s="3"/>
      <c r="L5" s="1"/>
      <c r="M5" s="1"/>
      <c r="N5" s="1"/>
    </row>
    <row r="6" spans="1:15" x14ac:dyDescent="0.25">
      <c r="A6" s="9" t="s">
        <v>68</v>
      </c>
      <c r="B6" s="9"/>
      <c r="C6" s="9"/>
      <c r="D6" s="9"/>
      <c r="E6" s="9"/>
      <c r="F6" s="9"/>
      <c r="G6" s="9"/>
      <c r="H6" s="9"/>
      <c r="I6" s="9"/>
      <c r="J6" s="3" t="s">
        <v>95</v>
      </c>
      <c r="K6" s="1"/>
      <c r="L6" s="1"/>
      <c r="M6" s="1"/>
      <c r="N6" s="1"/>
    </row>
    <row r="7" spans="1:15" x14ac:dyDescent="0.25">
      <c r="A7" s="9" t="s">
        <v>43</v>
      </c>
      <c r="B7" s="9"/>
      <c r="C7" s="9"/>
      <c r="D7" s="9"/>
      <c r="E7" s="9"/>
      <c r="F7" s="9"/>
      <c r="G7" s="9"/>
      <c r="H7" s="9"/>
      <c r="I7" s="9"/>
      <c r="J7" s="3" t="s">
        <v>96</v>
      </c>
      <c r="K7" s="1"/>
      <c r="L7" s="1"/>
      <c r="M7" s="1"/>
      <c r="N7" s="1"/>
    </row>
    <row r="8" spans="1:15" x14ac:dyDescent="0.25">
      <c r="A8" s="9" t="s">
        <v>1</v>
      </c>
      <c r="B8" s="9"/>
      <c r="C8" s="9"/>
      <c r="D8" s="9"/>
      <c r="E8" s="9"/>
      <c r="J8" s="3"/>
      <c r="K8" s="3"/>
      <c r="L8" s="3"/>
      <c r="M8" s="3"/>
      <c r="N8" s="3"/>
    </row>
    <row r="9" spans="1:15" x14ac:dyDescent="0.25">
      <c r="A9" s="97" t="s">
        <v>44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</row>
    <row r="10" spans="1:15" x14ac:dyDescent="0.25">
      <c r="A10" s="10" t="s">
        <v>45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</row>
    <row r="11" spans="1:15" x14ac:dyDescent="0.25">
      <c r="A11" s="98" t="s">
        <v>140</v>
      </c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</row>
    <row r="12" spans="1:15" x14ac:dyDescent="0.25">
      <c r="A12" s="98" t="s">
        <v>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I13" s="98" t="s">
        <v>18</v>
      </c>
      <c r="J13" s="98"/>
      <c r="K13" s="98"/>
      <c r="L13" s="6" t="s">
        <v>79</v>
      </c>
    </row>
    <row r="14" spans="1:15" x14ac:dyDescent="0.25">
      <c r="A14" s="6" t="s">
        <v>143</v>
      </c>
      <c r="I14" s="6" t="s">
        <v>19</v>
      </c>
      <c r="L14" s="35">
        <v>4</v>
      </c>
    </row>
    <row r="15" spans="1:15" ht="16.5" customHeight="1" x14ac:dyDescent="0.25">
      <c r="A15" s="104" t="s">
        <v>2</v>
      </c>
      <c r="B15" s="104" t="s">
        <v>3</v>
      </c>
      <c r="C15" s="104" t="s">
        <v>4</v>
      </c>
      <c r="D15" s="104" t="s">
        <v>5</v>
      </c>
      <c r="E15" s="104" t="s">
        <v>6</v>
      </c>
      <c r="F15" s="101" t="s">
        <v>7</v>
      </c>
      <c r="G15" s="102"/>
      <c r="H15" s="102"/>
      <c r="I15" s="103"/>
      <c r="J15" s="104" t="s">
        <v>12</v>
      </c>
      <c r="K15" s="104" t="s">
        <v>13</v>
      </c>
      <c r="L15" s="101" t="s">
        <v>14</v>
      </c>
      <c r="M15" s="103"/>
      <c r="N15" s="101" t="s">
        <v>15</v>
      </c>
      <c r="O15" s="103"/>
    </row>
    <row r="16" spans="1:15" ht="27.6" x14ac:dyDescent="0.25">
      <c r="A16" s="105"/>
      <c r="B16" s="105"/>
      <c r="C16" s="105"/>
      <c r="D16" s="105"/>
      <c r="E16" s="105"/>
      <c r="F16" s="4" t="s">
        <v>8</v>
      </c>
      <c r="G16" s="4" t="s">
        <v>9</v>
      </c>
      <c r="H16" s="4" t="s">
        <v>10</v>
      </c>
      <c r="I16" s="4" t="s">
        <v>11</v>
      </c>
      <c r="J16" s="105"/>
      <c r="K16" s="105"/>
      <c r="L16" s="4" t="s">
        <v>16</v>
      </c>
      <c r="M16" s="4" t="s">
        <v>17</v>
      </c>
      <c r="N16" s="4" t="s">
        <v>16</v>
      </c>
      <c r="O16" s="4" t="s">
        <v>17</v>
      </c>
    </row>
    <row r="17" spans="1:15" x14ac:dyDescent="0.25">
      <c r="A17" s="4">
        <v>1</v>
      </c>
      <c r="B17" s="4">
        <v>2</v>
      </c>
      <c r="C17" s="4">
        <v>3</v>
      </c>
      <c r="D17" s="4">
        <v>4</v>
      </c>
      <c r="E17" s="4">
        <v>5</v>
      </c>
      <c r="F17" s="4">
        <v>6</v>
      </c>
      <c r="G17" s="4">
        <v>7</v>
      </c>
      <c r="H17" s="4">
        <v>8</v>
      </c>
      <c r="I17" s="4">
        <v>9</v>
      </c>
      <c r="J17" s="4">
        <v>10</v>
      </c>
      <c r="K17" s="4">
        <v>11</v>
      </c>
      <c r="L17" s="4">
        <v>12</v>
      </c>
      <c r="M17" s="4">
        <v>13</v>
      </c>
      <c r="N17" s="4">
        <v>14</v>
      </c>
      <c r="O17" s="4">
        <v>15</v>
      </c>
    </row>
    <row r="18" spans="1:15" x14ac:dyDescent="0.25">
      <c r="A18" s="106" t="s">
        <v>20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8"/>
    </row>
    <row r="19" spans="1:15" ht="32.25" customHeight="1" x14ac:dyDescent="0.25">
      <c r="A19" s="11" t="s">
        <v>80</v>
      </c>
      <c r="B19" s="12"/>
      <c r="C19" s="4"/>
      <c r="D19" s="4"/>
      <c r="E19" s="4"/>
      <c r="F19" s="4"/>
      <c r="G19" s="13"/>
      <c r="H19" s="13"/>
      <c r="I19" s="13"/>
      <c r="J19" s="14"/>
      <c r="K19" s="14"/>
      <c r="L19" s="14"/>
      <c r="M19" s="14"/>
      <c r="N19" s="14"/>
      <c r="O19" s="14"/>
    </row>
    <row r="20" spans="1:15" ht="39.75" customHeight="1" x14ac:dyDescent="0.25">
      <c r="A20" s="11" t="s">
        <v>158</v>
      </c>
      <c r="B20" s="4">
        <v>1</v>
      </c>
      <c r="C20" s="4" t="s">
        <v>161</v>
      </c>
      <c r="D20" s="5">
        <v>2</v>
      </c>
      <c r="E20" s="5">
        <v>5</v>
      </c>
      <c r="F20" s="15">
        <v>19</v>
      </c>
      <c r="G20" s="13">
        <v>4096.3999999999996</v>
      </c>
      <c r="H20" s="13">
        <f>F20*2.4</f>
        <v>45.6</v>
      </c>
      <c r="I20" s="13">
        <f>+G20-H20</f>
        <v>4050.7999999999997</v>
      </c>
      <c r="J20" s="13"/>
      <c r="K20" s="13">
        <f>+I20*(108.5/(100+E20))</f>
        <v>4185.8266666666668</v>
      </c>
      <c r="L20" s="13"/>
      <c r="M20" s="13"/>
      <c r="N20" s="13"/>
      <c r="O20" s="13"/>
    </row>
    <row r="21" spans="1:15" ht="39.75" customHeight="1" x14ac:dyDescent="0.25">
      <c r="A21" s="11" t="s">
        <v>159</v>
      </c>
      <c r="B21" s="4">
        <v>1</v>
      </c>
      <c r="C21" s="4" t="s">
        <v>27</v>
      </c>
      <c r="D21" s="5">
        <v>2.5</v>
      </c>
      <c r="E21" s="5">
        <v>5</v>
      </c>
      <c r="F21" s="15">
        <v>20</v>
      </c>
      <c r="G21" s="13">
        <v>4352.8</v>
      </c>
      <c r="H21" s="13">
        <f>F21*2.4</f>
        <v>48</v>
      </c>
      <c r="I21" s="13">
        <f>+G21-H21</f>
        <v>4304.8</v>
      </c>
      <c r="J21" s="13"/>
      <c r="K21" s="13">
        <f>+I21*(108.5/(100+E21))</f>
        <v>4448.293333333334</v>
      </c>
      <c r="L21" s="13"/>
      <c r="M21" s="13"/>
      <c r="N21" s="13"/>
      <c r="O21" s="13"/>
    </row>
    <row r="22" spans="1:15" ht="39.75" customHeight="1" x14ac:dyDescent="0.25">
      <c r="A22" s="11" t="s">
        <v>160</v>
      </c>
      <c r="B22" s="4">
        <v>1</v>
      </c>
      <c r="C22" s="4" t="s">
        <v>59</v>
      </c>
      <c r="D22" s="5">
        <v>3</v>
      </c>
      <c r="E22" s="5">
        <v>5</v>
      </c>
      <c r="F22" s="15">
        <v>71</v>
      </c>
      <c r="G22" s="13">
        <v>15719.2</v>
      </c>
      <c r="H22" s="13">
        <f>F22*2.4</f>
        <v>170.4</v>
      </c>
      <c r="I22" s="13">
        <f>+G22-H22</f>
        <v>15548.800000000001</v>
      </c>
      <c r="J22" s="13"/>
      <c r="K22" s="13">
        <f>+I22*(108.5/(100+E22))</f>
        <v>16067.093333333336</v>
      </c>
      <c r="L22" s="13"/>
      <c r="M22" s="13"/>
      <c r="N22" s="13"/>
      <c r="O22" s="13"/>
    </row>
    <row r="23" spans="1:15" ht="30.75" customHeight="1" x14ac:dyDescent="0.25">
      <c r="A23" s="16" t="s">
        <v>21</v>
      </c>
      <c r="B23" s="4"/>
      <c r="C23" s="4"/>
      <c r="D23" s="4"/>
      <c r="E23" s="13"/>
      <c r="F23" s="17">
        <f>SUM(F20:F22)</f>
        <v>110</v>
      </c>
      <c r="G23" s="18">
        <f>SUM(G20:G22)</f>
        <v>24168.400000000001</v>
      </c>
      <c r="H23" s="18">
        <f>SUM(H20:H22)</f>
        <v>264</v>
      </c>
      <c r="I23" s="18">
        <f>SUM(I20:I22)</f>
        <v>23904.400000000001</v>
      </c>
      <c r="J23" s="18"/>
      <c r="K23" s="18">
        <f>SUM(K20:K22)</f>
        <v>24701.213333333337</v>
      </c>
      <c r="L23" s="18"/>
      <c r="M23" s="13"/>
      <c r="N23" s="13"/>
      <c r="O23" s="13"/>
    </row>
    <row r="24" spans="1:15" ht="14.25" customHeight="1" x14ac:dyDescent="0.25">
      <c r="A24" s="19"/>
      <c r="B24" s="20"/>
      <c r="C24" s="20"/>
      <c r="D24" s="20"/>
      <c r="E24" s="21"/>
      <c r="F24" s="22"/>
      <c r="G24" s="22"/>
      <c r="H24" s="22"/>
      <c r="I24" s="22"/>
      <c r="J24" s="22"/>
      <c r="K24" s="22"/>
      <c r="L24" s="22"/>
      <c r="M24" s="21"/>
      <c r="N24" s="21"/>
      <c r="O24" s="21"/>
    </row>
    <row r="25" spans="1:15" ht="14.4" x14ac:dyDescent="0.3">
      <c r="A25" s="109" t="s">
        <v>162</v>
      </c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</row>
    <row r="26" spans="1:15" ht="11.25" customHeight="1" x14ac:dyDescent="0.25"/>
    <row r="27" spans="1:15" x14ac:dyDescent="0.25">
      <c r="A27" s="6" t="s">
        <v>22</v>
      </c>
      <c r="D27" s="24">
        <f>+I23</f>
        <v>23904.400000000001</v>
      </c>
    </row>
    <row r="28" spans="1:15" x14ac:dyDescent="0.25">
      <c r="D28" s="25"/>
      <c r="G28" s="23"/>
      <c r="H28" s="23"/>
      <c r="I28" s="23"/>
      <c r="J28" s="23"/>
      <c r="K28" s="23"/>
    </row>
    <row r="29" spans="1:15" x14ac:dyDescent="0.25">
      <c r="A29" s="6" t="s">
        <v>23</v>
      </c>
      <c r="D29" s="24">
        <f>+G23</f>
        <v>24168.400000000001</v>
      </c>
    </row>
    <row r="30" spans="1:15" ht="11.25" customHeight="1" x14ac:dyDescent="0.25">
      <c r="D30" s="24"/>
    </row>
    <row r="31" spans="1:15" ht="10.5" customHeight="1" x14ac:dyDescent="0.25"/>
    <row r="32" spans="1:15" x14ac:dyDescent="0.25">
      <c r="A32" s="95" t="s">
        <v>25</v>
      </c>
      <c r="B32" s="95"/>
      <c r="C32" s="95"/>
      <c r="D32" s="95"/>
      <c r="E32" s="95"/>
      <c r="F32" s="95"/>
      <c r="G32" s="95"/>
    </row>
    <row r="33" spans="1:15" ht="9.75" customHeight="1" x14ac:dyDescent="0.25"/>
    <row r="34" spans="1:15" x14ac:dyDescent="0.25">
      <c r="A34" s="95" t="s">
        <v>82</v>
      </c>
      <c r="B34" s="95"/>
      <c r="C34" s="95"/>
      <c r="D34" s="95"/>
      <c r="E34" s="95"/>
      <c r="F34" s="95"/>
      <c r="G34" s="95"/>
    </row>
    <row r="35" spans="1:15" ht="12" customHeight="1" x14ac:dyDescent="0.25"/>
    <row r="36" spans="1:15" x14ac:dyDescent="0.25">
      <c r="A36" s="95" t="s">
        <v>26</v>
      </c>
      <c r="B36" s="95"/>
      <c r="C36" s="95"/>
      <c r="D36" s="95"/>
      <c r="E36" s="95"/>
      <c r="F36" s="95"/>
      <c r="G36" s="95"/>
      <c r="I36" s="95"/>
      <c r="J36" s="95"/>
      <c r="K36" s="95"/>
      <c r="L36" s="95"/>
      <c r="M36" s="95"/>
      <c r="N36" s="95"/>
      <c r="O36" s="95"/>
    </row>
    <row r="37" spans="1:15" ht="11.25" customHeight="1" x14ac:dyDescent="0.25"/>
    <row r="38" spans="1:15" x14ac:dyDescent="0.25">
      <c r="A38" s="110" t="s">
        <v>119</v>
      </c>
      <c r="B38" s="110"/>
      <c r="C38" s="110"/>
      <c r="D38" s="110"/>
      <c r="E38" s="110"/>
      <c r="F38" s="110"/>
      <c r="G38" s="110"/>
      <c r="I38" s="100" t="s">
        <v>46</v>
      </c>
      <c r="J38" s="100"/>
      <c r="K38" s="100"/>
      <c r="L38" s="100"/>
      <c r="M38" s="100"/>
      <c r="N38" s="100"/>
      <c r="O38" s="100"/>
    </row>
  </sheetData>
  <mergeCells count="23">
    <mergeCell ref="A32:G32"/>
    <mergeCell ref="A34:G34"/>
    <mergeCell ref="A1:O1"/>
    <mergeCell ref="A9:N9"/>
    <mergeCell ref="A11:N11"/>
    <mergeCell ref="A12:N12"/>
    <mergeCell ref="I13:K13"/>
    <mergeCell ref="A36:G36"/>
    <mergeCell ref="I36:O36"/>
    <mergeCell ref="A38:G38"/>
    <mergeCell ref="I38:O38"/>
    <mergeCell ref="F15:I15"/>
    <mergeCell ref="J15:J16"/>
    <mergeCell ref="K15:K16"/>
    <mergeCell ref="L15:M15"/>
    <mergeCell ref="N15:O15"/>
    <mergeCell ref="A18:O18"/>
    <mergeCell ref="A15:A16"/>
    <mergeCell ref="B15:B16"/>
    <mergeCell ref="C15:C16"/>
    <mergeCell ref="D15:D16"/>
    <mergeCell ref="E15:E16"/>
    <mergeCell ref="A25:O25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0">
    <tabColor rgb="FFFFFF00"/>
  </sheetPr>
  <dimension ref="A1:O38"/>
  <sheetViews>
    <sheetView workbookViewId="0">
      <selection activeCell="A20" sqref="A20:K22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163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5" x14ac:dyDescent="0.25">
      <c r="A3" s="7" t="s">
        <v>164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8" t="s">
        <v>41</v>
      </c>
      <c r="B4" s="8"/>
      <c r="C4" s="8"/>
      <c r="D4" s="8"/>
      <c r="E4" s="8"/>
      <c r="F4" s="8"/>
      <c r="G4" s="8"/>
      <c r="H4" s="8"/>
      <c r="I4" s="8"/>
      <c r="J4" s="3" t="s">
        <v>105</v>
      </c>
      <c r="K4" s="2"/>
      <c r="L4" s="2"/>
      <c r="M4" s="2"/>
      <c r="N4" s="2"/>
    </row>
    <row r="5" spans="1:15" x14ac:dyDescent="0.25">
      <c r="A5" s="6" t="s">
        <v>42</v>
      </c>
      <c r="F5" s="9"/>
      <c r="G5" s="9"/>
      <c r="H5" s="9"/>
      <c r="I5" s="9"/>
      <c r="J5" s="3"/>
      <c r="K5" s="3"/>
      <c r="L5" s="1"/>
      <c r="M5" s="1"/>
      <c r="N5" s="1"/>
    </row>
    <row r="6" spans="1:15" x14ac:dyDescent="0.25">
      <c r="A6" s="9" t="s">
        <v>68</v>
      </c>
      <c r="B6" s="9"/>
      <c r="C6" s="9"/>
      <c r="D6" s="9"/>
      <c r="E6" s="9"/>
      <c r="F6" s="9"/>
      <c r="G6" s="9"/>
      <c r="H6" s="9"/>
      <c r="I6" s="9"/>
      <c r="J6" s="3" t="s">
        <v>64</v>
      </c>
      <c r="K6" s="1"/>
      <c r="L6" s="1"/>
      <c r="M6" s="1"/>
      <c r="N6" s="1"/>
    </row>
    <row r="7" spans="1:15" x14ac:dyDescent="0.25">
      <c r="A7" s="9" t="s">
        <v>43</v>
      </c>
      <c r="B7" s="9"/>
      <c r="C7" s="9"/>
      <c r="D7" s="9"/>
      <c r="E7" s="9"/>
      <c r="F7" s="9"/>
      <c r="G7" s="9"/>
      <c r="H7" s="9"/>
      <c r="I7" s="9"/>
      <c r="J7" s="3" t="s">
        <v>106</v>
      </c>
      <c r="K7" s="1"/>
      <c r="L7" s="1"/>
      <c r="M7" s="1"/>
      <c r="N7" s="1"/>
    </row>
    <row r="8" spans="1:15" x14ac:dyDescent="0.25">
      <c r="A8" s="9" t="s">
        <v>1</v>
      </c>
      <c r="B8" s="9"/>
      <c r="C8" s="9"/>
      <c r="D8" s="9"/>
      <c r="E8" s="9"/>
      <c r="J8" s="3"/>
      <c r="K8" s="3"/>
      <c r="L8" s="3"/>
      <c r="M8" s="3"/>
      <c r="N8" s="3"/>
    </row>
    <row r="9" spans="1:15" x14ac:dyDescent="0.25">
      <c r="A9" s="97" t="s">
        <v>44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</row>
    <row r="10" spans="1:15" x14ac:dyDescent="0.25">
      <c r="A10" s="10" t="s">
        <v>45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</row>
    <row r="11" spans="1:15" x14ac:dyDescent="0.25">
      <c r="A11" s="98" t="s">
        <v>140</v>
      </c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</row>
    <row r="12" spans="1:15" x14ac:dyDescent="0.25">
      <c r="A12" s="98" t="s">
        <v>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I13" s="98" t="s">
        <v>18</v>
      </c>
      <c r="J13" s="98"/>
      <c r="K13" s="98"/>
      <c r="L13" s="6" t="s">
        <v>79</v>
      </c>
    </row>
    <row r="14" spans="1:15" x14ac:dyDescent="0.25">
      <c r="A14" s="6" t="s">
        <v>165</v>
      </c>
      <c r="I14" s="6" t="s">
        <v>19</v>
      </c>
      <c r="L14" s="37">
        <v>4</v>
      </c>
    </row>
    <row r="15" spans="1:15" ht="16.5" customHeight="1" x14ac:dyDescent="0.25">
      <c r="A15" s="104" t="s">
        <v>2</v>
      </c>
      <c r="B15" s="104" t="s">
        <v>3</v>
      </c>
      <c r="C15" s="104" t="s">
        <v>4</v>
      </c>
      <c r="D15" s="104" t="s">
        <v>5</v>
      </c>
      <c r="E15" s="104" t="s">
        <v>6</v>
      </c>
      <c r="F15" s="101" t="s">
        <v>7</v>
      </c>
      <c r="G15" s="102"/>
      <c r="H15" s="102"/>
      <c r="I15" s="103"/>
      <c r="J15" s="104" t="s">
        <v>12</v>
      </c>
      <c r="K15" s="104" t="s">
        <v>13</v>
      </c>
      <c r="L15" s="101" t="s">
        <v>14</v>
      </c>
      <c r="M15" s="103"/>
      <c r="N15" s="101" t="s">
        <v>15</v>
      </c>
      <c r="O15" s="103"/>
    </row>
    <row r="16" spans="1:15" ht="27.6" x14ac:dyDescent="0.25">
      <c r="A16" s="105"/>
      <c r="B16" s="105"/>
      <c r="C16" s="105"/>
      <c r="D16" s="105"/>
      <c r="E16" s="105"/>
      <c r="F16" s="4" t="s">
        <v>8</v>
      </c>
      <c r="G16" s="4" t="s">
        <v>9</v>
      </c>
      <c r="H16" s="4" t="s">
        <v>10</v>
      </c>
      <c r="I16" s="4" t="s">
        <v>11</v>
      </c>
      <c r="J16" s="105"/>
      <c r="K16" s="105"/>
      <c r="L16" s="4" t="s">
        <v>16</v>
      </c>
      <c r="M16" s="4" t="s">
        <v>17</v>
      </c>
      <c r="N16" s="4" t="s">
        <v>16</v>
      </c>
      <c r="O16" s="4" t="s">
        <v>17</v>
      </c>
    </row>
    <row r="17" spans="1:15" x14ac:dyDescent="0.25">
      <c r="A17" s="4">
        <v>1</v>
      </c>
      <c r="B17" s="4">
        <v>2</v>
      </c>
      <c r="C17" s="4">
        <v>3</v>
      </c>
      <c r="D17" s="4">
        <v>4</v>
      </c>
      <c r="E17" s="4">
        <v>5</v>
      </c>
      <c r="F17" s="4">
        <v>6</v>
      </c>
      <c r="G17" s="4">
        <v>7</v>
      </c>
      <c r="H17" s="4">
        <v>8</v>
      </c>
      <c r="I17" s="4">
        <v>9</v>
      </c>
      <c r="J17" s="4">
        <v>10</v>
      </c>
      <c r="K17" s="4">
        <v>11</v>
      </c>
      <c r="L17" s="4">
        <v>12</v>
      </c>
      <c r="M17" s="4">
        <v>13</v>
      </c>
      <c r="N17" s="4">
        <v>14</v>
      </c>
      <c r="O17" s="4">
        <v>15</v>
      </c>
    </row>
    <row r="18" spans="1:15" x14ac:dyDescent="0.25">
      <c r="A18" s="106" t="s">
        <v>20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8"/>
    </row>
    <row r="19" spans="1:15" ht="26.25" customHeight="1" x14ac:dyDescent="0.25">
      <c r="A19" s="11" t="s">
        <v>80</v>
      </c>
      <c r="B19" s="12"/>
      <c r="C19" s="4"/>
      <c r="D19" s="4"/>
      <c r="E19" s="4"/>
      <c r="F19" s="4"/>
      <c r="G19" s="13"/>
      <c r="H19" s="13"/>
      <c r="I19" s="13"/>
      <c r="J19" s="14"/>
      <c r="K19" s="14"/>
      <c r="L19" s="14"/>
      <c r="M19" s="14"/>
      <c r="N19" s="14"/>
      <c r="O19" s="14"/>
    </row>
    <row r="20" spans="1:15" ht="33" customHeight="1" x14ac:dyDescent="0.25">
      <c r="A20" s="11" t="s">
        <v>166</v>
      </c>
      <c r="B20" s="4">
        <v>1</v>
      </c>
      <c r="C20" s="4" t="s">
        <v>161</v>
      </c>
      <c r="D20" s="5">
        <v>2</v>
      </c>
      <c r="E20" s="5">
        <v>5</v>
      </c>
      <c r="F20" s="15">
        <v>32</v>
      </c>
      <c r="G20" s="13">
        <v>7099.2</v>
      </c>
      <c r="H20" s="13">
        <f>F20*2.4</f>
        <v>76.8</v>
      </c>
      <c r="I20" s="13">
        <f>+G20-H20</f>
        <v>7022.4</v>
      </c>
      <c r="J20" s="13"/>
      <c r="K20" s="13">
        <f>+I20*(108.5/(100+E20))</f>
        <v>7256.4800000000005</v>
      </c>
      <c r="L20" s="13"/>
      <c r="M20" s="13"/>
      <c r="N20" s="13"/>
      <c r="O20" s="13"/>
    </row>
    <row r="21" spans="1:15" ht="33" customHeight="1" x14ac:dyDescent="0.25">
      <c r="A21" s="11" t="s">
        <v>167</v>
      </c>
      <c r="B21" s="4">
        <v>1</v>
      </c>
      <c r="C21" s="4" t="s">
        <v>59</v>
      </c>
      <c r="D21" s="5">
        <v>3</v>
      </c>
      <c r="E21" s="5">
        <v>5</v>
      </c>
      <c r="F21" s="15">
        <v>33</v>
      </c>
      <c r="G21" s="13">
        <v>7442</v>
      </c>
      <c r="H21" s="13">
        <f>F21*2.4</f>
        <v>79.2</v>
      </c>
      <c r="I21" s="13">
        <f>+G21-H21</f>
        <v>7362.8</v>
      </c>
      <c r="J21" s="13"/>
      <c r="K21" s="13">
        <f>+I21*(108.5/(100+E21))</f>
        <v>7608.2266666666674</v>
      </c>
      <c r="L21" s="13"/>
      <c r="M21" s="13"/>
      <c r="N21" s="13"/>
      <c r="O21" s="13"/>
    </row>
    <row r="22" spans="1:15" ht="33" customHeight="1" x14ac:dyDescent="0.25">
      <c r="A22" s="11" t="s">
        <v>168</v>
      </c>
      <c r="B22" s="4">
        <v>1</v>
      </c>
      <c r="C22" s="4" t="s">
        <v>27</v>
      </c>
      <c r="D22" s="5">
        <v>2.5</v>
      </c>
      <c r="E22" s="5">
        <v>5</v>
      </c>
      <c r="F22" s="15">
        <v>45</v>
      </c>
      <c r="G22" s="13">
        <v>9748.6</v>
      </c>
      <c r="H22" s="13">
        <f>F22*2.4</f>
        <v>108</v>
      </c>
      <c r="I22" s="13">
        <f>+G22-H22</f>
        <v>9640.6</v>
      </c>
      <c r="J22" s="13"/>
      <c r="K22" s="13">
        <f>+I22*(108.5/(100+E22))</f>
        <v>9961.9533333333347</v>
      </c>
      <c r="L22" s="13"/>
      <c r="M22" s="13"/>
      <c r="N22" s="13"/>
      <c r="O22" s="13"/>
    </row>
    <row r="23" spans="1:15" ht="33" customHeight="1" x14ac:dyDescent="0.25">
      <c r="A23" s="16" t="s">
        <v>21</v>
      </c>
      <c r="B23" s="4"/>
      <c r="C23" s="4"/>
      <c r="D23" s="4"/>
      <c r="E23" s="13"/>
      <c r="F23" s="17">
        <f>SUM(F20:F22)</f>
        <v>110</v>
      </c>
      <c r="G23" s="18">
        <f>SUM(G20:G22)</f>
        <v>24289.800000000003</v>
      </c>
      <c r="H23" s="18">
        <f>SUM(H20:H22)</f>
        <v>264</v>
      </c>
      <c r="I23" s="18">
        <f>SUM(I20:I22)</f>
        <v>24025.800000000003</v>
      </c>
      <c r="J23" s="18"/>
      <c r="K23" s="18">
        <f>SUM(K20:K22)</f>
        <v>24826.660000000003</v>
      </c>
      <c r="L23" s="18"/>
      <c r="M23" s="13"/>
      <c r="N23" s="13"/>
      <c r="O23" s="13"/>
    </row>
    <row r="24" spans="1:15" ht="14.25" customHeight="1" x14ac:dyDescent="0.25">
      <c r="A24" s="19"/>
      <c r="B24" s="20"/>
      <c r="C24" s="20"/>
      <c r="D24" s="20"/>
      <c r="E24" s="21"/>
      <c r="F24" s="22"/>
      <c r="G24" s="22"/>
      <c r="H24" s="22"/>
      <c r="I24" s="22"/>
      <c r="J24" s="22"/>
      <c r="K24" s="22"/>
      <c r="L24" s="22"/>
      <c r="M24" s="21"/>
      <c r="N24" s="21"/>
      <c r="O24" s="21"/>
    </row>
    <row r="25" spans="1:15" ht="14.4" x14ac:dyDescent="0.3">
      <c r="A25" s="109" t="s">
        <v>169</v>
      </c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</row>
    <row r="26" spans="1:15" ht="11.25" customHeight="1" x14ac:dyDescent="0.25"/>
    <row r="27" spans="1:15" x14ac:dyDescent="0.25">
      <c r="A27" s="6" t="s">
        <v>22</v>
      </c>
      <c r="D27" s="24">
        <f>+I23</f>
        <v>24025.800000000003</v>
      </c>
    </row>
    <row r="28" spans="1:15" x14ac:dyDescent="0.25">
      <c r="D28" s="25"/>
      <c r="G28" s="23"/>
      <c r="H28" s="23"/>
      <c r="I28" s="23"/>
      <c r="J28" s="23"/>
      <c r="K28" s="23"/>
    </row>
    <row r="29" spans="1:15" x14ac:dyDescent="0.25">
      <c r="A29" s="6" t="s">
        <v>23</v>
      </c>
      <c r="D29" s="24">
        <f>+G23</f>
        <v>24289.800000000003</v>
      </c>
    </row>
    <row r="30" spans="1:15" ht="11.25" customHeight="1" x14ac:dyDescent="0.25">
      <c r="D30" s="24"/>
    </row>
    <row r="31" spans="1:15" ht="10.5" customHeight="1" x14ac:dyDescent="0.25"/>
    <row r="32" spans="1:15" x14ac:dyDescent="0.25">
      <c r="A32" s="95" t="s">
        <v>25</v>
      </c>
      <c r="B32" s="95"/>
      <c r="C32" s="95"/>
      <c r="D32" s="95"/>
      <c r="E32" s="95"/>
      <c r="F32" s="95"/>
      <c r="G32" s="95"/>
    </row>
    <row r="33" spans="1:15" ht="9.75" customHeight="1" x14ac:dyDescent="0.25"/>
    <row r="34" spans="1:15" x14ac:dyDescent="0.25">
      <c r="A34" s="95" t="s">
        <v>82</v>
      </c>
      <c r="B34" s="95"/>
      <c r="C34" s="95"/>
      <c r="D34" s="95"/>
      <c r="E34" s="95"/>
      <c r="F34" s="95"/>
      <c r="G34" s="95"/>
    </row>
    <row r="35" spans="1:15" ht="12" customHeight="1" x14ac:dyDescent="0.25"/>
    <row r="36" spans="1:15" x14ac:dyDescent="0.25">
      <c r="A36" s="95" t="s">
        <v>26</v>
      </c>
      <c r="B36" s="95"/>
      <c r="C36" s="95"/>
      <c r="D36" s="95"/>
      <c r="E36" s="95"/>
      <c r="F36" s="95"/>
      <c r="G36" s="95"/>
      <c r="I36" s="95"/>
      <c r="J36" s="95"/>
      <c r="K36" s="95"/>
      <c r="L36" s="95"/>
      <c r="M36" s="95"/>
      <c r="N36" s="95"/>
      <c r="O36" s="95"/>
    </row>
    <row r="37" spans="1:15" ht="11.25" customHeight="1" x14ac:dyDescent="0.25"/>
    <row r="38" spans="1:15" x14ac:dyDescent="0.25">
      <c r="A38" s="110" t="s">
        <v>65</v>
      </c>
      <c r="B38" s="110"/>
      <c r="C38" s="110"/>
      <c r="D38" s="110"/>
      <c r="E38" s="110"/>
      <c r="F38" s="110"/>
      <c r="G38" s="110"/>
      <c r="I38" s="100" t="s">
        <v>46</v>
      </c>
      <c r="J38" s="100"/>
      <c r="K38" s="100"/>
      <c r="L38" s="100"/>
      <c r="M38" s="100"/>
      <c r="N38" s="100"/>
      <c r="O38" s="100"/>
    </row>
  </sheetData>
  <mergeCells count="23">
    <mergeCell ref="A36:G36"/>
    <mergeCell ref="I36:O36"/>
    <mergeCell ref="A38:G38"/>
    <mergeCell ref="I38:O38"/>
    <mergeCell ref="F15:I15"/>
    <mergeCell ref="J15:J16"/>
    <mergeCell ref="K15:K16"/>
    <mergeCell ref="L15:M15"/>
    <mergeCell ref="N15:O15"/>
    <mergeCell ref="A18:O18"/>
    <mergeCell ref="A15:A16"/>
    <mergeCell ref="B15:B16"/>
    <mergeCell ref="C15:C16"/>
    <mergeCell ref="D15:D16"/>
    <mergeCell ref="E15:E16"/>
    <mergeCell ref="A25:O25"/>
    <mergeCell ref="A32:G32"/>
    <mergeCell ref="A34:G34"/>
    <mergeCell ref="A1:O1"/>
    <mergeCell ref="A9:N9"/>
    <mergeCell ref="A11:N11"/>
    <mergeCell ref="A12:N12"/>
    <mergeCell ref="I13:K13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">
    <tabColor rgb="FFFFFF00"/>
  </sheetPr>
  <dimension ref="A1:O36"/>
  <sheetViews>
    <sheetView workbookViewId="0">
      <selection activeCell="A20" sqref="A20:K20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170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5" x14ac:dyDescent="0.25">
      <c r="A3" s="7" t="s">
        <v>171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8" t="s">
        <v>41</v>
      </c>
      <c r="B4" s="8"/>
      <c r="C4" s="8"/>
      <c r="D4" s="8"/>
      <c r="E4" s="8"/>
      <c r="F4" s="8"/>
      <c r="G4" s="8"/>
      <c r="H4" s="8"/>
      <c r="I4" s="8"/>
      <c r="J4" s="3" t="s">
        <v>94</v>
      </c>
      <c r="K4" s="2"/>
      <c r="L4" s="2"/>
      <c r="M4" s="2"/>
      <c r="N4" s="2"/>
    </row>
    <row r="5" spans="1:15" x14ac:dyDescent="0.25">
      <c r="A5" s="6" t="s">
        <v>42</v>
      </c>
      <c r="F5" s="9"/>
      <c r="G5" s="9"/>
      <c r="H5" s="9"/>
      <c r="I5" s="9"/>
      <c r="J5" s="3"/>
      <c r="K5" s="3"/>
      <c r="L5" s="1"/>
      <c r="M5" s="1"/>
      <c r="N5" s="1"/>
    </row>
    <row r="6" spans="1:15" x14ac:dyDescent="0.25">
      <c r="A6" s="9" t="s">
        <v>68</v>
      </c>
      <c r="B6" s="9"/>
      <c r="C6" s="9"/>
      <c r="D6" s="9"/>
      <c r="E6" s="9"/>
      <c r="F6" s="9"/>
      <c r="G6" s="9"/>
      <c r="H6" s="9"/>
      <c r="I6" s="9"/>
      <c r="J6" s="3" t="s">
        <v>95</v>
      </c>
      <c r="K6" s="1"/>
      <c r="L6" s="1"/>
      <c r="M6" s="1"/>
      <c r="N6" s="1"/>
    </row>
    <row r="7" spans="1:15" x14ac:dyDescent="0.25">
      <c r="A7" s="9" t="s">
        <v>43</v>
      </c>
      <c r="B7" s="9"/>
      <c r="C7" s="9"/>
      <c r="D7" s="9"/>
      <c r="E7" s="9"/>
      <c r="F7" s="9"/>
      <c r="G7" s="9"/>
      <c r="H7" s="9"/>
      <c r="I7" s="9"/>
      <c r="J7" s="3" t="s">
        <v>96</v>
      </c>
      <c r="K7" s="1"/>
      <c r="L7" s="1"/>
      <c r="M7" s="1"/>
      <c r="N7" s="1"/>
    </row>
    <row r="8" spans="1:15" x14ac:dyDescent="0.25">
      <c r="A8" s="9" t="s">
        <v>1</v>
      </c>
      <c r="B8" s="9"/>
      <c r="C8" s="9"/>
      <c r="D8" s="9"/>
      <c r="E8" s="9"/>
      <c r="J8" s="3"/>
      <c r="K8" s="3"/>
      <c r="L8" s="3"/>
      <c r="M8" s="3"/>
      <c r="N8" s="3"/>
    </row>
    <row r="9" spans="1:15" x14ac:dyDescent="0.25">
      <c r="A9" s="97" t="s">
        <v>44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</row>
    <row r="10" spans="1:15" x14ac:dyDescent="0.25">
      <c r="A10" s="10" t="s">
        <v>45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</row>
    <row r="11" spans="1:15" x14ac:dyDescent="0.25">
      <c r="A11" s="98" t="s">
        <v>140</v>
      </c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</row>
    <row r="12" spans="1:15" x14ac:dyDescent="0.25">
      <c r="A12" s="98" t="s">
        <v>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I13" s="98" t="s">
        <v>18</v>
      </c>
      <c r="J13" s="98"/>
      <c r="K13" s="98"/>
      <c r="L13" s="6" t="s">
        <v>79</v>
      </c>
    </row>
    <row r="14" spans="1:15" x14ac:dyDescent="0.25">
      <c r="A14" s="6" t="s">
        <v>172</v>
      </c>
      <c r="I14" s="6" t="s">
        <v>19</v>
      </c>
      <c r="L14" s="37">
        <v>4</v>
      </c>
    </row>
    <row r="15" spans="1:15" ht="16.5" customHeight="1" x14ac:dyDescent="0.25">
      <c r="A15" s="104" t="s">
        <v>2</v>
      </c>
      <c r="B15" s="104" t="s">
        <v>3</v>
      </c>
      <c r="C15" s="104" t="s">
        <v>4</v>
      </c>
      <c r="D15" s="104" t="s">
        <v>5</v>
      </c>
      <c r="E15" s="104" t="s">
        <v>6</v>
      </c>
      <c r="F15" s="101" t="s">
        <v>7</v>
      </c>
      <c r="G15" s="102"/>
      <c r="H15" s="102"/>
      <c r="I15" s="103"/>
      <c r="J15" s="104" t="s">
        <v>12</v>
      </c>
      <c r="K15" s="104" t="s">
        <v>13</v>
      </c>
      <c r="L15" s="101" t="s">
        <v>14</v>
      </c>
      <c r="M15" s="103"/>
      <c r="N15" s="101" t="s">
        <v>15</v>
      </c>
      <c r="O15" s="103"/>
    </row>
    <row r="16" spans="1:15" ht="27.6" x14ac:dyDescent="0.25">
      <c r="A16" s="105"/>
      <c r="B16" s="105"/>
      <c r="C16" s="105"/>
      <c r="D16" s="105"/>
      <c r="E16" s="105"/>
      <c r="F16" s="4" t="s">
        <v>8</v>
      </c>
      <c r="G16" s="4" t="s">
        <v>9</v>
      </c>
      <c r="H16" s="4" t="s">
        <v>10</v>
      </c>
      <c r="I16" s="4" t="s">
        <v>11</v>
      </c>
      <c r="J16" s="105"/>
      <c r="K16" s="105"/>
      <c r="L16" s="4" t="s">
        <v>16</v>
      </c>
      <c r="M16" s="4" t="s">
        <v>17</v>
      </c>
      <c r="N16" s="4" t="s">
        <v>16</v>
      </c>
      <c r="O16" s="4" t="s">
        <v>17</v>
      </c>
    </row>
    <row r="17" spans="1:15" x14ac:dyDescent="0.25">
      <c r="A17" s="4">
        <v>1</v>
      </c>
      <c r="B17" s="4">
        <v>2</v>
      </c>
      <c r="C17" s="4">
        <v>3</v>
      </c>
      <c r="D17" s="4">
        <v>4</v>
      </c>
      <c r="E17" s="4">
        <v>5</v>
      </c>
      <c r="F17" s="4">
        <v>6</v>
      </c>
      <c r="G17" s="4">
        <v>7</v>
      </c>
      <c r="H17" s="4">
        <v>8</v>
      </c>
      <c r="I17" s="4">
        <v>9</v>
      </c>
      <c r="J17" s="4">
        <v>10</v>
      </c>
      <c r="K17" s="4">
        <v>11</v>
      </c>
      <c r="L17" s="4">
        <v>12</v>
      </c>
      <c r="M17" s="4">
        <v>13</v>
      </c>
      <c r="N17" s="4">
        <v>14</v>
      </c>
      <c r="O17" s="4">
        <v>15</v>
      </c>
    </row>
    <row r="18" spans="1:15" x14ac:dyDescent="0.25">
      <c r="A18" s="106" t="s">
        <v>20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8"/>
    </row>
    <row r="19" spans="1:15" ht="32.25" customHeight="1" x14ac:dyDescent="0.25">
      <c r="A19" s="11" t="s">
        <v>80</v>
      </c>
      <c r="B19" s="12"/>
      <c r="C19" s="4"/>
      <c r="D19" s="4"/>
      <c r="E19" s="4"/>
      <c r="F19" s="4"/>
      <c r="G19" s="13"/>
      <c r="H19" s="13"/>
      <c r="I19" s="13"/>
      <c r="J19" s="14"/>
      <c r="K19" s="14"/>
      <c r="L19" s="14"/>
      <c r="M19" s="14"/>
      <c r="N19" s="14"/>
      <c r="O19" s="14"/>
    </row>
    <row r="20" spans="1:15" ht="60" customHeight="1" x14ac:dyDescent="0.25">
      <c r="A20" s="11" t="s">
        <v>173</v>
      </c>
      <c r="B20" s="4">
        <v>1</v>
      </c>
      <c r="C20" s="4" t="s">
        <v>59</v>
      </c>
      <c r="D20" s="5">
        <v>3</v>
      </c>
      <c r="E20" s="5">
        <v>5</v>
      </c>
      <c r="F20" s="15">
        <v>110</v>
      </c>
      <c r="G20" s="13">
        <v>23906.2</v>
      </c>
      <c r="H20" s="13">
        <f>F20*2.4</f>
        <v>264</v>
      </c>
      <c r="I20" s="13">
        <f>+G20-H20</f>
        <v>23642.2</v>
      </c>
      <c r="J20" s="13"/>
      <c r="K20" s="13">
        <f>+I20*(108.5/(100+E20))</f>
        <v>24430.273333333338</v>
      </c>
      <c r="L20" s="13"/>
      <c r="M20" s="13"/>
      <c r="N20" s="13"/>
      <c r="O20" s="13"/>
    </row>
    <row r="21" spans="1:15" ht="30.75" customHeight="1" x14ac:dyDescent="0.25">
      <c r="A21" s="16" t="s">
        <v>21</v>
      </c>
      <c r="B21" s="4"/>
      <c r="C21" s="4"/>
      <c r="D21" s="4"/>
      <c r="E21" s="13"/>
      <c r="F21" s="17">
        <f>SUM(F20:F20)</f>
        <v>110</v>
      </c>
      <c r="G21" s="18">
        <f>SUM(G20:G20)</f>
        <v>23906.2</v>
      </c>
      <c r="H21" s="18">
        <f>SUM(H20:H20)</f>
        <v>264</v>
      </c>
      <c r="I21" s="18">
        <f>SUM(I20:I20)</f>
        <v>23642.2</v>
      </c>
      <c r="J21" s="18"/>
      <c r="K21" s="18">
        <f>SUM(K20:K20)</f>
        <v>24430.273333333338</v>
      </c>
      <c r="L21" s="18"/>
      <c r="M21" s="13"/>
      <c r="N21" s="13"/>
      <c r="O21" s="13"/>
    </row>
    <row r="22" spans="1:15" ht="14.25" customHeight="1" x14ac:dyDescent="0.25">
      <c r="A22" s="19"/>
      <c r="B22" s="20"/>
      <c r="C22" s="20"/>
      <c r="D22" s="20"/>
      <c r="E22" s="21"/>
      <c r="F22" s="22"/>
      <c r="G22" s="22"/>
      <c r="H22" s="22"/>
      <c r="I22" s="22"/>
      <c r="J22" s="22"/>
      <c r="K22" s="22"/>
      <c r="L22" s="22"/>
      <c r="M22" s="21"/>
      <c r="N22" s="21"/>
      <c r="O22" s="21"/>
    </row>
    <row r="23" spans="1:15" ht="14.4" x14ac:dyDescent="0.3">
      <c r="A23" s="109" t="s">
        <v>162</v>
      </c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</row>
    <row r="24" spans="1:15" ht="11.25" customHeight="1" x14ac:dyDescent="0.25"/>
    <row r="25" spans="1:15" x14ac:dyDescent="0.25">
      <c r="A25" s="6" t="s">
        <v>22</v>
      </c>
      <c r="D25" s="24">
        <f>+I21</f>
        <v>23642.2</v>
      </c>
    </row>
    <row r="26" spans="1:15" x14ac:dyDescent="0.25">
      <c r="D26" s="25"/>
      <c r="G26" s="23"/>
      <c r="H26" s="23"/>
      <c r="I26" s="23"/>
      <c r="J26" s="23"/>
      <c r="K26" s="23"/>
    </row>
    <row r="27" spans="1:15" x14ac:dyDescent="0.25">
      <c r="A27" s="6" t="s">
        <v>23</v>
      </c>
      <c r="D27" s="24">
        <f>+G21</f>
        <v>23906.2</v>
      </c>
    </row>
    <row r="28" spans="1:15" ht="11.25" customHeight="1" x14ac:dyDescent="0.25">
      <c r="D28" s="24"/>
    </row>
    <row r="29" spans="1:15" ht="10.5" customHeight="1" x14ac:dyDescent="0.25"/>
    <row r="30" spans="1:15" x14ac:dyDescent="0.25">
      <c r="A30" s="95" t="s">
        <v>25</v>
      </c>
      <c r="B30" s="95"/>
      <c r="C30" s="95"/>
      <c r="D30" s="95"/>
      <c r="E30" s="95"/>
      <c r="F30" s="95"/>
      <c r="G30" s="95"/>
    </row>
    <row r="31" spans="1:15" ht="9.75" customHeight="1" x14ac:dyDescent="0.25"/>
    <row r="32" spans="1:15" x14ac:dyDescent="0.25">
      <c r="A32" s="95" t="s">
        <v>82</v>
      </c>
      <c r="B32" s="95"/>
      <c r="C32" s="95"/>
      <c r="D32" s="95"/>
      <c r="E32" s="95"/>
      <c r="F32" s="95"/>
      <c r="G32" s="95"/>
    </row>
    <row r="33" spans="1:15" ht="12" customHeight="1" x14ac:dyDescent="0.25"/>
    <row r="34" spans="1:15" x14ac:dyDescent="0.25">
      <c r="A34" s="95" t="s">
        <v>26</v>
      </c>
      <c r="B34" s="95"/>
      <c r="C34" s="95"/>
      <c r="D34" s="95"/>
      <c r="E34" s="95"/>
      <c r="F34" s="95"/>
      <c r="G34" s="95"/>
      <c r="I34" s="95"/>
      <c r="J34" s="95"/>
      <c r="K34" s="95"/>
      <c r="L34" s="95"/>
      <c r="M34" s="95"/>
      <c r="N34" s="95"/>
      <c r="O34" s="95"/>
    </row>
    <row r="35" spans="1:15" ht="11.25" customHeight="1" x14ac:dyDescent="0.25"/>
    <row r="36" spans="1:15" x14ac:dyDescent="0.25">
      <c r="A36" s="110" t="s">
        <v>119</v>
      </c>
      <c r="B36" s="110"/>
      <c r="C36" s="110"/>
      <c r="D36" s="110"/>
      <c r="E36" s="110"/>
      <c r="F36" s="110"/>
      <c r="G36" s="110"/>
      <c r="I36" s="100" t="s">
        <v>46</v>
      </c>
      <c r="J36" s="100"/>
      <c r="K36" s="100"/>
      <c r="L36" s="100"/>
      <c r="M36" s="100"/>
      <c r="N36" s="100"/>
      <c r="O36" s="100"/>
    </row>
  </sheetData>
  <mergeCells count="23">
    <mergeCell ref="A34:G34"/>
    <mergeCell ref="I34:O34"/>
    <mergeCell ref="A36:G36"/>
    <mergeCell ref="I36:O36"/>
    <mergeCell ref="F15:I15"/>
    <mergeCell ref="J15:J16"/>
    <mergeCell ref="K15:K16"/>
    <mergeCell ref="L15:M15"/>
    <mergeCell ref="N15:O15"/>
    <mergeCell ref="A18:O18"/>
    <mergeCell ref="A15:A16"/>
    <mergeCell ref="B15:B16"/>
    <mergeCell ref="C15:C16"/>
    <mergeCell ref="D15:D16"/>
    <mergeCell ref="E15:E16"/>
    <mergeCell ref="A23:O23"/>
    <mergeCell ref="A30:G30"/>
    <mergeCell ref="A32:G32"/>
    <mergeCell ref="A1:O1"/>
    <mergeCell ref="A9:N9"/>
    <mergeCell ref="A11:N11"/>
    <mergeCell ref="A12:N12"/>
    <mergeCell ref="I13:K13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2">
    <tabColor rgb="FFFFFF00"/>
  </sheetPr>
  <dimension ref="A1:O37"/>
  <sheetViews>
    <sheetView workbookViewId="0">
      <selection activeCell="A20" sqref="A20:K21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174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5" x14ac:dyDescent="0.25">
      <c r="A3" s="7" t="s">
        <v>171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8" t="s">
        <v>41</v>
      </c>
      <c r="B4" s="8"/>
      <c r="C4" s="8"/>
      <c r="D4" s="8"/>
      <c r="E4" s="8"/>
      <c r="F4" s="8"/>
      <c r="G4" s="8"/>
      <c r="H4" s="8"/>
      <c r="I4" s="8"/>
      <c r="J4" s="3" t="s">
        <v>94</v>
      </c>
      <c r="K4" s="2"/>
      <c r="L4" s="2"/>
      <c r="M4" s="2"/>
      <c r="N4" s="2"/>
    </row>
    <row r="5" spans="1:15" x14ac:dyDescent="0.25">
      <c r="A5" s="6" t="s">
        <v>42</v>
      </c>
      <c r="F5" s="9"/>
      <c r="G5" s="9"/>
      <c r="H5" s="9"/>
      <c r="I5" s="9"/>
      <c r="J5" s="3"/>
      <c r="K5" s="3"/>
      <c r="L5" s="1"/>
      <c r="M5" s="1"/>
      <c r="N5" s="1"/>
    </row>
    <row r="6" spans="1:15" x14ac:dyDescent="0.25">
      <c r="A6" s="9" t="s">
        <v>68</v>
      </c>
      <c r="B6" s="9"/>
      <c r="C6" s="9"/>
      <c r="D6" s="9"/>
      <c r="E6" s="9"/>
      <c r="F6" s="9"/>
      <c r="G6" s="9"/>
      <c r="H6" s="9"/>
      <c r="I6" s="9"/>
      <c r="J6" s="3" t="s">
        <v>95</v>
      </c>
      <c r="K6" s="1"/>
      <c r="L6" s="1"/>
      <c r="M6" s="1"/>
      <c r="N6" s="1"/>
    </row>
    <row r="7" spans="1:15" x14ac:dyDescent="0.25">
      <c r="A7" s="9" t="s">
        <v>43</v>
      </c>
      <c r="B7" s="9"/>
      <c r="C7" s="9"/>
      <c r="D7" s="9"/>
      <c r="E7" s="9"/>
      <c r="F7" s="9"/>
      <c r="G7" s="9"/>
      <c r="H7" s="9"/>
      <c r="I7" s="9"/>
      <c r="J7" s="3" t="s">
        <v>96</v>
      </c>
      <c r="K7" s="1"/>
      <c r="L7" s="1"/>
      <c r="M7" s="1"/>
      <c r="N7" s="1"/>
    </row>
    <row r="8" spans="1:15" x14ac:dyDescent="0.25">
      <c r="A8" s="9" t="s">
        <v>1</v>
      </c>
      <c r="B8" s="9"/>
      <c r="C8" s="9"/>
      <c r="D8" s="9"/>
      <c r="E8" s="9"/>
      <c r="J8" s="3"/>
      <c r="K8" s="3"/>
      <c r="L8" s="3"/>
      <c r="M8" s="3"/>
      <c r="N8" s="3"/>
    </row>
    <row r="9" spans="1:15" x14ac:dyDescent="0.25">
      <c r="A9" s="97" t="s">
        <v>44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</row>
    <row r="10" spans="1:15" x14ac:dyDescent="0.25">
      <c r="A10" s="10" t="s">
        <v>45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</row>
    <row r="11" spans="1:15" x14ac:dyDescent="0.25">
      <c r="A11" s="98" t="s">
        <v>140</v>
      </c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</row>
    <row r="12" spans="1:15" x14ac:dyDescent="0.25">
      <c r="A12" s="98" t="s">
        <v>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I13" s="98" t="s">
        <v>18</v>
      </c>
      <c r="J13" s="98"/>
      <c r="K13" s="98"/>
      <c r="L13" s="6" t="s">
        <v>79</v>
      </c>
    </row>
    <row r="14" spans="1:15" x14ac:dyDescent="0.25">
      <c r="A14" s="6" t="s">
        <v>175</v>
      </c>
      <c r="I14" s="6" t="s">
        <v>19</v>
      </c>
      <c r="L14" s="37">
        <v>4</v>
      </c>
    </row>
    <row r="15" spans="1:15" ht="16.5" customHeight="1" x14ac:dyDescent="0.25">
      <c r="A15" s="104" t="s">
        <v>2</v>
      </c>
      <c r="B15" s="104" t="s">
        <v>3</v>
      </c>
      <c r="C15" s="104" t="s">
        <v>4</v>
      </c>
      <c r="D15" s="104" t="s">
        <v>5</v>
      </c>
      <c r="E15" s="104" t="s">
        <v>6</v>
      </c>
      <c r="F15" s="101" t="s">
        <v>7</v>
      </c>
      <c r="G15" s="102"/>
      <c r="H15" s="102"/>
      <c r="I15" s="103"/>
      <c r="J15" s="104" t="s">
        <v>12</v>
      </c>
      <c r="K15" s="104" t="s">
        <v>13</v>
      </c>
      <c r="L15" s="101" t="s">
        <v>14</v>
      </c>
      <c r="M15" s="103"/>
      <c r="N15" s="101" t="s">
        <v>15</v>
      </c>
      <c r="O15" s="103"/>
    </row>
    <row r="16" spans="1:15" ht="27.6" x14ac:dyDescent="0.25">
      <c r="A16" s="105"/>
      <c r="B16" s="105"/>
      <c r="C16" s="105"/>
      <c r="D16" s="105"/>
      <c r="E16" s="105"/>
      <c r="F16" s="4" t="s">
        <v>8</v>
      </c>
      <c r="G16" s="4" t="s">
        <v>9</v>
      </c>
      <c r="H16" s="4" t="s">
        <v>10</v>
      </c>
      <c r="I16" s="4" t="s">
        <v>11</v>
      </c>
      <c r="J16" s="105"/>
      <c r="K16" s="105"/>
      <c r="L16" s="4" t="s">
        <v>16</v>
      </c>
      <c r="M16" s="4" t="s">
        <v>17</v>
      </c>
      <c r="N16" s="4" t="s">
        <v>16</v>
      </c>
      <c r="O16" s="4" t="s">
        <v>17</v>
      </c>
    </row>
    <row r="17" spans="1:15" x14ac:dyDescent="0.25">
      <c r="A17" s="4">
        <v>1</v>
      </c>
      <c r="B17" s="4">
        <v>2</v>
      </c>
      <c r="C17" s="4">
        <v>3</v>
      </c>
      <c r="D17" s="4">
        <v>4</v>
      </c>
      <c r="E17" s="4">
        <v>5</v>
      </c>
      <c r="F17" s="4">
        <v>6</v>
      </c>
      <c r="G17" s="4">
        <v>7</v>
      </c>
      <c r="H17" s="4">
        <v>8</v>
      </c>
      <c r="I17" s="4">
        <v>9</v>
      </c>
      <c r="J17" s="4">
        <v>10</v>
      </c>
      <c r="K17" s="4">
        <v>11</v>
      </c>
      <c r="L17" s="4">
        <v>12</v>
      </c>
      <c r="M17" s="4">
        <v>13</v>
      </c>
      <c r="N17" s="4">
        <v>14</v>
      </c>
      <c r="O17" s="4">
        <v>15</v>
      </c>
    </row>
    <row r="18" spans="1:15" x14ac:dyDescent="0.25">
      <c r="A18" s="106" t="s">
        <v>20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8"/>
    </row>
    <row r="19" spans="1:15" ht="32.25" customHeight="1" x14ac:dyDescent="0.25">
      <c r="A19" s="11" t="s">
        <v>80</v>
      </c>
      <c r="B19" s="12"/>
      <c r="C19" s="4"/>
      <c r="D19" s="4"/>
      <c r="E19" s="4"/>
      <c r="F19" s="4"/>
      <c r="G19" s="13"/>
      <c r="H19" s="13"/>
      <c r="I19" s="13"/>
      <c r="J19" s="14"/>
      <c r="K19" s="14"/>
      <c r="L19" s="14"/>
      <c r="M19" s="14"/>
      <c r="N19" s="14"/>
      <c r="O19" s="14"/>
    </row>
    <row r="20" spans="1:15" ht="48.75" customHeight="1" x14ac:dyDescent="0.25">
      <c r="A20" s="11" t="s">
        <v>176</v>
      </c>
      <c r="B20" s="4">
        <v>1</v>
      </c>
      <c r="C20" s="4" t="s">
        <v>59</v>
      </c>
      <c r="D20" s="5">
        <v>3</v>
      </c>
      <c r="E20" s="5">
        <v>5</v>
      </c>
      <c r="F20" s="15">
        <v>47</v>
      </c>
      <c r="G20" s="13">
        <v>9439.1</v>
      </c>
      <c r="H20" s="13">
        <f>F20*2.2</f>
        <v>103.4</v>
      </c>
      <c r="I20" s="13">
        <f>+G20-H20</f>
        <v>9335.7000000000007</v>
      </c>
      <c r="J20" s="13"/>
      <c r="K20" s="13">
        <f>+I20*(108.5/(100+E20))</f>
        <v>9646.8900000000012</v>
      </c>
      <c r="L20" s="13"/>
      <c r="M20" s="13"/>
      <c r="N20" s="13"/>
      <c r="O20" s="13"/>
    </row>
    <row r="21" spans="1:15" ht="48.75" customHeight="1" x14ac:dyDescent="0.25">
      <c r="A21" s="11" t="s">
        <v>177</v>
      </c>
      <c r="B21" s="4">
        <v>1</v>
      </c>
      <c r="C21" s="4" t="s">
        <v>27</v>
      </c>
      <c r="D21" s="5">
        <v>2.5</v>
      </c>
      <c r="E21" s="5">
        <v>5</v>
      </c>
      <c r="F21" s="15">
        <v>49</v>
      </c>
      <c r="G21" s="13">
        <v>9911</v>
      </c>
      <c r="H21" s="13">
        <f>F21*2.2</f>
        <v>107.80000000000001</v>
      </c>
      <c r="I21" s="13">
        <f>+G21-H21</f>
        <v>9803.2000000000007</v>
      </c>
      <c r="J21" s="13"/>
      <c r="K21" s="13">
        <f>+I21*(108.5/(100+E21))</f>
        <v>10129.973333333335</v>
      </c>
      <c r="L21" s="13"/>
      <c r="M21" s="13"/>
      <c r="N21" s="13"/>
      <c r="O21" s="13"/>
    </row>
    <row r="22" spans="1:15" ht="30.75" customHeight="1" x14ac:dyDescent="0.25">
      <c r="A22" s="16" t="s">
        <v>21</v>
      </c>
      <c r="B22" s="4"/>
      <c r="C22" s="4"/>
      <c r="D22" s="4"/>
      <c r="E22" s="13"/>
      <c r="F22" s="17">
        <f>SUM(F20:F21)</f>
        <v>96</v>
      </c>
      <c r="G22" s="18">
        <f>SUM(G20:G21)</f>
        <v>19350.099999999999</v>
      </c>
      <c r="H22" s="18">
        <f>SUM(H20:H21)</f>
        <v>211.20000000000002</v>
      </c>
      <c r="I22" s="18">
        <f>SUM(I20:I21)</f>
        <v>19138.900000000001</v>
      </c>
      <c r="J22" s="18"/>
      <c r="K22" s="18">
        <f>SUM(K20:K21)</f>
        <v>19776.863333333335</v>
      </c>
      <c r="L22" s="18"/>
      <c r="M22" s="13"/>
      <c r="N22" s="13"/>
      <c r="O22" s="13"/>
    </row>
    <row r="23" spans="1:15" ht="14.25" customHeight="1" x14ac:dyDescent="0.25">
      <c r="A23" s="19"/>
      <c r="B23" s="20"/>
      <c r="C23" s="20"/>
      <c r="D23" s="20"/>
      <c r="E23" s="21"/>
      <c r="F23" s="22"/>
      <c r="G23" s="22"/>
      <c r="H23" s="22"/>
      <c r="I23" s="22"/>
      <c r="J23" s="22"/>
      <c r="K23" s="22"/>
      <c r="L23" s="22"/>
      <c r="M23" s="21"/>
      <c r="N23" s="21"/>
      <c r="O23" s="21"/>
    </row>
    <row r="24" spans="1:15" ht="14.4" x14ac:dyDescent="0.3">
      <c r="A24" s="109" t="s">
        <v>56</v>
      </c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</row>
    <row r="25" spans="1:15" ht="11.25" customHeight="1" x14ac:dyDescent="0.25"/>
    <row r="26" spans="1:15" x14ac:dyDescent="0.25">
      <c r="A26" s="6" t="s">
        <v>22</v>
      </c>
      <c r="D26" s="24">
        <f>+I22</f>
        <v>19138.900000000001</v>
      </c>
    </row>
    <row r="27" spans="1:15" x14ac:dyDescent="0.25">
      <c r="D27" s="25"/>
      <c r="G27" s="23"/>
      <c r="H27" s="23"/>
      <c r="I27" s="23"/>
      <c r="J27" s="23"/>
      <c r="K27" s="23"/>
    </row>
    <row r="28" spans="1:15" x14ac:dyDescent="0.25">
      <c r="A28" s="6" t="s">
        <v>23</v>
      </c>
      <c r="D28" s="24">
        <f>+G22</f>
        <v>19350.099999999999</v>
      </c>
    </row>
    <row r="29" spans="1:15" ht="11.25" customHeight="1" x14ac:dyDescent="0.25">
      <c r="D29" s="24"/>
    </row>
    <row r="30" spans="1:15" ht="10.5" customHeight="1" x14ac:dyDescent="0.25"/>
    <row r="31" spans="1:15" x14ac:dyDescent="0.25">
      <c r="A31" s="95" t="s">
        <v>25</v>
      </c>
      <c r="B31" s="95"/>
      <c r="C31" s="95"/>
      <c r="D31" s="95"/>
      <c r="E31" s="95"/>
      <c r="F31" s="95"/>
      <c r="G31" s="95"/>
    </row>
    <row r="32" spans="1:15" ht="9.75" customHeight="1" x14ac:dyDescent="0.25"/>
    <row r="33" spans="1:15" x14ac:dyDescent="0.25">
      <c r="A33" s="95" t="s">
        <v>82</v>
      </c>
      <c r="B33" s="95"/>
      <c r="C33" s="95"/>
      <c r="D33" s="95"/>
      <c r="E33" s="95"/>
      <c r="F33" s="95"/>
      <c r="G33" s="95"/>
    </row>
    <row r="34" spans="1:15" ht="12" customHeight="1" x14ac:dyDescent="0.25"/>
    <row r="35" spans="1:15" x14ac:dyDescent="0.25">
      <c r="A35" s="95" t="s">
        <v>26</v>
      </c>
      <c r="B35" s="95"/>
      <c r="C35" s="95"/>
      <c r="D35" s="95"/>
      <c r="E35" s="95"/>
      <c r="F35" s="95"/>
      <c r="G35" s="95"/>
      <c r="I35" s="95"/>
      <c r="J35" s="95"/>
      <c r="K35" s="95"/>
      <c r="L35" s="95"/>
      <c r="M35" s="95"/>
      <c r="N35" s="95"/>
      <c r="O35" s="95"/>
    </row>
    <row r="36" spans="1:15" ht="11.25" customHeight="1" x14ac:dyDescent="0.25"/>
    <row r="37" spans="1:15" x14ac:dyDescent="0.25">
      <c r="A37" s="110" t="s">
        <v>119</v>
      </c>
      <c r="B37" s="110"/>
      <c r="C37" s="110"/>
      <c r="D37" s="110"/>
      <c r="E37" s="110"/>
      <c r="F37" s="110"/>
      <c r="G37" s="110"/>
      <c r="I37" s="100" t="s">
        <v>46</v>
      </c>
      <c r="J37" s="100"/>
      <c r="K37" s="100"/>
      <c r="L37" s="100"/>
      <c r="M37" s="100"/>
      <c r="N37" s="100"/>
      <c r="O37" s="100"/>
    </row>
  </sheetData>
  <mergeCells count="23">
    <mergeCell ref="A35:G35"/>
    <mergeCell ref="I35:O35"/>
    <mergeCell ref="A37:G37"/>
    <mergeCell ref="I37:O37"/>
    <mergeCell ref="F15:I15"/>
    <mergeCell ref="J15:J16"/>
    <mergeCell ref="K15:K16"/>
    <mergeCell ref="L15:M15"/>
    <mergeCell ref="N15:O15"/>
    <mergeCell ref="A18:O18"/>
    <mergeCell ref="A15:A16"/>
    <mergeCell ref="B15:B16"/>
    <mergeCell ref="C15:C16"/>
    <mergeCell ref="D15:D16"/>
    <mergeCell ref="E15:E16"/>
    <mergeCell ref="A24:O24"/>
    <mergeCell ref="A31:G31"/>
    <mergeCell ref="A33:G33"/>
    <mergeCell ref="A1:O1"/>
    <mergeCell ref="A9:N9"/>
    <mergeCell ref="A11:N11"/>
    <mergeCell ref="A12:N12"/>
    <mergeCell ref="I13:K13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3">
    <tabColor rgb="FFFFFF00"/>
  </sheetPr>
  <dimension ref="A1:O37"/>
  <sheetViews>
    <sheetView topLeftCell="A4" workbookViewId="0">
      <selection activeCell="A20" sqref="A20:K21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178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5" x14ac:dyDescent="0.25">
      <c r="A3" s="7" t="s">
        <v>179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8" t="s">
        <v>41</v>
      </c>
      <c r="B4" s="8"/>
      <c r="C4" s="8"/>
      <c r="D4" s="8"/>
      <c r="E4" s="8"/>
      <c r="F4" s="8"/>
      <c r="G4" s="8"/>
      <c r="H4" s="8"/>
      <c r="I4" s="8"/>
      <c r="J4" s="3" t="s">
        <v>94</v>
      </c>
      <c r="K4" s="2"/>
      <c r="L4" s="2"/>
      <c r="M4" s="2"/>
      <c r="N4" s="2"/>
    </row>
    <row r="5" spans="1:15" x14ac:dyDescent="0.25">
      <c r="A5" s="6" t="s">
        <v>42</v>
      </c>
      <c r="F5" s="9"/>
      <c r="G5" s="9"/>
      <c r="H5" s="9"/>
      <c r="I5" s="9"/>
      <c r="J5" s="3"/>
      <c r="K5" s="3"/>
      <c r="L5" s="1"/>
      <c r="M5" s="1"/>
      <c r="N5" s="1"/>
    </row>
    <row r="6" spans="1:15" x14ac:dyDescent="0.25">
      <c r="A6" s="9" t="s">
        <v>68</v>
      </c>
      <c r="B6" s="9"/>
      <c r="C6" s="9"/>
      <c r="D6" s="9"/>
      <c r="E6" s="9"/>
      <c r="F6" s="9"/>
      <c r="G6" s="9"/>
      <c r="H6" s="9"/>
      <c r="I6" s="9"/>
      <c r="J6" s="3" t="s">
        <v>187</v>
      </c>
      <c r="K6" s="1"/>
      <c r="L6" s="1"/>
      <c r="M6" s="1"/>
      <c r="N6" s="1"/>
    </row>
    <row r="7" spans="1:15" x14ac:dyDescent="0.25">
      <c r="A7" s="9" t="s">
        <v>43</v>
      </c>
      <c r="B7" s="9"/>
      <c r="C7" s="9"/>
      <c r="D7" s="9"/>
      <c r="E7" s="9"/>
      <c r="F7" s="9"/>
      <c r="G7" s="9"/>
      <c r="H7" s="9"/>
      <c r="I7" s="9"/>
      <c r="J7" s="3" t="s">
        <v>96</v>
      </c>
      <c r="K7" s="1"/>
      <c r="L7" s="1"/>
      <c r="M7" s="1"/>
      <c r="N7" s="1"/>
    </row>
    <row r="8" spans="1:15" x14ac:dyDescent="0.25">
      <c r="A8" s="9" t="s">
        <v>1</v>
      </c>
      <c r="B8" s="9"/>
      <c r="C8" s="9"/>
      <c r="D8" s="9"/>
      <c r="E8" s="9"/>
      <c r="J8" s="3"/>
      <c r="K8" s="3"/>
      <c r="L8" s="3"/>
      <c r="M8" s="3"/>
      <c r="N8" s="3"/>
    </row>
    <row r="9" spans="1:15" x14ac:dyDescent="0.25">
      <c r="A9" s="97" t="s">
        <v>44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</row>
    <row r="10" spans="1:15" x14ac:dyDescent="0.25">
      <c r="A10" s="10" t="s">
        <v>45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</row>
    <row r="11" spans="1:15" x14ac:dyDescent="0.25">
      <c r="A11" s="98" t="s">
        <v>140</v>
      </c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</row>
    <row r="12" spans="1:15" x14ac:dyDescent="0.25">
      <c r="A12" s="98" t="s">
        <v>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I13" s="98" t="s">
        <v>18</v>
      </c>
      <c r="J13" s="98"/>
      <c r="K13" s="98"/>
      <c r="L13" s="6" t="s">
        <v>79</v>
      </c>
    </row>
    <row r="14" spans="1:15" x14ac:dyDescent="0.25">
      <c r="A14" s="6" t="s">
        <v>175</v>
      </c>
      <c r="I14" s="6" t="s">
        <v>19</v>
      </c>
      <c r="L14" s="37">
        <v>4</v>
      </c>
    </row>
    <row r="15" spans="1:15" ht="16.5" customHeight="1" x14ac:dyDescent="0.25">
      <c r="A15" s="104" t="s">
        <v>2</v>
      </c>
      <c r="B15" s="104" t="s">
        <v>3</v>
      </c>
      <c r="C15" s="104" t="s">
        <v>4</v>
      </c>
      <c r="D15" s="104" t="s">
        <v>5</v>
      </c>
      <c r="E15" s="104" t="s">
        <v>6</v>
      </c>
      <c r="F15" s="101" t="s">
        <v>7</v>
      </c>
      <c r="G15" s="102"/>
      <c r="H15" s="102"/>
      <c r="I15" s="103"/>
      <c r="J15" s="104" t="s">
        <v>12</v>
      </c>
      <c r="K15" s="104" t="s">
        <v>13</v>
      </c>
      <c r="L15" s="101" t="s">
        <v>14</v>
      </c>
      <c r="M15" s="103"/>
      <c r="N15" s="101" t="s">
        <v>15</v>
      </c>
      <c r="O15" s="103"/>
    </row>
    <row r="16" spans="1:15" ht="27.6" x14ac:dyDescent="0.25">
      <c r="A16" s="105"/>
      <c r="B16" s="105"/>
      <c r="C16" s="105"/>
      <c r="D16" s="105"/>
      <c r="E16" s="105"/>
      <c r="F16" s="4" t="s">
        <v>8</v>
      </c>
      <c r="G16" s="4" t="s">
        <v>9</v>
      </c>
      <c r="H16" s="4" t="s">
        <v>10</v>
      </c>
      <c r="I16" s="4" t="s">
        <v>11</v>
      </c>
      <c r="J16" s="105"/>
      <c r="K16" s="105"/>
      <c r="L16" s="4" t="s">
        <v>16</v>
      </c>
      <c r="M16" s="4" t="s">
        <v>17</v>
      </c>
      <c r="N16" s="4" t="s">
        <v>16</v>
      </c>
      <c r="O16" s="4" t="s">
        <v>17</v>
      </c>
    </row>
    <row r="17" spans="1:15" x14ac:dyDescent="0.25">
      <c r="A17" s="4">
        <v>1</v>
      </c>
      <c r="B17" s="4">
        <v>2</v>
      </c>
      <c r="C17" s="4">
        <v>3</v>
      </c>
      <c r="D17" s="4">
        <v>4</v>
      </c>
      <c r="E17" s="4">
        <v>5</v>
      </c>
      <c r="F17" s="4">
        <v>6</v>
      </c>
      <c r="G17" s="4">
        <v>7</v>
      </c>
      <c r="H17" s="4">
        <v>8</v>
      </c>
      <c r="I17" s="4">
        <v>9</v>
      </c>
      <c r="J17" s="4">
        <v>10</v>
      </c>
      <c r="K17" s="4">
        <v>11</v>
      </c>
      <c r="L17" s="4">
        <v>12</v>
      </c>
      <c r="M17" s="4">
        <v>13</v>
      </c>
      <c r="N17" s="4">
        <v>14</v>
      </c>
      <c r="O17" s="4">
        <v>15</v>
      </c>
    </row>
    <row r="18" spans="1:15" x14ac:dyDescent="0.25">
      <c r="A18" s="106" t="s">
        <v>20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8"/>
    </row>
    <row r="19" spans="1:15" ht="32.25" customHeight="1" x14ac:dyDescent="0.25">
      <c r="A19" s="11" t="s">
        <v>80</v>
      </c>
      <c r="B19" s="12"/>
      <c r="C19" s="4"/>
      <c r="D19" s="4"/>
      <c r="E19" s="4"/>
      <c r="F19" s="4"/>
      <c r="G19" s="13"/>
      <c r="H19" s="13"/>
      <c r="I19" s="13"/>
      <c r="J19" s="14"/>
      <c r="K19" s="14"/>
      <c r="L19" s="14"/>
      <c r="M19" s="14"/>
      <c r="N19" s="14"/>
      <c r="O19" s="14"/>
    </row>
    <row r="20" spans="1:15" ht="45.75" customHeight="1" x14ac:dyDescent="0.25">
      <c r="A20" s="11" t="s">
        <v>180</v>
      </c>
      <c r="B20" s="4">
        <v>1</v>
      </c>
      <c r="C20" s="4" t="s">
        <v>27</v>
      </c>
      <c r="D20" s="5">
        <v>2.5</v>
      </c>
      <c r="E20" s="5">
        <v>5</v>
      </c>
      <c r="F20" s="15">
        <v>72</v>
      </c>
      <c r="G20" s="13">
        <v>14376.2</v>
      </c>
      <c r="H20" s="13">
        <f>F20*2.2</f>
        <v>158.4</v>
      </c>
      <c r="I20" s="13">
        <f>+G20-H20</f>
        <v>14217.800000000001</v>
      </c>
      <c r="J20" s="13"/>
      <c r="K20" s="13">
        <f>+I20*(108.5/(100+E20))</f>
        <v>14691.726666666669</v>
      </c>
      <c r="L20" s="13"/>
      <c r="M20" s="13"/>
      <c r="N20" s="13"/>
      <c r="O20" s="13"/>
    </row>
    <row r="21" spans="1:15" ht="45.75" customHeight="1" x14ac:dyDescent="0.25">
      <c r="A21" s="11" t="s">
        <v>181</v>
      </c>
      <c r="B21" s="4">
        <v>1</v>
      </c>
      <c r="C21" s="4" t="s">
        <v>59</v>
      </c>
      <c r="D21" s="5">
        <v>3</v>
      </c>
      <c r="E21" s="5">
        <v>5</v>
      </c>
      <c r="F21" s="15">
        <v>24</v>
      </c>
      <c r="G21" s="13">
        <v>4803.8999999999996</v>
      </c>
      <c r="H21" s="13">
        <f>F21*2.2</f>
        <v>52.800000000000004</v>
      </c>
      <c r="I21" s="13">
        <f>+G21-H21</f>
        <v>4751.0999999999995</v>
      </c>
      <c r="J21" s="13"/>
      <c r="K21" s="13">
        <f>+I21*(108.5/(100+E21))</f>
        <v>4909.47</v>
      </c>
      <c r="L21" s="13"/>
      <c r="M21" s="13"/>
      <c r="N21" s="13"/>
      <c r="O21" s="13"/>
    </row>
    <row r="22" spans="1:15" ht="30.75" customHeight="1" x14ac:dyDescent="0.25">
      <c r="A22" s="16" t="s">
        <v>21</v>
      </c>
      <c r="B22" s="4"/>
      <c r="C22" s="4"/>
      <c r="D22" s="4"/>
      <c r="E22" s="13"/>
      <c r="F22" s="17">
        <f>SUM(F20:F21)</f>
        <v>96</v>
      </c>
      <c r="G22" s="18">
        <f>SUM(G20:G21)</f>
        <v>19180.099999999999</v>
      </c>
      <c r="H22" s="18">
        <f>SUM(H20:H21)</f>
        <v>211.20000000000002</v>
      </c>
      <c r="I22" s="18">
        <f>SUM(I20:I21)</f>
        <v>18968.900000000001</v>
      </c>
      <c r="J22" s="18"/>
      <c r="K22" s="18">
        <f>SUM(K20:K21)</f>
        <v>19601.19666666667</v>
      </c>
      <c r="L22" s="18"/>
      <c r="M22" s="13"/>
      <c r="N22" s="13"/>
      <c r="O22" s="13"/>
    </row>
    <row r="23" spans="1:15" ht="14.25" customHeight="1" x14ac:dyDescent="0.25">
      <c r="A23" s="19"/>
      <c r="B23" s="20"/>
      <c r="C23" s="20"/>
      <c r="D23" s="20"/>
      <c r="E23" s="21"/>
      <c r="F23" s="22"/>
      <c r="G23" s="22"/>
      <c r="H23" s="22"/>
      <c r="I23" s="22"/>
      <c r="J23" s="22"/>
      <c r="K23" s="22"/>
      <c r="L23" s="22"/>
      <c r="M23" s="21"/>
      <c r="N23" s="21"/>
      <c r="O23" s="21"/>
    </row>
    <row r="24" spans="1:15" ht="14.4" x14ac:dyDescent="0.3">
      <c r="A24" s="109" t="s">
        <v>56</v>
      </c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</row>
    <row r="25" spans="1:15" ht="11.25" customHeight="1" x14ac:dyDescent="0.25"/>
    <row r="26" spans="1:15" x14ac:dyDescent="0.25">
      <c r="A26" s="6" t="s">
        <v>22</v>
      </c>
      <c r="D26" s="24">
        <f>+I22</f>
        <v>18968.900000000001</v>
      </c>
    </row>
    <row r="27" spans="1:15" x14ac:dyDescent="0.25">
      <c r="D27" s="25"/>
      <c r="G27" s="23"/>
      <c r="H27" s="23"/>
      <c r="I27" s="23"/>
      <c r="J27" s="23"/>
      <c r="K27" s="23"/>
    </row>
    <row r="28" spans="1:15" x14ac:dyDescent="0.25">
      <c r="A28" s="6" t="s">
        <v>23</v>
      </c>
      <c r="D28" s="24">
        <f>+K22</f>
        <v>19601.19666666667</v>
      </c>
    </row>
    <row r="29" spans="1:15" ht="11.25" customHeight="1" x14ac:dyDescent="0.25">
      <c r="D29" s="24"/>
    </row>
    <row r="30" spans="1:15" ht="10.5" customHeight="1" x14ac:dyDescent="0.25"/>
    <row r="31" spans="1:15" x14ac:dyDescent="0.25">
      <c r="A31" s="95" t="s">
        <v>25</v>
      </c>
      <c r="B31" s="95"/>
      <c r="C31" s="95"/>
      <c r="D31" s="95"/>
      <c r="E31" s="95"/>
      <c r="F31" s="95"/>
      <c r="G31" s="95"/>
    </row>
    <row r="32" spans="1:15" ht="9.75" customHeight="1" x14ac:dyDescent="0.25"/>
    <row r="33" spans="1:15" x14ac:dyDescent="0.25">
      <c r="A33" s="95" t="s">
        <v>82</v>
      </c>
      <c r="B33" s="95"/>
      <c r="C33" s="95"/>
      <c r="D33" s="95"/>
      <c r="E33" s="95"/>
      <c r="F33" s="95"/>
      <c r="G33" s="95"/>
    </row>
    <row r="34" spans="1:15" ht="12" customHeight="1" x14ac:dyDescent="0.25"/>
    <row r="35" spans="1:15" x14ac:dyDescent="0.25">
      <c r="A35" s="95" t="s">
        <v>26</v>
      </c>
      <c r="B35" s="95"/>
      <c r="C35" s="95"/>
      <c r="D35" s="95"/>
      <c r="E35" s="95"/>
      <c r="F35" s="95"/>
      <c r="G35" s="95"/>
      <c r="I35" s="95"/>
      <c r="J35" s="95"/>
      <c r="K35" s="95"/>
      <c r="L35" s="95"/>
      <c r="M35" s="95"/>
      <c r="N35" s="95"/>
      <c r="O35" s="95"/>
    </row>
    <row r="36" spans="1:15" ht="11.25" customHeight="1" x14ac:dyDescent="0.25"/>
    <row r="37" spans="1:15" x14ac:dyDescent="0.25">
      <c r="A37" s="110" t="s">
        <v>119</v>
      </c>
      <c r="B37" s="110"/>
      <c r="C37" s="110"/>
      <c r="D37" s="110"/>
      <c r="E37" s="110"/>
      <c r="F37" s="110"/>
      <c r="G37" s="110"/>
      <c r="I37" s="100" t="s">
        <v>46</v>
      </c>
      <c r="J37" s="100"/>
      <c r="K37" s="100"/>
      <c r="L37" s="100"/>
      <c r="M37" s="100"/>
      <c r="N37" s="100"/>
      <c r="O37" s="100"/>
    </row>
  </sheetData>
  <mergeCells count="23">
    <mergeCell ref="A18:O18"/>
    <mergeCell ref="A15:A16"/>
    <mergeCell ref="B15:B16"/>
    <mergeCell ref="C15:C16"/>
    <mergeCell ref="D15:D16"/>
    <mergeCell ref="E15:E16"/>
    <mergeCell ref="F15:I15"/>
    <mergeCell ref="A37:G37"/>
    <mergeCell ref="I37:O37"/>
    <mergeCell ref="A1:O1"/>
    <mergeCell ref="A9:N9"/>
    <mergeCell ref="A11:N11"/>
    <mergeCell ref="A12:N12"/>
    <mergeCell ref="I13:K13"/>
    <mergeCell ref="A24:O24"/>
    <mergeCell ref="A31:G31"/>
    <mergeCell ref="A33:G33"/>
    <mergeCell ref="A35:G35"/>
    <mergeCell ref="I35:O35"/>
    <mergeCell ref="J15:J16"/>
    <mergeCell ref="K15:K16"/>
    <mergeCell ref="L15:M15"/>
    <mergeCell ref="N15:O15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4">
    <tabColor rgb="FF00B050"/>
  </sheetPr>
  <dimension ref="A1:O41"/>
  <sheetViews>
    <sheetView topLeftCell="A4" workbookViewId="0">
      <selection activeCell="A23" sqref="A23:K25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182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96" t="s">
        <v>86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</row>
    <row r="3" spans="1:15" x14ac:dyDescent="0.25">
      <c r="A3" s="7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7" t="s">
        <v>179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5" x14ac:dyDescent="0.25">
      <c r="A5" s="8" t="s">
        <v>41</v>
      </c>
      <c r="B5" s="8"/>
      <c r="C5" s="8"/>
      <c r="D5" s="8"/>
      <c r="E5" s="8"/>
      <c r="F5" s="8"/>
      <c r="G5" s="8"/>
      <c r="H5" s="8"/>
      <c r="I5" s="8"/>
      <c r="J5" s="3" t="s">
        <v>38</v>
      </c>
      <c r="K5" s="2"/>
      <c r="L5" s="2"/>
      <c r="M5" s="2"/>
      <c r="N5" s="2"/>
    </row>
    <row r="6" spans="1:15" x14ac:dyDescent="0.25">
      <c r="A6" s="6" t="s">
        <v>42</v>
      </c>
      <c r="F6" s="9"/>
      <c r="G6" s="9"/>
      <c r="H6" s="9"/>
      <c r="I6" s="9"/>
      <c r="J6" s="3"/>
      <c r="K6" s="3"/>
      <c r="L6" s="1"/>
      <c r="M6" s="1"/>
      <c r="N6" s="1"/>
    </row>
    <row r="7" spans="1:15" x14ac:dyDescent="0.25">
      <c r="A7" s="9" t="s">
        <v>140</v>
      </c>
      <c r="B7" s="9"/>
      <c r="C7" s="9"/>
      <c r="D7" s="9"/>
      <c r="E7" s="9"/>
      <c r="F7" s="9"/>
      <c r="G7" s="9"/>
      <c r="H7" s="9"/>
      <c r="I7" s="9"/>
      <c r="J7" s="3" t="s">
        <v>77</v>
      </c>
      <c r="K7" s="1"/>
      <c r="L7" s="1"/>
      <c r="M7" s="1"/>
      <c r="N7" s="1"/>
    </row>
    <row r="8" spans="1:15" x14ac:dyDescent="0.25">
      <c r="A8" s="9" t="s">
        <v>43</v>
      </c>
      <c r="B8" s="9"/>
      <c r="C8" s="9"/>
      <c r="D8" s="9"/>
      <c r="E8" s="9"/>
      <c r="F8" s="9"/>
      <c r="G8" s="9"/>
      <c r="H8" s="9"/>
      <c r="I8" s="9"/>
      <c r="J8" s="3" t="s">
        <v>39</v>
      </c>
      <c r="K8" s="1"/>
      <c r="L8" s="1"/>
      <c r="M8" s="1"/>
      <c r="N8" s="1"/>
    </row>
    <row r="9" spans="1:15" x14ac:dyDescent="0.25">
      <c r="A9" s="9" t="s">
        <v>1</v>
      </c>
      <c r="B9" s="9"/>
      <c r="C9" s="9"/>
      <c r="D9" s="9"/>
      <c r="E9" s="9"/>
      <c r="J9" s="3"/>
      <c r="K9" s="3"/>
      <c r="L9" s="3"/>
      <c r="M9" s="3"/>
      <c r="N9" s="3"/>
    </row>
    <row r="10" spans="1:15" x14ac:dyDescent="0.25">
      <c r="A10" s="97" t="s">
        <v>69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</row>
    <row r="11" spans="1:15" x14ac:dyDescent="0.25">
      <c r="A11" s="10" t="s">
        <v>70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</row>
    <row r="12" spans="1:15" x14ac:dyDescent="0.25">
      <c r="A12" s="98" t="s">
        <v>71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A13" s="6" t="s">
        <v>43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</row>
    <row r="14" spans="1:15" x14ac:dyDescent="0.25">
      <c r="A14" s="98" t="s">
        <v>72</v>
      </c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</row>
    <row r="15" spans="1:15" x14ac:dyDescent="0.25">
      <c r="A15" s="37" t="s">
        <v>73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</row>
    <row r="16" spans="1:15" x14ac:dyDescent="0.25">
      <c r="I16" s="98" t="s">
        <v>18</v>
      </c>
      <c r="J16" s="98"/>
      <c r="K16" s="98"/>
      <c r="L16" s="6" t="s">
        <v>24</v>
      </c>
    </row>
    <row r="17" spans="1:15" x14ac:dyDescent="0.25">
      <c r="A17" s="6" t="s">
        <v>183</v>
      </c>
      <c r="I17" s="6" t="s">
        <v>19</v>
      </c>
      <c r="L17" s="37">
        <v>4</v>
      </c>
    </row>
    <row r="18" spans="1:15" ht="16.5" customHeight="1" x14ac:dyDescent="0.25">
      <c r="A18" s="104" t="s">
        <v>2</v>
      </c>
      <c r="B18" s="104" t="s">
        <v>3</v>
      </c>
      <c r="C18" s="104" t="s">
        <v>4</v>
      </c>
      <c r="D18" s="104" t="s">
        <v>5</v>
      </c>
      <c r="E18" s="104" t="s">
        <v>6</v>
      </c>
      <c r="F18" s="101" t="s">
        <v>7</v>
      </c>
      <c r="G18" s="102"/>
      <c r="H18" s="102"/>
      <c r="I18" s="103"/>
      <c r="J18" s="104" t="s">
        <v>12</v>
      </c>
      <c r="K18" s="104" t="s">
        <v>13</v>
      </c>
      <c r="L18" s="101" t="s">
        <v>14</v>
      </c>
      <c r="M18" s="103"/>
      <c r="N18" s="101" t="s">
        <v>15</v>
      </c>
      <c r="O18" s="103"/>
    </row>
    <row r="19" spans="1:15" ht="27.6" x14ac:dyDescent="0.25">
      <c r="A19" s="105"/>
      <c r="B19" s="105"/>
      <c r="C19" s="105"/>
      <c r="D19" s="105"/>
      <c r="E19" s="105"/>
      <c r="F19" s="4" t="s">
        <v>8</v>
      </c>
      <c r="G19" s="4" t="s">
        <v>9</v>
      </c>
      <c r="H19" s="4" t="s">
        <v>10</v>
      </c>
      <c r="I19" s="4" t="s">
        <v>11</v>
      </c>
      <c r="J19" s="105"/>
      <c r="K19" s="105"/>
      <c r="L19" s="4" t="s">
        <v>16</v>
      </c>
      <c r="M19" s="4" t="s">
        <v>17</v>
      </c>
      <c r="N19" s="4" t="s">
        <v>16</v>
      </c>
      <c r="O19" s="4" t="s">
        <v>17</v>
      </c>
    </row>
    <row r="20" spans="1:15" x14ac:dyDescent="0.25">
      <c r="A20" s="4">
        <v>1</v>
      </c>
      <c r="B20" s="4">
        <v>2</v>
      </c>
      <c r="C20" s="4">
        <v>3</v>
      </c>
      <c r="D20" s="4">
        <v>4</v>
      </c>
      <c r="E20" s="4">
        <v>5</v>
      </c>
      <c r="F20" s="4">
        <v>6</v>
      </c>
      <c r="G20" s="4">
        <v>7</v>
      </c>
      <c r="H20" s="4">
        <v>8</v>
      </c>
      <c r="I20" s="4">
        <v>9</v>
      </c>
      <c r="J20" s="4">
        <v>10</v>
      </c>
      <c r="K20" s="4">
        <v>11</v>
      </c>
      <c r="L20" s="4">
        <v>12</v>
      </c>
      <c r="M20" s="4">
        <v>13</v>
      </c>
      <c r="N20" s="4">
        <v>14</v>
      </c>
      <c r="O20" s="4">
        <v>15</v>
      </c>
    </row>
    <row r="21" spans="1:15" x14ac:dyDescent="0.25">
      <c r="A21" s="106" t="s">
        <v>20</v>
      </c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8"/>
    </row>
    <row r="22" spans="1:15" ht="32.25" customHeight="1" x14ac:dyDescent="0.25">
      <c r="A22" s="11" t="s">
        <v>80</v>
      </c>
      <c r="B22" s="12"/>
      <c r="C22" s="4"/>
      <c r="D22" s="4"/>
      <c r="E22" s="4"/>
      <c r="F22" s="4"/>
      <c r="G22" s="13"/>
      <c r="H22" s="13"/>
      <c r="I22" s="13"/>
      <c r="J22" s="14"/>
      <c r="K22" s="14"/>
      <c r="L22" s="14"/>
      <c r="M22" s="14"/>
      <c r="N22" s="14"/>
      <c r="O22" s="14"/>
    </row>
    <row r="23" spans="1:15" ht="39" customHeight="1" x14ac:dyDescent="0.25">
      <c r="A23" s="11" t="s">
        <v>184</v>
      </c>
      <c r="B23" s="4">
        <v>1</v>
      </c>
      <c r="C23" s="4" t="s">
        <v>27</v>
      </c>
      <c r="D23" s="5">
        <v>2.5</v>
      </c>
      <c r="E23" s="5">
        <v>5</v>
      </c>
      <c r="F23" s="15">
        <v>56</v>
      </c>
      <c r="G23" s="13">
        <v>11239.5</v>
      </c>
      <c r="H23" s="13">
        <f>F23*2.2</f>
        <v>123.20000000000002</v>
      </c>
      <c r="I23" s="13">
        <f>+G23-H23</f>
        <v>11116.3</v>
      </c>
      <c r="J23" s="13"/>
      <c r="K23" s="13">
        <f>+I23*(108.5/(100+E23))</f>
        <v>11486.843333333334</v>
      </c>
      <c r="L23" s="13"/>
      <c r="M23" s="13"/>
      <c r="N23" s="13"/>
      <c r="O23" s="13"/>
    </row>
    <row r="24" spans="1:15" ht="39" customHeight="1" x14ac:dyDescent="0.25">
      <c r="A24" s="11" t="s">
        <v>185</v>
      </c>
      <c r="B24" s="4">
        <v>1</v>
      </c>
      <c r="C24" s="4" t="s">
        <v>27</v>
      </c>
      <c r="D24" s="5">
        <v>2.5</v>
      </c>
      <c r="E24" s="5">
        <v>5</v>
      </c>
      <c r="F24" s="15">
        <v>28</v>
      </c>
      <c r="G24" s="13">
        <v>5619.6</v>
      </c>
      <c r="H24" s="13">
        <f>F24*2.2</f>
        <v>61.600000000000009</v>
      </c>
      <c r="I24" s="13">
        <f>+G24-H24</f>
        <v>5558</v>
      </c>
      <c r="J24" s="13"/>
      <c r="K24" s="13">
        <f>+I24*(108.5/(100+E24))</f>
        <v>5743.2666666666673</v>
      </c>
      <c r="L24" s="13"/>
      <c r="M24" s="13"/>
      <c r="N24" s="13"/>
      <c r="O24" s="13"/>
    </row>
    <row r="25" spans="1:15" ht="39" customHeight="1" x14ac:dyDescent="0.25">
      <c r="A25" s="11" t="s">
        <v>186</v>
      </c>
      <c r="B25" s="4">
        <v>1</v>
      </c>
      <c r="C25" s="4" t="s">
        <v>27</v>
      </c>
      <c r="D25" s="5">
        <v>2.5</v>
      </c>
      <c r="E25" s="5">
        <v>5</v>
      </c>
      <c r="F25" s="15">
        <v>12</v>
      </c>
      <c r="G25" s="13">
        <v>2373.6</v>
      </c>
      <c r="H25" s="13">
        <f>F25*2.2</f>
        <v>26.400000000000002</v>
      </c>
      <c r="I25" s="13">
        <f>+G25-H25</f>
        <v>2347.1999999999998</v>
      </c>
      <c r="J25" s="13"/>
      <c r="K25" s="13">
        <f>+I25*(108.5/(100+E25))</f>
        <v>2425.44</v>
      </c>
      <c r="L25" s="13"/>
      <c r="M25" s="13"/>
      <c r="N25" s="13"/>
      <c r="O25" s="13"/>
    </row>
    <row r="26" spans="1:15" ht="30.75" customHeight="1" x14ac:dyDescent="0.25">
      <c r="A26" s="16" t="s">
        <v>21</v>
      </c>
      <c r="B26" s="4"/>
      <c r="C26" s="4"/>
      <c r="D26" s="4"/>
      <c r="E26" s="13"/>
      <c r="F26" s="17">
        <f>SUM(F23:F25)</f>
        <v>96</v>
      </c>
      <c r="G26" s="18">
        <f>SUM(G23:G25)</f>
        <v>19232.699999999997</v>
      </c>
      <c r="H26" s="18">
        <f>SUM(H23:H25)</f>
        <v>211.20000000000002</v>
      </c>
      <c r="I26" s="18">
        <f>SUM(I23:I25)</f>
        <v>19021.5</v>
      </c>
      <c r="J26" s="18"/>
      <c r="K26" s="18">
        <f>SUM(K23:K25)</f>
        <v>19655.55</v>
      </c>
      <c r="L26" s="18"/>
      <c r="M26" s="13"/>
      <c r="N26" s="13"/>
      <c r="O26" s="13"/>
    </row>
    <row r="27" spans="1:15" ht="14.25" customHeight="1" x14ac:dyDescent="0.25">
      <c r="A27" s="19"/>
      <c r="B27" s="20"/>
      <c r="C27" s="20"/>
      <c r="D27" s="20"/>
      <c r="E27" s="21"/>
      <c r="F27" s="22"/>
      <c r="G27" s="22"/>
      <c r="H27" s="22"/>
      <c r="I27" s="22"/>
      <c r="J27" s="22"/>
      <c r="K27" s="22"/>
      <c r="L27" s="22"/>
      <c r="M27" s="21"/>
      <c r="N27" s="21"/>
      <c r="O27" s="21"/>
    </row>
    <row r="28" spans="1:15" ht="14.4" x14ac:dyDescent="0.3">
      <c r="A28" s="109" t="s">
        <v>113</v>
      </c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</row>
    <row r="29" spans="1:15" ht="11.25" customHeight="1" x14ac:dyDescent="0.25"/>
    <row r="30" spans="1:15" x14ac:dyDescent="0.25">
      <c r="A30" s="6" t="s">
        <v>22</v>
      </c>
      <c r="D30" s="24">
        <f>+I26</f>
        <v>19021.5</v>
      </c>
    </row>
    <row r="31" spans="1:15" x14ac:dyDescent="0.25">
      <c r="D31" s="25"/>
      <c r="G31" s="23"/>
      <c r="H31" s="23"/>
      <c r="I31" s="23"/>
      <c r="J31" s="23"/>
      <c r="K31" s="23"/>
    </row>
    <row r="32" spans="1:15" x14ac:dyDescent="0.25">
      <c r="A32" s="6" t="s">
        <v>23</v>
      </c>
      <c r="D32" s="24">
        <f>+G26</f>
        <v>19232.699999999997</v>
      </c>
    </row>
    <row r="33" spans="1:15" ht="11.25" customHeight="1" x14ac:dyDescent="0.25">
      <c r="D33" s="24"/>
    </row>
    <row r="34" spans="1:15" ht="10.5" customHeight="1" x14ac:dyDescent="0.25"/>
    <row r="35" spans="1:15" x14ac:dyDescent="0.25">
      <c r="A35" s="95" t="s">
        <v>25</v>
      </c>
      <c r="B35" s="95"/>
      <c r="C35" s="95"/>
      <c r="D35" s="95"/>
      <c r="E35" s="95"/>
      <c r="F35" s="95"/>
      <c r="G35" s="95"/>
    </row>
    <row r="36" spans="1:15" ht="9.75" customHeight="1" x14ac:dyDescent="0.25"/>
    <row r="37" spans="1:15" x14ac:dyDescent="0.25">
      <c r="A37" s="95" t="s">
        <v>82</v>
      </c>
      <c r="B37" s="95"/>
      <c r="C37" s="95"/>
      <c r="D37" s="95"/>
      <c r="E37" s="95"/>
      <c r="F37" s="95"/>
      <c r="G37" s="95"/>
    </row>
    <row r="38" spans="1:15" ht="12" customHeight="1" x14ac:dyDescent="0.25"/>
    <row r="39" spans="1:15" x14ac:dyDescent="0.25">
      <c r="A39" s="95" t="s">
        <v>26</v>
      </c>
      <c r="B39" s="95"/>
      <c r="C39" s="95"/>
      <c r="D39" s="95"/>
      <c r="E39" s="95"/>
      <c r="F39" s="95"/>
      <c r="G39" s="95"/>
      <c r="I39" s="95"/>
      <c r="J39" s="95"/>
      <c r="K39" s="95"/>
      <c r="L39" s="95"/>
      <c r="M39" s="95"/>
      <c r="N39" s="95"/>
      <c r="O39" s="95"/>
    </row>
    <row r="40" spans="1:15" ht="11.25" customHeight="1" x14ac:dyDescent="0.25"/>
    <row r="41" spans="1:15" x14ac:dyDescent="0.25">
      <c r="A41" s="110" t="s">
        <v>40</v>
      </c>
      <c r="B41" s="110"/>
      <c r="C41" s="110"/>
      <c r="D41" s="110"/>
      <c r="E41" s="110"/>
      <c r="F41" s="110"/>
      <c r="G41" s="110"/>
      <c r="I41" s="100" t="s">
        <v>87</v>
      </c>
      <c r="J41" s="100"/>
      <c r="K41" s="100"/>
      <c r="L41" s="100"/>
      <c r="M41" s="100"/>
      <c r="N41" s="100"/>
      <c r="O41" s="100"/>
    </row>
  </sheetData>
  <mergeCells count="24">
    <mergeCell ref="A35:G35"/>
    <mergeCell ref="A37:G37"/>
    <mergeCell ref="A39:G39"/>
    <mergeCell ref="I39:O39"/>
    <mergeCell ref="A41:G41"/>
    <mergeCell ref="I41:O41"/>
    <mergeCell ref="A28:O28"/>
    <mergeCell ref="A18:A19"/>
    <mergeCell ref="B18:B19"/>
    <mergeCell ref="C18:C19"/>
    <mergeCell ref="D18:D19"/>
    <mergeCell ref="E18:E19"/>
    <mergeCell ref="F18:I18"/>
    <mergeCell ref="J18:J19"/>
    <mergeCell ref="K18:K19"/>
    <mergeCell ref="L18:M18"/>
    <mergeCell ref="N18:O18"/>
    <mergeCell ref="A21:O21"/>
    <mergeCell ref="I16:K16"/>
    <mergeCell ref="A1:O1"/>
    <mergeCell ref="A2:O2"/>
    <mergeCell ref="A10:N10"/>
    <mergeCell ref="A12:N12"/>
    <mergeCell ref="A14:N14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5">
    <tabColor rgb="FFFFFF00"/>
  </sheetPr>
  <dimension ref="A1:O37"/>
  <sheetViews>
    <sheetView workbookViewId="0">
      <selection activeCell="A20" sqref="A20:K21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188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5" x14ac:dyDescent="0.25">
      <c r="A3" s="7" t="s">
        <v>193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8" t="s">
        <v>41</v>
      </c>
      <c r="B4" s="8"/>
      <c r="C4" s="8"/>
      <c r="D4" s="8"/>
      <c r="E4" s="8"/>
      <c r="F4" s="8"/>
      <c r="G4" s="8"/>
      <c r="H4" s="8"/>
      <c r="I4" s="8"/>
      <c r="J4" s="3" t="s">
        <v>48</v>
      </c>
      <c r="K4" s="2"/>
      <c r="L4" s="2"/>
      <c r="M4" s="2"/>
      <c r="N4" s="2"/>
    </row>
    <row r="5" spans="1:15" x14ac:dyDescent="0.25">
      <c r="A5" s="6" t="s">
        <v>42</v>
      </c>
      <c r="F5" s="9"/>
      <c r="G5" s="9"/>
      <c r="H5" s="9"/>
      <c r="I5" s="9"/>
      <c r="J5" s="3"/>
      <c r="K5" s="3"/>
      <c r="L5" s="1"/>
      <c r="M5" s="1"/>
      <c r="N5" s="1"/>
    </row>
    <row r="6" spans="1:15" x14ac:dyDescent="0.25">
      <c r="A6" s="9" t="s">
        <v>68</v>
      </c>
      <c r="B6" s="9"/>
      <c r="C6" s="9"/>
      <c r="D6" s="9"/>
      <c r="E6" s="9"/>
      <c r="F6" s="9"/>
      <c r="G6" s="9"/>
      <c r="H6" s="9"/>
      <c r="I6" s="9"/>
      <c r="J6" s="3" t="s">
        <v>51</v>
      </c>
      <c r="K6" s="1"/>
      <c r="L6" s="1"/>
      <c r="M6" s="1"/>
      <c r="N6" s="1"/>
    </row>
    <row r="7" spans="1:15" x14ac:dyDescent="0.25">
      <c r="A7" s="9" t="s">
        <v>43</v>
      </c>
      <c r="B7" s="9"/>
      <c r="C7" s="9"/>
      <c r="D7" s="9"/>
      <c r="E7" s="9"/>
      <c r="F7" s="9"/>
      <c r="G7" s="9"/>
      <c r="H7" s="9"/>
      <c r="I7" s="9"/>
      <c r="J7" s="3" t="s">
        <v>49</v>
      </c>
      <c r="K7" s="1"/>
      <c r="L7" s="1"/>
      <c r="M7" s="1"/>
      <c r="N7" s="1"/>
    </row>
    <row r="8" spans="1:15" x14ac:dyDescent="0.25">
      <c r="A8" s="9" t="s">
        <v>1</v>
      </c>
      <c r="B8" s="9"/>
      <c r="C8" s="9"/>
      <c r="D8" s="9"/>
      <c r="E8" s="9"/>
      <c r="J8" s="3"/>
      <c r="K8" s="3"/>
      <c r="L8" s="3"/>
      <c r="M8" s="3"/>
      <c r="N8" s="3"/>
    </row>
    <row r="9" spans="1:15" x14ac:dyDescent="0.25">
      <c r="A9" s="97" t="s">
        <v>44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</row>
    <row r="10" spans="1:15" x14ac:dyDescent="0.25">
      <c r="A10" s="10" t="s">
        <v>45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</row>
    <row r="11" spans="1:15" x14ac:dyDescent="0.25">
      <c r="A11" s="98" t="s">
        <v>140</v>
      </c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</row>
    <row r="12" spans="1:15" x14ac:dyDescent="0.25">
      <c r="A12" s="98" t="s">
        <v>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I13" s="98" t="s">
        <v>18</v>
      </c>
      <c r="J13" s="98"/>
      <c r="K13" s="98"/>
      <c r="L13" s="6" t="s">
        <v>79</v>
      </c>
    </row>
    <row r="14" spans="1:15" x14ac:dyDescent="0.25">
      <c r="A14" s="6" t="s">
        <v>189</v>
      </c>
      <c r="I14" s="6" t="s">
        <v>19</v>
      </c>
      <c r="L14" s="37">
        <v>4</v>
      </c>
    </row>
    <row r="15" spans="1:15" ht="16.5" customHeight="1" x14ac:dyDescent="0.25">
      <c r="A15" s="104" t="s">
        <v>2</v>
      </c>
      <c r="B15" s="104" t="s">
        <v>3</v>
      </c>
      <c r="C15" s="104" t="s">
        <v>4</v>
      </c>
      <c r="D15" s="104" t="s">
        <v>5</v>
      </c>
      <c r="E15" s="104" t="s">
        <v>6</v>
      </c>
      <c r="F15" s="101" t="s">
        <v>7</v>
      </c>
      <c r="G15" s="102"/>
      <c r="H15" s="102"/>
      <c r="I15" s="103"/>
      <c r="J15" s="104" t="s">
        <v>12</v>
      </c>
      <c r="K15" s="104" t="s">
        <v>13</v>
      </c>
      <c r="L15" s="101" t="s">
        <v>14</v>
      </c>
      <c r="M15" s="103"/>
      <c r="N15" s="101" t="s">
        <v>15</v>
      </c>
      <c r="O15" s="103"/>
    </row>
    <row r="16" spans="1:15" ht="27.6" x14ac:dyDescent="0.25">
      <c r="A16" s="105"/>
      <c r="B16" s="105"/>
      <c r="C16" s="105"/>
      <c r="D16" s="105"/>
      <c r="E16" s="105"/>
      <c r="F16" s="4" t="s">
        <v>8</v>
      </c>
      <c r="G16" s="4" t="s">
        <v>9</v>
      </c>
      <c r="H16" s="4" t="s">
        <v>10</v>
      </c>
      <c r="I16" s="4" t="s">
        <v>11</v>
      </c>
      <c r="J16" s="105"/>
      <c r="K16" s="105"/>
      <c r="L16" s="4" t="s">
        <v>16</v>
      </c>
      <c r="M16" s="4" t="s">
        <v>17</v>
      </c>
      <c r="N16" s="4" t="s">
        <v>16</v>
      </c>
      <c r="O16" s="4" t="s">
        <v>17</v>
      </c>
    </row>
    <row r="17" spans="1:15" x14ac:dyDescent="0.25">
      <c r="A17" s="4">
        <v>1</v>
      </c>
      <c r="B17" s="4">
        <v>2</v>
      </c>
      <c r="C17" s="4">
        <v>3</v>
      </c>
      <c r="D17" s="4">
        <v>4</v>
      </c>
      <c r="E17" s="4">
        <v>5</v>
      </c>
      <c r="F17" s="4">
        <v>6</v>
      </c>
      <c r="G17" s="4">
        <v>7</v>
      </c>
      <c r="H17" s="4">
        <v>8</v>
      </c>
      <c r="I17" s="4">
        <v>9</v>
      </c>
      <c r="J17" s="4">
        <v>10</v>
      </c>
      <c r="K17" s="4">
        <v>11</v>
      </c>
      <c r="L17" s="4">
        <v>12</v>
      </c>
      <c r="M17" s="4">
        <v>13</v>
      </c>
      <c r="N17" s="4">
        <v>14</v>
      </c>
      <c r="O17" s="4">
        <v>15</v>
      </c>
    </row>
    <row r="18" spans="1:15" x14ac:dyDescent="0.25">
      <c r="A18" s="106" t="s">
        <v>20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8"/>
    </row>
    <row r="19" spans="1:15" ht="32.25" customHeight="1" x14ac:dyDescent="0.25">
      <c r="A19" s="11" t="s">
        <v>80</v>
      </c>
      <c r="B19" s="12"/>
      <c r="C19" s="4"/>
      <c r="D19" s="4"/>
      <c r="E19" s="4"/>
      <c r="F19" s="4"/>
      <c r="G19" s="13"/>
      <c r="H19" s="13"/>
      <c r="I19" s="13"/>
      <c r="J19" s="14"/>
      <c r="K19" s="14"/>
      <c r="L19" s="14"/>
      <c r="M19" s="14"/>
      <c r="N19" s="14"/>
      <c r="O19" s="14"/>
    </row>
    <row r="20" spans="1:15" ht="45.75" customHeight="1" x14ac:dyDescent="0.25">
      <c r="A20" s="11" t="s">
        <v>190</v>
      </c>
      <c r="B20" s="4">
        <v>1</v>
      </c>
      <c r="C20" s="4" t="s">
        <v>59</v>
      </c>
      <c r="D20" s="5">
        <v>3</v>
      </c>
      <c r="E20" s="5">
        <v>5</v>
      </c>
      <c r="F20" s="15">
        <v>32</v>
      </c>
      <c r="G20" s="13">
        <v>7115.6</v>
      </c>
      <c r="H20" s="13">
        <f>F20*2.4</f>
        <v>76.8</v>
      </c>
      <c r="I20" s="13">
        <f>+G20-H20</f>
        <v>7038.8</v>
      </c>
      <c r="J20" s="13"/>
      <c r="K20" s="13">
        <f>+I20*(108.5/(100+E20))</f>
        <v>7273.4266666666672</v>
      </c>
      <c r="L20" s="13"/>
      <c r="M20" s="13"/>
      <c r="N20" s="13"/>
      <c r="O20" s="13"/>
    </row>
    <row r="21" spans="1:15" ht="45.75" customHeight="1" x14ac:dyDescent="0.25">
      <c r="A21" s="11" t="s">
        <v>191</v>
      </c>
      <c r="B21" s="4">
        <v>1</v>
      </c>
      <c r="C21" s="4" t="s">
        <v>27</v>
      </c>
      <c r="D21" s="5">
        <v>2.5</v>
      </c>
      <c r="E21" s="5">
        <v>5</v>
      </c>
      <c r="F21" s="15">
        <v>58</v>
      </c>
      <c r="G21" s="13">
        <v>12367.4</v>
      </c>
      <c r="H21" s="13">
        <f>F21*2.4</f>
        <v>139.19999999999999</v>
      </c>
      <c r="I21" s="13">
        <f>+G21-H21</f>
        <v>12228.199999999999</v>
      </c>
      <c r="J21" s="13"/>
      <c r="K21" s="13">
        <f>+I21*(108.5/(100+E21))</f>
        <v>12635.806666666667</v>
      </c>
      <c r="L21" s="13"/>
      <c r="M21" s="13"/>
      <c r="N21" s="13"/>
      <c r="O21" s="13"/>
    </row>
    <row r="22" spans="1:15" ht="30.75" customHeight="1" x14ac:dyDescent="0.25">
      <c r="A22" s="16" t="s">
        <v>21</v>
      </c>
      <c r="B22" s="4"/>
      <c r="C22" s="4"/>
      <c r="D22" s="4"/>
      <c r="E22" s="13"/>
      <c r="F22" s="17">
        <f>SUM(F20:F21)</f>
        <v>90</v>
      </c>
      <c r="G22" s="18">
        <f>SUM(G20:G21)</f>
        <v>19483</v>
      </c>
      <c r="H22" s="18">
        <f>SUM(H20:H21)</f>
        <v>216</v>
      </c>
      <c r="I22" s="18">
        <f>SUM(I20:I21)</f>
        <v>19267</v>
      </c>
      <c r="J22" s="18"/>
      <c r="K22" s="18">
        <f>SUM(K20:K21)</f>
        <v>19909.233333333334</v>
      </c>
      <c r="L22" s="18"/>
      <c r="M22" s="13"/>
      <c r="N22" s="13"/>
      <c r="O22" s="13"/>
    </row>
    <row r="23" spans="1:15" ht="14.25" customHeight="1" x14ac:dyDescent="0.25">
      <c r="A23" s="19"/>
      <c r="B23" s="20"/>
      <c r="C23" s="20"/>
      <c r="D23" s="20"/>
      <c r="E23" s="21"/>
      <c r="F23" s="22"/>
      <c r="G23" s="22"/>
      <c r="H23" s="22"/>
      <c r="I23" s="22"/>
      <c r="J23" s="22"/>
      <c r="K23" s="22"/>
      <c r="L23" s="22"/>
      <c r="M23" s="21"/>
      <c r="N23" s="21"/>
      <c r="O23" s="21"/>
    </row>
    <row r="24" spans="1:15" ht="14.4" x14ac:dyDescent="0.3">
      <c r="A24" s="109" t="s">
        <v>192</v>
      </c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</row>
    <row r="25" spans="1:15" ht="11.25" customHeight="1" x14ac:dyDescent="0.25"/>
    <row r="26" spans="1:15" x14ac:dyDescent="0.25">
      <c r="A26" s="6" t="s">
        <v>22</v>
      </c>
      <c r="D26" s="24">
        <f>+I22</f>
        <v>19267</v>
      </c>
    </row>
    <row r="27" spans="1:15" x14ac:dyDescent="0.25">
      <c r="D27" s="25"/>
      <c r="G27" s="23"/>
      <c r="H27" s="23"/>
      <c r="I27" s="23"/>
      <c r="J27" s="23"/>
      <c r="K27" s="23"/>
    </row>
    <row r="28" spans="1:15" x14ac:dyDescent="0.25">
      <c r="A28" s="6" t="s">
        <v>23</v>
      </c>
      <c r="D28" s="24">
        <f>+K22</f>
        <v>19909.233333333334</v>
      </c>
    </row>
    <row r="29" spans="1:15" ht="11.25" customHeight="1" x14ac:dyDescent="0.25">
      <c r="D29" s="24"/>
    </row>
    <row r="30" spans="1:15" ht="10.5" customHeight="1" x14ac:dyDescent="0.25"/>
    <row r="31" spans="1:15" x14ac:dyDescent="0.25">
      <c r="A31" s="95" t="s">
        <v>25</v>
      </c>
      <c r="B31" s="95"/>
      <c r="C31" s="95"/>
      <c r="D31" s="95"/>
      <c r="E31" s="95"/>
      <c r="F31" s="95"/>
      <c r="G31" s="95"/>
    </row>
    <row r="32" spans="1:15" ht="9.75" customHeight="1" x14ac:dyDescent="0.25"/>
    <row r="33" spans="1:15" x14ac:dyDescent="0.25">
      <c r="A33" s="95" t="s">
        <v>82</v>
      </c>
      <c r="B33" s="95"/>
      <c r="C33" s="95"/>
      <c r="D33" s="95"/>
      <c r="E33" s="95"/>
      <c r="F33" s="95"/>
      <c r="G33" s="95"/>
    </row>
    <row r="34" spans="1:15" ht="12" customHeight="1" x14ac:dyDescent="0.25"/>
    <row r="35" spans="1:15" x14ac:dyDescent="0.25">
      <c r="A35" s="95" t="s">
        <v>26</v>
      </c>
      <c r="B35" s="95"/>
      <c r="C35" s="95"/>
      <c r="D35" s="95"/>
      <c r="E35" s="95"/>
      <c r="F35" s="95"/>
      <c r="G35" s="95"/>
      <c r="I35" s="95"/>
      <c r="J35" s="95"/>
      <c r="K35" s="95"/>
      <c r="L35" s="95"/>
      <c r="M35" s="95"/>
      <c r="N35" s="95"/>
      <c r="O35" s="95"/>
    </row>
    <row r="36" spans="1:15" ht="11.25" customHeight="1" x14ac:dyDescent="0.25"/>
    <row r="37" spans="1:15" x14ac:dyDescent="0.25">
      <c r="A37" s="110" t="s">
        <v>50</v>
      </c>
      <c r="B37" s="110"/>
      <c r="C37" s="110"/>
      <c r="D37" s="110"/>
      <c r="E37" s="110"/>
      <c r="F37" s="110"/>
      <c r="G37" s="110"/>
      <c r="I37" s="100" t="s">
        <v>46</v>
      </c>
      <c r="J37" s="100"/>
      <c r="K37" s="100"/>
      <c r="L37" s="100"/>
      <c r="M37" s="100"/>
      <c r="N37" s="100"/>
      <c r="O37" s="100"/>
    </row>
  </sheetData>
  <mergeCells count="23">
    <mergeCell ref="A35:G35"/>
    <mergeCell ref="I35:O35"/>
    <mergeCell ref="A37:G37"/>
    <mergeCell ref="I37:O37"/>
    <mergeCell ref="F15:I15"/>
    <mergeCell ref="J15:J16"/>
    <mergeCell ref="K15:K16"/>
    <mergeCell ref="L15:M15"/>
    <mergeCell ref="N15:O15"/>
    <mergeCell ref="A18:O18"/>
    <mergeCell ref="A15:A16"/>
    <mergeCell ref="B15:B16"/>
    <mergeCell ref="C15:C16"/>
    <mergeCell ref="D15:D16"/>
    <mergeCell ref="E15:E16"/>
    <mergeCell ref="A24:O24"/>
    <mergeCell ref="A31:G31"/>
    <mergeCell ref="A33:G33"/>
    <mergeCell ref="A1:O1"/>
    <mergeCell ref="A9:N9"/>
    <mergeCell ref="A11:N11"/>
    <mergeCell ref="A12:N12"/>
    <mergeCell ref="I13:K13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6">
    <tabColor rgb="FFFFFF00"/>
  </sheetPr>
  <dimension ref="A1:O37"/>
  <sheetViews>
    <sheetView workbookViewId="0">
      <selection activeCell="A20" sqref="A20:K21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194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5" x14ac:dyDescent="0.25">
      <c r="A3" s="7" t="s">
        <v>193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8" t="s">
        <v>41</v>
      </c>
      <c r="B4" s="8"/>
      <c r="C4" s="8"/>
      <c r="D4" s="8"/>
      <c r="E4" s="8"/>
      <c r="F4" s="8"/>
      <c r="G4" s="8"/>
      <c r="H4" s="8"/>
      <c r="I4" s="8"/>
      <c r="J4" s="1" t="s">
        <v>74</v>
      </c>
      <c r="K4" s="2"/>
      <c r="L4" s="2"/>
      <c r="M4" s="2"/>
      <c r="N4" s="2"/>
    </row>
    <row r="5" spans="1:15" x14ac:dyDescent="0.25">
      <c r="A5" s="6" t="s">
        <v>42</v>
      </c>
      <c r="F5" s="9"/>
      <c r="G5" s="9"/>
      <c r="H5" s="9"/>
      <c r="I5" s="9"/>
      <c r="J5" s="3"/>
      <c r="K5" s="3"/>
      <c r="L5" s="1"/>
      <c r="M5" s="1"/>
      <c r="N5" s="1"/>
    </row>
    <row r="6" spans="1:15" x14ac:dyDescent="0.25">
      <c r="A6" s="9" t="s">
        <v>68</v>
      </c>
      <c r="B6" s="9"/>
      <c r="C6" s="9"/>
      <c r="D6" s="9"/>
      <c r="E6" s="9"/>
      <c r="F6" s="9"/>
      <c r="G6" s="9"/>
      <c r="H6" s="9"/>
      <c r="I6" s="9"/>
      <c r="J6" s="1" t="s">
        <v>75</v>
      </c>
      <c r="K6" s="1"/>
      <c r="L6" s="1"/>
      <c r="M6" s="1"/>
      <c r="N6" s="1"/>
    </row>
    <row r="7" spans="1:15" x14ac:dyDescent="0.25">
      <c r="A7" s="9" t="s">
        <v>43</v>
      </c>
      <c r="B7" s="9"/>
      <c r="C7" s="9"/>
      <c r="D7" s="9"/>
      <c r="E7" s="9"/>
      <c r="F7" s="9"/>
      <c r="G7" s="9"/>
      <c r="H7" s="9"/>
      <c r="I7" s="9"/>
      <c r="J7" s="1" t="s">
        <v>76</v>
      </c>
      <c r="K7" s="1"/>
      <c r="L7" s="1"/>
      <c r="M7" s="1"/>
      <c r="N7" s="1"/>
    </row>
    <row r="8" spans="1:15" x14ac:dyDescent="0.25">
      <c r="A8" s="9" t="s">
        <v>1</v>
      </c>
      <c r="B8" s="9"/>
      <c r="C8" s="9"/>
      <c r="D8" s="9"/>
      <c r="E8" s="9"/>
      <c r="J8" s="3"/>
      <c r="K8" s="3"/>
      <c r="L8" s="3"/>
      <c r="M8" s="3"/>
      <c r="N8" s="3"/>
    </row>
    <row r="9" spans="1:15" x14ac:dyDescent="0.25">
      <c r="A9" s="97" t="s">
        <v>44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</row>
    <row r="10" spans="1:15" x14ac:dyDescent="0.25">
      <c r="A10" s="10" t="s">
        <v>45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</row>
    <row r="11" spans="1:15" x14ac:dyDescent="0.25">
      <c r="A11" s="98" t="s">
        <v>140</v>
      </c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</row>
    <row r="12" spans="1:15" x14ac:dyDescent="0.25">
      <c r="A12" s="98" t="s">
        <v>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I13" s="98" t="s">
        <v>18</v>
      </c>
      <c r="J13" s="98"/>
      <c r="K13" s="98"/>
      <c r="L13" s="6" t="s">
        <v>79</v>
      </c>
    </row>
    <row r="14" spans="1:15" x14ac:dyDescent="0.25">
      <c r="A14" s="6" t="s">
        <v>195</v>
      </c>
      <c r="I14" s="6" t="s">
        <v>19</v>
      </c>
      <c r="L14" s="37">
        <v>4</v>
      </c>
    </row>
    <row r="15" spans="1:15" ht="16.5" customHeight="1" x14ac:dyDescent="0.25">
      <c r="A15" s="104" t="s">
        <v>2</v>
      </c>
      <c r="B15" s="104" t="s">
        <v>3</v>
      </c>
      <c r="C15" s="104" t="s">
        <v>4</v>
      </c>
      <c r="D15" s="104" t="s">
        <v>5</v>
      </c>
      <c r="E15" s="104" t="s">
        <v>6</v>
      </c>
      <c r="F15" s="101" t="s">
        <v>7</v>
      </c>
      <c r="G15" s="102"/>
      <c r="H15" s="102"/>
      <c r="I15" s="103"/>
      <c r="J15" s="104" t="s">
        <v>12</v>
      </c>
      <c r="K15" s="104" t="s">
        <v>13</v>
      </c>
      <c r="L15" s="101" t="s">
        <v>14</v>
      </c>
      <c r="M15" s="103"/>
      <c r="N15" s="101" t="s">
        <v>15</v>
      </c>
      <c r="O15" s="103"/>
    </row>
    <row r="16" spans="1:15" ht="27.6" x14ac:dyDescent="0.25">
      <c r="A16" s="105"/>
      <c r="B16" s="105"/>
      <c r="C16" s="105"/>
      <c r="D16" s="105"/>
      <c r="E16" s="105"/>
      <c r="F16" s="4" t="s">
        <v>8</v>
      </c>
      <c r="G16" s="4" t="s">
        <v>9</v>
      </c>
      <c r="H16" s="4" t="s">
        <v>10</v>
      </c>
      <c r="I16" s="4" t="s">
        <v>11</v>
      </c>
      <c r="J16" s="105"/>
      <c r="K16" s="105"/>
      <c r="L16" s="4" t="s">
        <v>16</v>
      </c>
      <c r="M16" s="4" t="s">
        <v>17</v>
      </c>
      <c r="N16" s="4" t="s">
        <v>16</v>
      </c>
      <c r="O16" s="4" t="s">
        <v>17</v>
      </c>
    </row>
    <row r="17" spans="1:15" x14ac:dyDescent="0.25">
      <c r="A17" s="4">
        <v>1</v>
      </c>
      <c r="B17" s="4">
        <v>2</v>
      </c>
      <c r="C17" s="4">
        <v>3</v>
      </c>
      <c r="D17" s="4">
        <v>4</v>
      </c>
      <c r="E17" s="4">
        <v>5</v>
      </c>
      <c r="F17" s="4">
        <v>6</v>
      </c>
      <c r="G17" s="4">
        <v>7</v>
      </c>
      <c r="H17" s="4">
        <v>8</v>
      </c>
      <c r="I17" s="4">
        <v>9</v>
      </c>
      <c r="J17" s="4">
        <v>10</v>
      </c>
      <c r="K17" s="4">
        <v>11</v>
      </c>
      <c r="L17" s="4">
        <v>12</v>
      </c>
      <c r="M17" s="4">
        <v>13</v>
      </c>
      <c r="N17" s="4">
        <v>14</v>
      </c>
      <c r="O17" s="4">
        <v>15</v>
      </c>
    </row>
    <row r="18" spans="1:15" x14ac:dyDescent="0.25">
      <c r="A18" s="106" t="s">
        <v>20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8"/>
    </row>
    <row r="19" spans="1:15" ht="32.25" customHeight="1" x14ac:dyDescent="0.25">
      <c r="A19" s="11" t="s">
        <v>80</v>
      </c>
      <c r="B19" s="12"/>
      <c r="C19" s="4"/>
      <c r="D19" s="4"/>
      <c r="E19" s="4"/>
      <c r="F19" s="4"/>
      <c r="G19" s="13"/>
      <c r="H19" s="13"/>
      <c r="I19" s="13"/>
      <c r="J19" s="14"/>
      <c r="K19" s="14"/>
      <c r="L19" s="14"/>
      <c r="M19" s="14"/>
      <c r="N19" s="14"/>
      <c r="O19" s="14"/>
    </row>
    <row r="20" spans="1:15" ht="42.75" customHeight="1" x14ac:dyDescent="0.25">
      <c r="A20" s="11" t="s">
        <v>196</v>
      </c>
      <c r="B20" s="4">
        <v>1</v>
      </c>
      <c r="C20" s="4" t="s">
        <v>27</v>
      </c>
      <c r="D20" s="5">
        <v>2.5</v>
      </c>
      <c r="E20" s="5">
        <v>5</v>
      </c>
      <c r="F20" s="15">
        <v>72</v>
      </c>
      <c r="G20" s="13">
        <v>14694.6</v>
      </c>
      <c r="H20" s="13">
        <f>F20*2.2</f>
        <v>158.4</v>
      </c>
      <c r="I20" s="13">
        <f>+G20-H20</f>
        <v>14536.2</v>
      </c>
      <c r="J20" s="13"/>
      <c r="K20" s="13">
        <f>+I20*(108.5/(100+E20))</f>
        <v>15020.740000000002</v>
      </c>
      <c r="L20" s="13"/>
      <c r="M20" s="13"/>
      <c r="N20" s="13"/>
      <c r="O20" s="13"/>
    </row>
    <row r="21" spans="1:15" ht="42.75" customHeight="1" x14ac:dyDescent="0.25">
      <c r="A21" s="11" t="s">
        <v>197</v>
      </c>
      <c r="B21" s="4">
        <v>1</v>
      </c>
      <c r="C21" s="4" t="s">
        <v>59</v>
      </c>
      <c r="D21" s="5">
        <v>3</v>
      </c>
      <c r="E21" s="5">
        <v>5</v>
      </c>
      <c r="F21" s="15">
        <v>24</v>
      </c>
      <c r="G21" s="13">
        <v>4850</v>
      </c>
      <c r="H21" s="13">
        <f>F21*2.2</f>
        <v>52.800000000000004</v>
      </c>
      <c r="I21" s="13">
        <f>+G21-H21</f>
        <v>4797.2</v>
      </c>
      <c r="J21" s="13"/>
      <c r="K21" s="13">
        <f>+I21*(108.5/(100+E21))</f>
        <v>4957.1066666666666</v>
      </c>
      <c r="L21" s="13"/>
      <c r="M21" s="13"/>
      <c r="N21" s="13"/>
      <c r="O21" s="13"/>
    </row>
    <row r="22" spans="1:15" ht="30.75" customHeight="1" x14ac:dyDescent="0.25">
      <c r="A22" s="16" t="s">
        <v>21</v>
      </c>
      <c r="B22" s="4"/>
      <c r="C22" s="4"/>
      <c r="D22" s="4"/>
      <c r="E22" s="13"/>
      <c r="F22" s="17">
        <f>SUM(F20:F21)</f>
        <v>96</v>
      </c>
      <c r="G22" s="18">
        <f>SUM(G20:G21)</f>
        <v>19544.599999999999</v>
      </c>
      <c r="H22" s="18">
        <f>SUM(H20:H21)</f>
        <v>211.20000000000002</v>
      </c>
      <c r="I22" s="18">
        <f>SUM(I20:I21)</f>
        <v>19333.400000000001</v>
      </c>
      <c r="J22" s="18"/>
      <c r="K22" s="18">
        <f>SUM(K20:K21)</f>
        <v>19977.846666666668</v>
      </c>
      <c r="L22" s="18"/>
      <c r="M22" s="13"/>
      <c r="N22" s="13"/>
      <c r="O22" s="13"/>
    </row>
    <row r="23" spans="1:15" ht="14.25" customHeight="1" x14ac:dyDescent="0.25">
      <c r="A23" s="19"/>
      <c r="B23" s="20"/>
      <c r="C23" s="20"/>
      <c r="D23" s="20"/>
      <c r="E23" s="21"/>
      <c r="F23" s="22"/>
      <c r="G23" s="22"/>
      <c r="H23" s="22"/>
      <c r="I23" s="22"/>
      <c r="J23" s="22"/>
      <c r="K23" s="22"/>
      <c r="L23" s="22"/>
      <c r="M23" s="21"/>
      <c r="N23" s="21"/>
      <c r="O23" s="21"/>
    </row>
    <row r="24" spans="1:15" ht="14.4" x14ac:dyDescent="0.3">
      <c r="A24" s="109" t="s">
        <v>56</v>
      </c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</row>
    <row r="25" spans="1:15" ht="11.25" customHeight="1" x14ac:dyDescent="0.25"/>
    <row r="26" spans="1:15" x14ac:dyDescent="0.25">
      <c r="A26" s="6" t="s">
        <v>22</v>
      </c>
      <c r="D26" s="24">
        <f>+I22</f>
        <v>19333.400000000001</v>
      </c>
    </row>
    <row r="27" spans="1:15" x14ac:dyDescent="0.25">
      <c r="D27" s="25"/>
      <c r="G27" s="23"/>
      <c r="H27" s="23"/>
      <c r="I27" s="23"/>
      <c r="J27" s="23"/>
      <c r="K27" s="23"/>
    </row>
    <row r="28" spans="1:15" x14ac:dyDescent="0.25">
      <c r="A28" s="6" t="s">
        <v>23</v>
      </c>
      <c r="D28" s="24">
        <f>+G22</f>
        <v>19544.599999999999</v>
      </c>
    </row>
    <row r="29" spans="1:15" ht="11.25" customHeight="1" x14ac:dyDescent="0.25">
      <c r="D29" s="24"/>
    </row>
    <row r="30" spans="1:15" ht="10.5" customHeight="1" x14ac:dyDescent="0.25"/>
    <row r="31" spans="1:15" x14ac:dyDescent="0.25">
      <c r="A31" s="95" t="s">
        <v>25</v>
      </c>
      <c r="B31" s="95"/>
      <c r="C31" s="95"/>
      <c r="D31" s="95"/>
      <c r="E31" s="95"/>
      <c r="F31" s="95"/>
      <c r="G31" s="95"/>
    </row>
    <row r="32" spans="1:15" ht="9.75" customHeight="1" x14ac:dyDescent="0.25"/>
    <row r="33" spans="1:15" x14ac:dyDescent="0.25">
      <c r="A33" s="95" t="s">
        <v>82</v>
      </c>
      <c r="B33" s="95"/>
      <c r="C33" s="95"/>
      <c r="D33" s="95"/>
      <c r="E33" s="95"/>
      <c r="F33" s="95"/>
      <c r="G33" s="95"/>
    </row>
    <row r="34" spans="1:15" ht="12" customHeight="1" x14ac:dyDescent="0.25"/>
    <row r="35" spans="1:15" x14ac:dyDescent="0.25">
      <c r="A35" s="95" t="s">
        <v>26</v>
      </c>
      <c r="B35" s="95"/>
      <c r="C35" s="95"/>
      <c r="D35" s="95"/>
      <c r="E35" s="95"/>
      <c r="F35" s="95"/>
      <c r="G35" s="95"/>
      <c r="I35" s="95"/>
      <c r="J35" s="95"/>
      <c r="K35" s="95"/>
      <c r="L35" s="95"/>
      <c r="M35" s="95"/>
      <c r="N35" s="95"/>
      <c r="O35" s="95"/>
    </row>
    <row r="36" spans="1:15" ht="11.25" customHeight="1" x14ac:dyDescent="0.25"/>
    <row r="37" spans="1:15" x14ac:dyDescent="0.25">
      <c r="A37" s="99" t="s">
        <v>34</v>
      </c>
      <c r="B37" s="99"/>
      <c r="C37" s="99"/>
      <c r="D37" s="99"/>
      <c r="E37" s="99"/>
      <c r="F37" s="99"/>
      <c r="G37" s="99"/>
      <c r="I37" s="100" t="s">
        <v>46</v>
      </c>
      <c r="J37" s="100"/>
      <c r="K37" s="100"/>
      <c r="L37" s="100"/>
      <c r="M37" s="100"/>
      <c r="N37" s="100"/>
      <c r="O37" s="100"/>
    </row>
  </sheetData>
  <mergeCells count="23">
    <mergeCell ref="A35:G35"/>
    <mergeCell ref="I35:O35"/>
    <mergeCell ref="A37:G37"/>
    <mergeCell ref="I37:O37"/>
    <mergeCell ref="F15:I15"/>
    <mergeCell ref="J15:J16"/>
    <mergeCell ref="K15:K16"/>
    <mergeCell ref="L15:M15"/>
    <mergeCell ref="N15:O15"/>
    <mergeCell ref="A18:O18"/>
    <mergeCell ref="A15:A16"/>
    <mergeCell ref="B15:B16"/>
    <mergeCell ref="C15:C16"/>
    <mergeCell ref="D15:D16"/>
    <mergeCell ref="E15:E16"/>
    <mergeCell ref="A24:O24"/>
    <mergeCell ref="A31:G31"/>
    <mergeCell ref="A33:G33"/>
    <mergeCell ref="A1:O1"/>
    <mergeCell ref="A9:N9"/>
    <mergeCell ref="A11:N11"/>
    <mergeCell ref="A12:N12"/>
    <mergeCell ref="I13:K13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7">
    <tabColor rgb="FF00B050"/>
  </sheetPr>
  <dimension ref="A1:O40"/>
  <sheetViews>
    <sheetView workbookViewId="0">
      <selection activeCell="J5" sqref="J5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198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96" t="s">
        <v>86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</row>
    <row r="3" spans="1:15" x14ac:dyDescent="0.25">
      <c r="A3" s="7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7" t="s">
        <v>193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5" x14ac:dyDescent="0.25">
      <c r="A5" s="8" t="s">
        <v>41</v>
      </c>
      <c r="B5" s="8"/>
      <c r="C5" s="8"/>
      <c r="D5" s="8"/>
      <c r="E5" s="8"/>
      <c r="F5" s="8"/>
      <c r="G5" s="8"/>
      <c r="H5" s="8"/>
      <c r="I5" s="8"/>
      <c r="J5" s="3" t="s">
        <v>38</v>
      </c>
      <c r="K5" s="2"/>
      <c r="L5" s="2"/>
      <c r="M5" s="2"/>
      <c r="N5" s="2"/>
    </row>
    <row r="6" spans="1:15" x14ac:dyDescent="0.25">
      <c r="A6" s="6" t="s">
        <v>42</v>
      </c>
      <c r="F6" s="9"/>
      <c r="G6" s="9"/>
      <c r="H6" s="9"/>
      <c r="I6" s="9"/>
      <c r="J6" s="3"/>
      <c r="K6" s="3"/>
      <c r="L6" s="1"/>
      <c r="M6" s="1"/>
      <c r="N6" s="1"/>
    </row>
    <row r="7" spans="1:15" x14ac:dyDescent="0.25">
      <c r="A7" s="9" t="s">
        <v>140</v>
      </c>
      <c r="B7" s="9"/>
      <c r="C7" s="9"/>
      <c r="D7" s="9"/>
      <c r="E7" s="9"/>
      <c r="F7" s="9"/>
      <c r="G7" s="9"/>
      <c r="H7" s="9"/>
      <c r="I7" s="9"/>
      <c r="J7" s="3" t="s">
        <v>77</v>
      </c>
      <c r="K7" s="1"/>
      <c r="L7" s="1"/>
      <c r="M7" s="1"/>
      <c r="N7" s="1"/>
    </row>
    <row r="8" spans="1:15" x14ac:dyDescent="0.25">
      <c r="A8" s="9" t="s">
        <v>43</v>
      </c>
      <c r="B8" s="9"/>
      <c r="C8" s="9"/>
      <c r="D8" s="9"/>
      <c r="E8" s="9"/>
      <c r="F8" s="9"/>
      <c r="G8" s="9"/>
      <c r="H8" s="9"/>
      <c r="I8" s="9"/>
      <c r="J8" s="3" t="s">
        <v>39</v>
      </c>
      <c r="K8" s="1"/>
      <c r="L8" s="1"/>
      <c r="M8" s="1"/>
      <c r="N8" s="1"/>
    </row>
    <row r="9" spans="1:15" x14ac:dyDescent="0.25">
      <c r="A9" s="9" t="s">
        <v>1</v>
      </c>
      <c r="B9" s="9"/>
      <c r="C9" s="9"/>
      <c r="D9" s="9"/>
      <c r="E9" s="9"/>
      <c r="J9" s="3"/>
      <c r="K9" s="3"/>
      <c r="L9" s="3"/>
      <c r="M9" s="3"/>
      <c r="N9" s="3"/>
    </row>
    <row r="10" spans="1:15" x14ac:dyDescent="0.25">
      <c r="A10" s="97" t="s">
        <v>69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</row>
    <row r="11" spans="1:15" x14ac:dyDescent="0.25">
      <c r="A11" s="10" t="s">
        <v>70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</row>
    <row r="12" spans="1:15" x14ac:dyDescent="0.25">
      <c r="A12" s="98" t="s">
        <v>71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A13" s="6" t="s">
        <v>43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</row>
    <row r="14" spans="1:15" x14ac:dyDescent="0.25">
      <c r="A14" s="98" t="s">
        <v>72</v>
      </c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</row>
    <row r="15" spans="1:15" x14ac:dyDescent="0.25">
      <c r="A15" s="37" t="s">
        <v>73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</row>
    <row r="16" spans="1:15" x14ac:dyDescent="0.25">
      <c r="I16" s="98" t="s">
        <v>18</v>
      </c>
      <c r="J16" s="98"/>
      <c r="K16" s="98"/>
      <c r="L16" s="6" t="s">
        <v>24</v>
      </c>
    </row>
    <row r="17" spans="1:15" x14ac:dyDescent="0.25">
      <c r="A17" s="6" t="s">
        <v>199</v>
      </c>
      <c r="I17" s="6" t="s">
        <v>19</v>
      </c>
      <c r="L17" s="37">
        <v>4</v>
      </c>
    </row>
    <row r="18" spans="1:15" ht="16.5" customHeight="1" x14ac:dyDescent="0.25">
      <c r="A18" s="104" t="s">
        <v>2</v>
      </c>
      <c r="B18" s="104" t="s">
        <v>3</v>
      </c>
      <c r="C18" s="104" t="s">
        <v>4</v>
      </c>
      <c r="D18" s="104" t="s">
        <v>5</v>
      </c>
      <c r="E18" s="104" t="s">
        <v>6</v>
      </c>
      <c r="F18" s="101" t="s">
        <v>7</v>
      </c>
      <c r="G18" s="102"/>
      <c r="H18" s="102"/>
      <c r="I18" s="103"/>
      <c r="J18" s="104" t="s">
        <v>12</v>
      </c>
      <c r="K18" s="104" t="s">
        <v>13</v>
      </c>
      <c r="L18" s="101" t="s">
        <v>14</v>
      </c>
      <c r="M18" s="103"/>
      <c r="N18" s="101" t="s">
        <v>15</v>
      </c>
      <c r="O18" s="103"/>
    </row>
    <row r="19" spans="1:15" ht="27.6" x14ac:dyDescent="0.25">
      <c r="A19" s="105"/>
      <c r="B19" s="105"/>
      <c r="C19" s="105"/>
      <c r="D19" s="105"/>
      <c r="E19" s="105"/>
      <c r="F19" s="4" t="s">
        <v>8</v>
      </c>
      <c r="G19" s="4" t="s">
        <v>9</v>
      </c>
      <c r="H19" s="4" t="s">
        <v>10</v>
      </c>
      <c r="I19" s="4" t="s">
        <v>11</v>
      </c>
      <c r="J19" s="105"/>
      <c r="K19" s="105"/>
      <c r="L19" s="4" t="s">
        <v>16</v>
      </c>
      <c r="M19" s="4" t="s">
        <v>17</v>
      </c>
      <c r="N19" s="4" t="s">
        <v>16</v>
      </c>
      <c r="O19" s="4" t="s">
        <v>17</v>
      </c>
    </row>
    <row r="20" spans="1:15" x14ac:dyDescent="0.25">
      <c r="A20" s="4">
        <v>1</v>
      </c>
      <c r="B20" s="4">
        <v>2</v>
      </c>
      <c r="C20" s="4">
        <v>3</v>
      </c>
      <c r="D20" s="4">
        <v>4</v>
      </c>
      <c r="E20" s="4">
        <v>5</v>
      </c>
      <c r="F20" s="4">
        <v>6</v>
      </c>
      <c r="G20" s="4">
        <v>7</v>
      </c>
      <c r="H20" s="4">
        <v>8</v>
      </c>
      <c r="I20" s="4">
        <v>9</v>
      </c>
      <c r="J20" s="4">
        <v>10</v>
      </c>
      <c r="K20" s="4">
        <v>11</v>
      </c>
      <c r="L20" s="4">
        <v>12</v>
      </c>
      <c r="M20" s="4">
        <v>13</v>
      </c>
      <c r="N20" s="4">
        <v>14</v>
      </c>
      <c r="O20" s="4">
        <v>15</v>
      </c>
    </row>
    <row r="21" spans="1:15" x14ac:dyDescent="0.25">
      <c r="A21" s="106" t="s">
        <v>20</v>
      </c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8"/>
    </row>
    <row r="22" spans="1:15" ht="32.25" customHeight="1" x14ac:dyDescent="0.25">
      <c r="A22" s="11" t="s">
        <v>80</v>
      </c>
      <c r="B22" s="12"/>
      <c r="C22" s="4"/>
      <c r="D22" s="4"/>
      <c r="E22" s="4"/>
      <c r="F22" s="4"/>
      <c r="G22" s="13"/>
      <c r="H22" s="13"/>
      <c r="I22" s="13"/>
      <c r="J22" s="14"/>
      <c r="K22" s="14"/>
      <c r="L22" s="14"/>
      <c r="M22" s="14"/>
      <c r="N22" s="14"/>
      <c r="O22" s="14"/>
    </row>
    <row r="23" spans="1:15" ht="39" customHeight="1" x14ac:dyDescent="0.25">
      <c r="A23" s="11" t="s">
        <v>200</v>
      </c>
      <c r="B23" s="4">
        <v>1</v>
      </c>
      <c r="C23" s="4" t="s">
        <v>27</v>
      </c>
      <c r="D23" s="5">
        <v>2.5</v>
      </c>
      <c r="E23" s="5">
        <v>5</v>
      </c>
      <c r="F23" s="15">
        <v>31</v>
      </c>
      <c r="G23" s="13">
        <v>6201</v>
      </c>
      <c r="H23" s="13">
        <f>F23*2.2</f>
        <v>68.2</v>
      </c>
      <c r="I23" s="13">
        <f>+G23-H23</f>
        <v>6132.8</v>
      </c>
      <c r="J23" s="13"/>
      <c r="K23" s="13">
        <f>+I23*(108.5/(100+E23))</f>
        <v>6337.2266666666674</v>
      </c>
      <c r="L23" s="13"/>
      <c r="M23" s="13"/>
      <c r="N23" s="13"/>
      <c r="O23" s="13"/>
    </row>
    <row r="24" spans="1:15" ht="39" customHeight="1" x14ac:dyDescent="0.25">
      <c r="A24" s="11" t="s">
        <v>201</v>
      </c>
      <c r="B24" s="4">
        <v>1</v>
      </c>
      <c r="C24" s="4" t="s">
        <v>59</v>
      </c>
      <c r="D24" s="5">
        <v>3</v>
      </c>
      <c r="E24" s="5">
        <v>5</v>
      </c>
      <c r="F24" s="15">
        <v>65</v>
      </c>
      <c r="G24" s="13">
        <v>13031.2</v>
      </c>
      <c r="H24" s="13">
        <f>F24*2.2</f>
        <v>143</v>
      </c>
      <c r="I24" s="13">
        <f>+G24-H24</f>
        <v>12888.2</v>
      </c>
      <c r="J24" s="13"/>
      <c r="K24" s="13">
        <f>+I24*(108.5/(100+E24))</f>
        <v>13317.806666666669</v>
      </c>
      <c r="L24" s="13"/>
      <c r="M24" s="13"/>
      <c r="N24" s="13"/>
      <c r="O24" s="13"/>
    </row>
    <row r="25" spans="1:15" ht="30.75" customHeight="1" x14ac:dyDescent="0.25">
      <c r="A25" s="16" t="s">
        <v>21</v>
      </c>
      <c r="B25" s="4"/>
      <c r="C25" s="4"/>
      <c r="D25" s="4"/>
      <c r="E25" s="13"/>
      <c r="F25" s="17">
        <f>SUM(F23:F24)</f>
        <v>96</v>
      </c>
      <c r="G25" s="18">
        <f>SUM(G23:G24)</f>
        <v>19232.2</v>
      </c>
      <c r="H25" s="18">
        <f>SUM(H23:H24)</f>
        <v>211.2</v>
      </c>
      <c r="I25" s="18">
        <f>SUM(I23:I24)</f>
        <v>19021</v>
      </c>
      <c r="J25" s="18"/>
      <c r="K25" s="18">
        <f>SUM(K23:K24)</f>
        <v>19655.033333333336</v>
      </c>
      <c r="L25" s="18"/>
      <c r="M25" s="13"/>
      <c r="N25" s="13"/>
      <c r="O25" s="13"/>
    </row>
    <row r="26" spans="1:15" ht="14.25" customHeight="1" x14ac:dyDescent="0.25">
      <c r="A26" s="19"/>
      <c r="B26" s="20"/>
      <c r="C26" s="20"/>
      <c r="D26" s="20"/>
      <c r="E26" s="21"/>
      <c r="F26" s="22"/>
      <c r="G26" s="22"/>
      <c r="H26" s="22"/>
      <c r="I26" s="22"/>
      <c r="J26" s="22"/>
      <c r="K26" s="22"/>
      <c r="L26" s="22"/>
      <c r="M26" s="21"/>
      <c r="N26" s="21"/>
      <c r="O26" s="21"/>
    </row>
    <row r="27" spans="1:15" ht="14.4" x14ac:dyDescent="0.3">
      <c r="A27" s="109" t="s">
        <v>56</v>
      </c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</row>
    <row r="28" spans="1:15" ht="11.25" customHeight="1" x14ac:dyDescent="0.25"/>
    <row r="29" spans="1:15" x14ac:dyDescent="0.25">
      <c r="A29" s="6" t="s">
        <v>22</v>
      </c>
      <c r="D29" s="24">
        <f>+I25</f>
        <v>19021</v>
      </c>
    </row>
    <row r="30" spans="1:15" x14ac:dyDescent="0.25">
      <c r="D30" s="25"/>
      <c r="G30" s="23"/>
      <c r="H30" s="23"/>
      <c r="I30" s="23"/>
      <c r="J30" s="23"/>
      <c r="K30" s="23"/>
    </row>
    <row r="31" spans="1:15" x14ac:dyDescent="0.25">
      <c r="A31" s="6" t="s">
        <v>23</v>
      </c>
      <c r="D31" s="24">
        <f>+G25</f>
        <v>19232.2</v>
      </c>
    </row>
    <row r="32" spans="1:15" ht="11.25" customHeight="1" x14ac:dyDescent="0.25">
      <c r="D32" s="24"/>
    </row>
    <row r="33" spans="1:15" ht="10.5" customHeight="1" x14ac:dyDescent="0.25"/>
    <row r="34" spans="1:15" x14ac:dyDescent="0.25">
      <c r="A34" s="95" t="s">
        <v>25</v>
      </c>
      <c r="B34" s="95"/>
      <c r="C34" s="95"/>
      <c r="D34" s="95"/>
      <c r="E34" s="95"/>
      <c r="F34" s="95"/>
      <c r="G34" s="95"/>
    </row>
    <row r="35" spans="1:15" ht="9.75" customHeight="1" x14ac:dyDescent="0.25"/>
    <row r="36" spans="1:15" x14ac:dyDescent="0.25">
      <c r="A36" s="95" t="s">
        <v>82</v>
      </c>
      <c r="B36" s="95"/>
      <c r="C36" s="95"/>
      <c r="D36" s="95"/>
      <c r="E36" s="95"/>
      <c r="F36" s="95"/>
      <c r="G36" s="95"/>
    </row>
    <row r="37" spans="1:15" ht="12" customHeight="1" x14ac:dyDescent="0.25"/>
    <row r="38" spans="1:15" x14ac:dyDescent="0.25">
      <c r="A38" s="95" t="s">
        <v>26</v>
      </c>
      <c r="B38" s="95"/>
      <c r="C38" s="95"/>
      <c r="D38" s="95"/>
      <c r="E38" s="95"/>
      <c r="F38" s="95"/>
      <c r="G38" s="95"/>
      <c r="I38" s="95"/>
      <c r="J38" s="95"/>
      <c r="K38" s="95"/>
      <c r="L38" s="95"/>
      <c r="M38" s="95"/>
      <c r="N38" s="95"/>
      <c r="O38" s="95"/>
    </row>
    <row r="39" spans="1:15" ht="11.25" customHeight="1" x14ac:dyDescent="0.25"/>
    <row r="40" spans="1:15" x14ac:dyDescent="0.25">
      <c r="A40" s="110" t="s">
        <v>40</v>
      </c>
      <c r="B40" s="110"/>
      <c r="C40" s="110"/>
      <c r="D40" s="110"/>
      <c r="E40" s="110"/>
      <c r="F40" s="110"/>
      <c r="G40" s="110"/>
      <c r="I40" s="100" t="s">
        <v>87</v>
      </c>
      <c r="J40" s="100"/>
      <c r="K40" s="100"/>
      <c r="L40" s="100"/>
      <c r="M40" s="100"/>
      <c r="N40" s="100"/>
      <c r="O40" s="100"/>
    </row>
  </sheetData>
  <mergeCells count="24">
    <mergeCell ref="A34:G34"/>
    <mergeCell ref="A36:G36"/>
    <mergeCell ref="A38:G38"/>
    <mergeCell ref="I38:O38"/>
    <mergeCell ref="A40:G40"/>
    <mergeCell ref="I40:O40"/>
    <mergeCell ref="A27:O27"/>
    <mergeCell ref="A18:A19"/>
    <mergeCell ref="B18:B19"/>
    <mergeCell ref="C18:C19"/>
    <mergeCell ref="D18:D19"/>
    <mergeCell ref="E18:E19"/>
    <mergeCell ref="F18:I18"/>
    <mergeCell ref="J18:J19"/>
    <mergeCell ref="K18:K19"/>
    <mergeCell ref="L18:M18"/>
    <mergeCell ref="N18:O18"/>
    <mergeCell ref="A21:O21"/>
    <mergeCell ref="I16:K16"/>
    <mergeCell ref="A1:O1"/>
    <mergeCell ref="A2:O2"/>
    <mergeCell ref="A10:N10"/>
    <mergeCell ref="A12:N12"/>
    <mergeCell ref="A14:N14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8">
    <tabColor rgb="FF00B050"/>
  </sheetPr>
  <dimension ref="A1:O40"/>
  <sheetViews>
    <sheetView topLeftCell="A4" workbookViewId="0">
      <selection activeCell="A23" sqref="A23:K24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202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96" t="s">
        <v>86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</row>
    <row r="3" spans="1:15" x14ac:dyDescent="0.25">
      <c r="A3" s="7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7" t="s">
        <v>203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5" x14ac:dyDescent="0.25">
      <c r="A5" s="8" t="s">
        <v>41</v>
      </c>
      <c r="B5" s="8"/>
      <c r="C5" s="8"/>
      <c r="D5" s="8"/>
      <c r="E5" s="8"/>
      <c r="F5" s="8"/>
      <c r="G5" s="8"/>
      <c r="H5" s="8"/>
      <c r="I5" s="8"/>
      <c r="J5" s="1" t="s">
        <v>74</v>
      </c>
      <c r="K5" s="2"/>
      <c r="L5" s="2"/>
      <c r="M5" s="2"/>
      <c r="N5" s="2"/>
    </row>
    <row r="6" spans="1:15" x14ac:dyDescent="0.25">
      <c r="A6" s="6" t="s">
        <v>42</v>
      </c>
      <c r="F6" s="9"/>
      <c r="G6" s="9"/>
      <c r="H6" s="9"/>
      <c r="I6" s="9"/>
      <c r="J6" s="3"/>
      <c r="K6" s="3"/>
      <c r="L6" s="1"/>
      <c r="M6" s="1"/>
      <c r="N6" s="1"/>
    </row>
    <row r="7" spans="1:15" x14ac:dyDescent="0.25">
      <c r="A7" s="9" t="s">
        <v>140</v>
      </c>
      <c r="B7" s="9"/>
      <c r="C7" s="9"/>
      <c r="D7" s="9"/>
      <c r="E7" s="9"/>
      <c r="F7" s="9"/>
      <c r="G7" s="9"/>
      <c r="H7" s="9"/>
      <c r="I7" s="9"/>
      <c r="J7" s="1" t="s">
        <v>75</v>
      </c>
      <c r="K7" s="1"/>
      <c r="L7" s="1"/>
      <c r="M7" s="1"/>
      <c r="N7" s="1"/>
    </row>
    <row r="8" spans="1:15" x14ac:dyDescent="0.25">
      <c r="A8" s="9" t="s">
        <v>43</v>
      </c>
      <c r="B8" s="9"/>
      <c r="C8" s="9"/>
      <c r="D8" s="9"/>
      <c r="E8" s="9"/>
      <c r="F8" s="9"/>
      <c r="G8" s="9"/>
      <c r="H8" s="9"/>
      <c r="I8" s="9"/>
      <c r="J8" s="1" t="s">
        <v>76</v>
      </c>
      <c r="K8" s="1"/>
      <c r="L8" s="1"/>
      <c r="M8" s="1"/>
      <c r="N8" s="1"/>
    </row>
    <row r="9" spans="1:15" x14ac:dyDescent="0.25">
      <c r="A9" s="9" t="s">
        <v>1</v>
      </c>
      <c r="B9" s="9"/>
      <c r="C9" s="9"/>
      <c r="D9" s="9"/>
      <c r="E9" s="9"/>
      <c r="J9" s="3"/>
      <c r="K9" s="3"/>
      <c r="L9" s="3"/>
      <c r="M9" s="3"/>
      <c r="N9" s="3"/>
    </row>
    <row r="10" spans="1:15" x14ac:dyDescent="0.25">
      <c r="A10" s="97" t="s">
        <v>69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</row>
    <row r="11" spans="1:15" x14ac:dyDescent="0.25">
      <c r="A11" s="10" t="s">
        <v>70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</row>
    <row r="12" spans="1:15" x14ac:dyDescent="0.25">
      <c r="A12" s="98" t="s">
        <v>71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A13" s="6" t="s">
        <v>43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</row>
    <row r="14" spans="1:15" x14ac:dyDescent="0.25">
      <c r="A14" s="98" t="s">
        <v>72</v>
      </c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</row>
    <row r="15" spans="1:15" x14ac:dyDescent="0.25">
      <c r="A15" s="37" t="s">
        <v>73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</row>
    <row r="16" spans="1:15" x14ac:dyDescent="0.25">
      <c r="I16" s="98" t="s">
        <v>18</v>
      </c>
      <c r="J16" s="98"/>
      <c r="K16" s="98"/>
      <c r="L16" s="6" t="s">
        <v>24</v>
      </c>
    </row>
    <row r="17" spans="1:15" x14ac:dyDescent="0.25">
      <c r="A17" s="6" t="s">
        <v>199</v>
      </c>
      <c r="I17" s="6" t="s">
        <v>19</v>
      </c>
      <c r="L17" s="37">
        <v>4</v>
      </c>
    </row>
    <row r="18" spans="1:15" ht="16.5" customHeight="1" x14ac:dyDescent="0.25">
      <c r="A18" s="104" t="s">
        <v>2</v>
      </c>
      <c r="B18" s="104" t="s">
        <v>3</v>
      </c>
      <c r="C18" s="104" t="s">
        <v>4</v>
      </c>
      <c r="D18" s="104" t="s">
        <v>5</v>
      </c>
      <c r="E18" s="104" t="s">
        <v>6</v>
      </c>
      <c r="F18" s="101" t="s">
        <v>7</v>
      </c>
      <c r="G18" s="102"/>
      <c r="H18" s="102"/>
      <c r="I18" s="103"/>
      <c r="J18" s="104" t="s">
        <v>12</v>
      </c>
      <c r="K18" s="104" t="s">
        <v>13</v>
      </c>
      <c r="L18" s="101" t="s">
        <v>14</v>
      </c>
      <c r="M18" s="103"/>
      <c r="N18" s="101" t="s">
        <v>15</v>
      </c>
      <c r="O18" s="103"/>
    </row>
    <row r="19" spans="1:15" ht="27.6" x14ac:dyDescent="0.25">
      <c r="A19" s="105"/>
      <c r="B19" s="105"/>
      <c r="C19" s="105"/>
      <c r="D19" s="105"/>
      <c r="E19" s="105"/>
      <c r="F19" s="4" t="s">
        <v>8</v>
      </c>
      <c r="G19" s="4" t="s">
        <v>9</v>
      </c>
      <c r="H19" s="4" t="s">
        <v>10</v>
      </c>
      <c r="I19" s="4" t="s">
        <v>11</v>
      </c>
      <c r="J19" s="105"/>
      <c r="K19" s="105"/>
      <c r="L19" s="4" t="s">
        <v>16</v>
      </c>
      <c r="M19" s="4" t="s">
        <v>17</v>
      </c>
      <c r="N19" s="4" t="s">
        <v>16</v>
      </c>
      <c r="O19" s="4" t="s">
        <v>17</v>
      </c>
    </row>
    <row r="20" spans="1:15" x14ac:dyDescent="0.25">
      <c r="A20" s="4">
        <v>1</v>
      </c>
      <c r="B20" s="4">
        <v>2</v>
      </c>
      <c r="C20" s="4">
        <v>3</v>
      </c>
      <c r="D20" s="4">
        <v>4</v>
      </c>
      <c r="E20" s="4">
        <v>5</v>
      </c>
      <c r="F20" s="4">
        <v>6</v>
      </c>
      <c r="G20" s="4">
        <v>7</v>
      </c>
      <c r="H20" s="4">
        <v>8</v>
      </c>
      <c r="I20" s="4">
        <v>9</v>
      </c>
      <c r="J20" s="4">
        <v>10</v>
      </c>
      <c r="K20" s="4">
        <v>11</v>
      </c>
      <c r="L20" s="4">
        <v>12</v>
      </c>
      <c r="M20" s="4">
        <v>13</v>
      </c>
      <c r="N20" s="4">
        <v>14</v>
      </c>
      <c r="O20" s="4">
        <v>15</v>
      </c>
    </row>
    <row r="21" spans="1:15" x14ac:dyDescent="0.25">
      <c r="A21" s="106" t="s">
        <v>20</v>
      </c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8"/>
    </row>
    <row r="22" spans="1:15" ht="32.25" customHeight="1" x14ac:dyDescent="0.25">
      <c r="A22" s="11" t="s">
        <v>80</v>
      </c>
      <c r="B22" s="12"/>
      <c r="C22" s="4"/>
      <c r="D22" s="4"/>
      <c r="E22" s="4"/>
      <c r="F22" s="4"/>
      <c r="G22" s="13"/>
      <c r="H22" s="13"/>
      <c r="I22" s="13"/>
      <c r="J22" s="14"/>
      <c r="K22" s="14"/>
      <c r="L22" s="14"/>
      <c r="M22" s="14"/>
      <c r="N22" s="14"/>
      <c r="O22" s="14"/>
    </row>
    <row r="23" spans="1:15" ht="39" customHeight="1" x14ac:dyDescent="0.25">
      <c r="A23" s="11" t="s">
        <v>204</v>
      </c>
      <c r="B23" s="4">
        <v>1</v>
      </c>
      <c r="C23" s="4" t="s">
        <v>27</v>
      </c>
      <c r="D23" s="5">
        <v>2.5</v>
      </c>
      <c r="E23" s="5">
        <v>5</v>
      </c>
      <c r="F23" s="15">
        <v>71</v>
      </c>
      <c r="G23" s="13">
        <v>14236.3</v>
      </c>
      <c r="H23" s="13">
        <f>F23*2.2</f>
        <v>156.20000000000002</v>
      </c>
      <c r="I23" s="13">
        <f>+G23-H23</f>
        <v>14080.099999999999</v>
      </c>
      <c r="J23" s="13"/>
      <c r="K23" s="13">
        <f>+I23*(108.5/(100+E23))</f>
        <v>14549.436666666666</v>
      </c>
      <c r="L23" s="13"/>
      <c r="M23" s="13"/>
      <c r="N23" s="13"/>
      <c r="O23" s="13"/>
    </row>
    <row r="24" spans="1:15" ht="39" customHeight="1" x14ac:dyDescent="0.25">
      <c r="A24" s="11" t="s">
        <v>205</v>
      </c>
      <c r="B24" s="4">
        <v>1</v>
      </c>
      <c r="C24" s="4" t="s">
        <v>59</v>
      </c>
      <c r="D24" s="5">
        <v>3</v>
      </c>
      <c r="E24" s="5">
        <v>5</v>
      </c>
      <c r="F24" s="15">
        <v>25</v>
      </c>
      <c r="G24" s="13">
        <v>5062.8999999999996</v>
      </c>
      <c r="H24" s="13">
        <f>F24*2.2</f>
        <v>55.000000000000007</v>
      </c>
      <c r="I24" s="13">
        <f>+G24-H24</f>
        <v>5007.8999999999996</v>
      </c>
      <c r="J24" s="13"/>
      <c r="K24" s="13">
        <f>+I24*(108.5/(100+E24))</f>
        <v>5174.83</v>
      </c>
      <c r="L24" s="13"/>
      <c r="M24" s="13"/>
      <c r="N24" s="13"/>
      <c r="O24" s="13"/>
    </row>
    <row r="25" spans="1:15" ht="30.75" customHeight="1" x14ac:dyDescent="0.25">
      <c r="A25" s="16" t="s">
        <v>21</v>
      </c>
      <c r="B25" s="4"/>
      <c r="C25" s="4"/>
      <c r="D25" s="4"/>
      <c r="E25" s="13"/>
      <c r="F25" s="17">
        <f>SUM(F23:F24)</f>
        <v>96</v>
      </c>
      <c r="G25" s="18">
        <f>SUM(G23:G24)</f>
        <v>19299.199999999997</v>
      </c>
      <c r="H25" s="18">
        <f>SUM(H23:H24)</f>
        <v>211.20000000000002</v>
      </c>
      <c r="I25" s="18">
        <f>SUM(I23:I24)</f>
        <v>19088</v>
      </c>
      <c r="J25" s="18"/>
      <c r="K25" s="18">
        <f>SUM(K23:K24)</f>
        <v>19724.266666666666</v>
      </c>
      <c r="L25" s="18"/>
      <c r="M25" s="13"/>
      <c r="N25" s="13"/>
      <c r="O25" s="13"/>
    </row>
    <row r="26" spans="1:15" ht="14.25" customHeight="1" x14ac:dyDescent="0.25">
      <c r="A26" s="19"/>
      <c r="B26" s="20"/>
      <c r="C26" s="20"/>
      <c r="D26" s="20"/>
      <c r="E26" s="21"/>
      <c r="F26" s="22"/>
      <c r="G26" s="22"/>
      <c r="H26" s="22"/>
      <c r="I26" s="22"/>
      <c r="J26" s="22"/>
      <c r="K26" s="22"/>
      <c r="L26" s="22"/>
      <c r="M26" s="21"/>
      <c r="N26" s="21"/>
      <c r="O26" s="21"/>
    </row>
    <row r="27" spans="1:15" ht="14.4" x14ac:dyDescent="0.3">
      <c r="A27" s="109" t="s">
        <v>56</v>
      </c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</row>
    <row r="28" spans="1:15" ht="11.25" customHeight="1" x14ac:dyDescent="0.25"/>
    <row r="29" spans="1:15" x14ac:dyDescent="0.25">
      <c r="A29" s="6" t="s">
        <v>22</v>
      </c>
      <c r="D29" s="24">
        <f>+I25</f>
        <v>19088</v>
      </c>
    </row>
    <row r="30" spans="1:15" x14ac:dyDescent="0.25">
      <c r="D30" s="25"/>
      <c r="G30" s="23"/>
      <c r="H30" s="23"/>
      <c r="I30" s="23"/>
      <c r="J30" s="23"/>
      <c r="K30" s="23"/>
    </row>
    <row r="31" spans="1:15" x14ac:dyDescent="0.25">
      <c r="A31" s="6" t="s">
        <v>23</v>
      </c>
      <c r="D31" s="24">
        <f>+G25</f>
        <v>19299.199999999997</v>
      </c>
    </row>
    <row r="32" spans="1:15" ht="11.25" customHeight="1" x14ac:dyDescent="0.25">
      <c r="D32" s="24"/>
    </row>
    <row r="33" spans="1:15" ht="10.5" customHeight="1" x14ac:dyDescent="0.25"/>
    <row r="34" spans="1:15" x14ac:dyDescent="0.25">
      <c r="A34" s="95" t="s">
        <v>25</v>
      </c>
      <c r="B34" s="95"/>
      <c r="C34" s="95"/>
      <c r="D34" s="95"/>
      <c r="E34" s="95"/>
      <c r="F34" s="95"/>
      <c r="G34" s="95"/>
    </row>
    <row r="35" spans="1:15" ht="9.75" customHeight="1" x14ac:dyDescent="0.25"/>
    <row r="36" spans="1:15" x14ac:dyDescent="0.25">
      <c r="A36" s="95" t="s">
        <v>82</v>
      </c>
      <c r="B36" s="95"/>
      <c r="C36" s="95"/>
      <c r="D36" s="95"/>
      <c r="E36" s="95"/>
      <c r="F36" s="95"/>
      <c r="G36" s="95"/>
    </row>
    <row r="37" spans="1:15" ht="12" customHeight="1" x14ac:dyDescent="0.25"/>
    <row r="38" spans="1:15" x14ac:dyDescent="0.25">
      <c r="A38" s="95" t="s">
        <v>26</v>
      </c>
      <c r="B38" s="95"/>
      <c r="C38" s="95"/>
      <c r="D38" s="95"/>
      <c r="E38" s="95"/>
      <c r="F38" s="95"/>
      <c r="G38" s="95"/>
      <c r="I38" s="95"/>
      <c r="J38" s="95"/>
      <c r="K38" s="95"/>
      <c r="L38" s="95"/>
      <c r="M38" s="95"/>
      <c r="N38" s="95"/>
      <c r="O38" s="95"/>
    </row>
    <row r="39" spans="1:15" ht="11.25" customHeight="1" x14ac:dyDescent="0.25"/>
    <row r="40" spans="1:15" x14ac:dyDescent="0.25">
      <c r="A40" s="99" t="s">
        <v>34</v>
      </c>
      <c r="B40" s="99"/>
      <c r="C40" s="99"/>
      <c r="D40" s="99"/>
      <c r="E40" s="99"/>
      <c r="F40" s="99"/>
      <c r="G40" s="99"/>
      <c r="I40" s="100" t="s">
        <v>87</v>
      </c>
      <c r="J40" s="100"/>
      <c r="K40" s="100"/>
      <c r="L40" s="100"/>
      <c r="M40" s="100"/>
      <c r="N40" s="100"/>
      <c r="O40" s="100"/>
    </row>
  </sheetData>
  <mergeCells count="24">
    <mergeCell ref="A34:G34"/>
    <mergeCell ref="A36:G36"/>
    <mergeCell ref="A38:G38"/>
    <mergeCell ref="I38:O38"/>
    <mergeCell ref="A40:G40"/>
    <mergeCell ref="I40:O40"/>
    <mergeCell ref="A27:O27"/>
    <mergeCell ref="A18:A19"/>
    <mergeCell ref="B18:B19"/>
    <mergeCell ref="C18:C19"/>
    <mergeCell ref="D18:D19"/>
    <mergeCell ref="E18:E19"/>
    <mergeCell ref="F18:I18"/>
    <mergeCell ref="J18:J19"/>
    <mergeCell ref="K18:K19"/>
    <mergeCell ref="L18:M18"/>
    <mergeCell ref="N18:O18"/>
    <mergeCell ref="A21:O21"/>
    <mergeCell ref="I16:K16"/>
    <mergeCell ref="A1:O1"/>
    <mergeCell ref="A2:O2"/>
    <mergeCell ref="A10:N10"/>
    <mergeCell ref="A12:N12"/>
    <mergeCell ref="A14:N14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9">
    <tabColor rgb="FFFFFF00"/>
  </sheetPr>
  <dimension ref="A1:O37"/>
  <sheetViews>
    <sheetView workbookViewId="0">
      <selection activeCell="J4" sqref="J4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206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5" x14ac:dyDescent="0.25">
      <c r="A3" s="7" t="s">
        <v>203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8" t="s">
        <v>41</v>
      </c>
      <c r="B4" s="8"/>
      <c r="C4" s="8"/>
      <c r="D4" s="8"/>
      <c r="E4" s="8"/>
      <c r="F4" s="8"/>
      <c r="G4" s="8"/>
      <c r="H4" s="8"/>
      <c r="I4" s="8"/>
      <c r="J4" s="3" t="s">
        <v>67</v>
      </c>
      <c r="K4" s="2"/>
      <c r="L4" s="2"/>
      <c r="M4" s="2"/>
      <c r="N4" s="2"/>
    </row>
    <row r="5" spans="1:15" x14ac:dyDescent="0.25">
      <c r="A5" s="6" t="s">
        <v>42</v>
      </c>
      <c r="F5" s="9"/>
      <c r="G5" s="9"/>
      <c r="H5" s="9"/>
      <c r="I5" s="9"/>
      <c r="J5" s="3"/>
      <c r="K5" s="3"/>
      <c r="L5" s="1"/>
      <c r="M5" s="1"/>
      <c r="N5" s="1"/>
    </row>
    <row r="6" spans="1:15" x14ac:dyDescent="0.25">
      <c r="A6" s="9" t="s">
        <v>68</v>
      </c>
      <c r="B6" s="9"/>
      <c r="C6" s="9"/>
      <c r="D6" s="9"/>
      <c r="E6" s="9"/>
      <c r="F6" s="9"/>
      <c r="G6" s="9"/>
      <c r="H6" s="9"/>
      <c r="I6" s="9"/>
      <c r="J6" s="3" t="s">
        <v>31</v>
      </c>
      <c r="K6" s="1"/>
      <c r="L6" s="1"/>
      <c r="M6" s="1"/>
      <c r="N6" s="1"/>
    </row>
    <row r="7" spans="1:15" x14ac:dyDescent="0.25">
      <c r="A7" s="9" t="s">
        <v>43</v>
      </c>
      <c r="B7" s="9"/>
      <c r="C7" s="9"/>
      <c r="D7" s="9"/>
      <c r="E7" s="9"/>
      <c r="F7" s="9"/>
      <c r="G7" s="9"/>
      <c r="H7" s="9"/>
      <c r="I7" s="9"/>
      <c r="J7" s="3" t="s">
        <v>32</v>
      </c>
      <c r="K7" s="1"/>
      <c r="L7" s="1"/>
      <c r="M7" s="1"/>
      <c r="N7" s="1"/>
    </row>
    <row r="8" spans="1:15" x14ac:dyDescent="0.25">
      <c r="A8" s="9" t="s">
        <v>1</v>
      </c>
      <c r="B8" s="9"/>
      <c r="C8" s="9"/>
      <c r="D8" s="9"/>
      <c r="E8" s="9"/>
      <c r="J8" s="3"/>
      <c r="K8" s="3"/>
      <c r="L8" s="3"/>
      <c r="M8" s="3"/>
      <c r="N8" s="3"/>
    </row>
    <row r="9" spans="1:15" x14ac:dyDescent="0.25">
      <c r="A9" s="97" t="s">
        <v>44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</row>
    <row r="10" spans="1:15" x14ac:dyDescent="0.25">
      <c r="A10" s="10" t="s">
        <v>45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</row>
    <row r="11" spans="1:15" x14ac:dyDescent="0.25">
      <c r="A11" s="98" t="s">
        <v>140</v>
      </c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</row>
    <row r="12" spans="1:15" x14ac:dyDescent="0.25">
      <c r="A12" s="98" t="s">
        <v>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I13" s="98" t="s">
        <v>18</v>
      </c>
      <c r="J13" s="98"/>
      <c r="K13" s="98"/>
      <c r="L13" s="6" t="s">
        <v>79</v>
      </c>
    </row>
    <row r="14" spans="1:15" x14ac:dyDescent="0.25">
      <c r="A14" s="6" t="s">
        <v>207</v>
      </c>
      <c r="I14" s="6" t="s">
        <v>19</v>
      </c>
      <c r="L14" s="37">
        <v>4</v>
      </c>
    </row>
    <row r="15" spans="1:15" ht="16.5" customHeight="1" x14ac:dyDescent="0.25">
      <c r="A15" s="104" t="s">
        <v>2</v>
      </c>
      <c r="B15" s="104" t="s">
        <v>3</v>
      </c>
      <c r="C15" s="104" t="s">
        <v>4</v>
      </c>
      <c r="D15" s="104" t="s">
        <v>5</v>
      </c>
      <c r="E15" s="104" t="s">
        <v>6</v>
      </c>
      <c r="F15" s="101" t="s">
        <v>7</v>
      </c>
      <c r="G15" s="102"/>
      <c r="H15" s="102"/>
      <c r="I15" s="103"/>
      <c r="J15" s="104" t="s">
        <v>12</v>
      </c>
      <c r="K15" s="104" t="s">
        <v>13</v>
      </c>
      <c r="L15" s="101" t="s">
        <v>14</v>
      </c>
      <c r="M15" s="103"/>
      <c r="N15" s="101" t="s">
        <v>15</v>
      </c>
      <c r="O15" s="103"/>
    </row>
    <row r="16" spans="1:15" ht="27.6" x14ac:dyDescent="0.25">
      <c r="A16" s="105"/>
      <c r="B16" s="105"/>
      <c r="C16" s="105"/>
      <c r="D16" s="105"/>
      <c r="E16" s="105"/>
      <c r="F16" s="4" t="s">
        <v>8</v>
      </c>
      <c r="G16" s="4" t="s">
        <v>9</v>
      </c>
      <c r="H16" s="4" t="s">
        <v>10</v>
      </c>
      <c r="I16" s="4" t="s">
        <v>11</v>
      </c>
      <c r="J16" s="105"/>
      <c r="K16" s="105"/>
      <c r="L16" s="4" t="s">
        <v>16</v>
      </c>
      <c r="M16" s="4" t="s">
        <v>17</v>
      </c>
      <c r="N16" s="4" t="s">
        <v>16</v>
      </c>
      <c r="O16" s="4" t="s">
        <v>17</v>
      </c>
    </row>
    <row r="17" spans="1:15" x14ac:dyDescent="0.25">
      <c r="A17" s="4">
        <v>1</v>
      </c>
      <c r="B17" s="4">
        <v>2</v>
      </c>
      <c r="C17" s="4">
        <v>3</v>
      </c>
      <c r="D17" s="4">
        <v>4</v>
      </c>
      <c r="E17" s="4">
        <v>5</v>
      </c>
      <c r="F17" s="4">
        <v>6</v>
      </c>
      <c r="G17" s="4">
        <v>7</v>
      </c>
      <c r="H17" s="4">
        <v>8</v>
      </c>
      <c r="I17" s="4">
        <v>9</v>
      </c>
      <c r="J17" s="4">
        <v>10</v>
      </c>
      <c r="K17" s="4">
        <v>11</v>
      </c>
      <c r="L17" s="4">
        <v>12</v>
      </c>
      <c r="M17" s="4">
        <v>13</v>
      </c>
      <c r="N17" s="4">
        <v>14</v>
      </c>
      <c r="O17" s="4">
        <v>15</v>
      </c>
    </row>
    <row r="18" spans="1:15" x14ac:dyDescent="0.25">
      <c r="A18" s="106" t="s">
        <v>20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8"/>
    </row>
    <row r="19" spans="1:15" ht="32.25" customHeight="1" x14ac:dyDescent="0.25">
      <c r="A19" s="11" t="s">
        <v>80</v>
      </c>
      <c r="B19" s="12"/>
      <c r="C19" s="4"/>
      <c r="D19" s="4"/>
      <c r="E19" s="4"/>
      <c r="F19" s="4"/>
      <c r="G19" s="13"/>
      <c r="H19" s="13"/>
      <c r="I19" s="13"/>
      <c r="J19" s="14"/>
      <c r="K19" s="14"/>
      <c r="L19" s="14"/>
      <c r="M19" s="14"/>
      <c r="N19" s="14"/>
      <c r="O19" s="14"/>
    </row>
    <row r="20" spans="1:15" ht="45.75" customHeight="1" x14ac:dyDescent="0.25">
      <c r="A20" s="11" t="s">
        <v>208</v>
      </c>
      <c r="B20" s="4">
        <v>1</v>
      </c>
      <c r="C20" s="4" t="s">
        <v>161</v>
      </c>
      <c r="D20" s="5">
        <v>2</v>
      </c>
      <c r="E20" s="5">
        <v>5</v>
      </c>
      <c r="F20" s="15">
        <v>8</v>
      </c>
      <c r="G20" s="13">
        <v>11819.6</v>
      </c>
      <c r="H20" s="13">
        <f>+F20*2.4</f>
        <v>19.2</v>
      </c>
      <c r="I20" s="13">
        <f>+G20-H20</f>
        <v>11800.4</v>
      </c>
      <c r="J20" s="13"/>
      <c r="K20" s="13">
        <f>+I20*(108.5/(100+E20))</f>
        <v>12193.746666666668</v>
      </c>
      <c r="L20" s="13"/>
      <c r="M20" s="13"/>
      <c r="N20" s="13"/>
      <c r="O20" s="13"/>
    </row>
    <row r="21" spans="1:15" ht="45.75" customHeight="1" x14ac:dyDescent="0.25">
      <c r="A21" s="11" t="s">
        <v>209</v>
      </c>
      <c r="B21" s="4">
        <v>1</v>
      </c>
      <c r="C21" s="4" t="s">
        <v>27</v>
      </c>
      <c r="D21" s="5">
        <v>2.5</v>
      </c>
      <c r="E21" s="5">
        <v>5</v>
      </c>
      <c r="F21" s="15">
        <v>82</v>
      </c>
      <c r="G21" s="13">
        <v>17961</v>
      </c>
      <c r="H21" s="13">
        <f>+F21*2.4</f>
        <v>196.79999999999998</v>
      </c>
      <c r="I21" s="13">
        <f>+G21-H21</f>
        <v>17764.2</v>
      </c>
      <c r="J21" s="13"/>
      <c r="K21" s="13">
        <f>+I21*(108.5/(100+E21))</f>
        <v>18356.340000000004</v>
      </c>
      <c r="L21" s="13"/>
      <c r="M21" s="13"/>
      <c r="N21" s="13"/>
      <c r="O21" s="13"/>
    </row>
    <row r="22" spans="1:15" ht="30.75" customHeight="1" x14ac:dyDescent="0.25">
      <c r="A22" s="16" t="s">
        <v>21</v>
      </c>
      <c r="B22" s="4"/>
      <c r="C22" s="4"/>
      <c r="D22" s="4"/>
      <c r="E22" s="13"/>
      <c r="F22" s="17">
        <f>SUM(F20:F21)</f>
        <v>90</v>
      </c>
      <c r="G22" s="18">
        <f>SUM(G20:G21)</f>
        <v>29780.6</v>
      </c>
      <c r="H22" s="18">
        <f>SUM(H20:H21)</f>
        <v>215.99999999999997</v>
      </c>
      <c r="I22" s="18">
        <f>SUM(I20:I21)</f>
        <v>29564.6</v>
      </c>
      <c r="J22" s="18"/>
      <c r="K22" s="18">
        <f>SUM(K20:K21)</f>
        <v>30550.08666666667</v>
      </c>
      <c r="L22" s="18"/>
      <c r="M22" s="13"/>
      <c r="N22" s="13"/>
      <c r="O22" s="13"/>
    </row>
    <row r="23" spans="1:15" ht="14.25" customHeight="1" x14ac:dyDescent="0.25">
      <c r="A23" s="19"/>
      <c r="B23" s="20"/>
      <c r="C23" s="20"/>
      <c r="D23" s="20"/>
      <c r="E23" s="21"/>
      <c r="F23" s="22"/>
      <c r="G23" s="22"/>
      <c r="H23" s="22"/>
      <c r="I23" s="22"/>
      <c r="J23" s="22"/>
      <c r="K23" s="22"/>
      <c r="L23" s="22"/>
      <c r="M23" s="21"/>
      <c r="N23" s="21"/>
      <c r="O23" s="21"/>
    </row>
    <row r="24" spans="1:15" ht="14.4" x14ac:dyDescent="0.3">
      <c r="A24" s="109" t="s">
        <v>192</v>
      </c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</row>
    <row r="25" spans="1:15" ht="11.25" customHeight="1" x14ac:dyDescent="0.25"/>
    <row r="26" spans="1:15" x14ac:dyDescent="0.25">
      <c r="A26" s="6" t="s">
        <v>22</v>
      </c>
      <c r="D26" s="24">
        <f>+I22</f>
        <v>29564.6</v>
      </c>
    </row>
    <row r="27" spans="1:15" x14ac:dyDescent="0.25">
      <c r="D27" s="25"/>
      <c r="G27" s="23"/>
      <c r="H27" s="23"/>
      <c r="I27" s="23"/>
      <c r="J27" s="23"/>
      <c r="K27" s="23"/>
    </row>
    <row r="28" spans="1:15" x14ac:dyDescent="0.25">
      <c r="A28" s="6" t="s">
        <v>23</v>
      </c>
      <c r="D28" s="24">
        <f>+K22</f>
        <v>30550.08666666667</v>
      </c>
    </row>
    <row r="29" spans="1:15" ht="11.25" customHeight="1" x14ac:dyDescent="0.25">
      <c r="D29" s="24"/>
    </row>
    <row r="30" spans="1:15" ht="10.5" customHeight="1" x14ac:dyDescent="0.25"/>
    <row r="31" spans="1:15" x14ac:dyDescent="0.25">
      <c r="A31" s="95" t="s">
        <v>25</v>
      </c>
      <c r="B31" s="95"/>
      <c r="C31" s="95"/>
      <c r="D31" s="95"/>
      <c r="E31" s="95"/>
      <c r="F31" s="95"/>
      <c r="G31" s="95"/>
    </row>
    <row r="32" spans="1:15" ht="9.75" customHeight="1" x14ac:dyDescent="0.25"/>
    <row r="33" spans="1:15" x14ac:dyDescent="0.25">
      <c r="A33" s="95" t="s">
        <v>82</v>
      </c>
      <c r="B33" s="95"/>
      <c r="C33" s="95"/>
      <c r="D33" s="95"/>
      <c r="E33" s="95"/>
      <c r="F33" s="95"/>
      <c r="G33" s="95"/>
    </row>
    <row r="34" spans="1:15" ht="12" customHeight="1" x14ac:dyDescent="0.25"/>
    <row r="35" spans="1:15" x14ac:dyDescent="0.25">
      <c r="A35" s="95" t="s">
        <v>26</v>
      </c>
      <c r="B35" s="95"/>
      <c r="C35" s="95"/>
      <c r="D35" s="95"/>
      <c r="E35" s="95"/>
      <c r="F35" s="95"/>
      <c r="G35" s="95"/>
      <c r="I35" s="95"/>
      <c r="J35" s="95"/>
      <c r="K35" s="95"/>
      <c r="L35" s="95"/>
      <c r="M35" s="95"/>
      <c r="N35" s="95"/>
      <c r="O35" s="95"/>
    </row>
    <row r="36" spans="1:15" ht="11.25" customHeight="1" x14ac:dyDescent="0.25"/>
    <row r="37" spans="1:15" x14ac:dyDescent="0.25">
      <c r="A37" s="110" t="s">
        <v>28</v>
      </c>
      <c r="B37" s="110"/>
      <c r="C37" s="110"/>
      <c r="D37" s="110"/>
      <c r="E37" s="110"/>
      <c r="F37" s="110"/>
      <c r="G37" s="110"/>
      <c r="I37" s="100" t="s">
        <v>46</v>
      </c>
      <c r="J37" s="100"/>
      <c r="K37" s="100"/>
      <c r="L37" s="100"/>
      <c r="M37" s="100"/>
      <c r="N37" s="100"/>
      <c r="O37" s="100"/>
    </row>
  </sheetData>
  <mergeCells count="23">
    <mergeCell ref="A35:G35"/>
    <mergeCell ref="I35:O35"/>
    <mergeCell ref="A37:G37"/>
    <mergeCell ref="I37:O37"/>
    <mergeCell ref="F15:I15"/>
    <mergeCell ref="J15:J16"/>
    <mergeCell ref="K15:K16"/>
    <mergeCell ref="L15:M15"/>
    <mergeCell ref="N15:O15"/>
    <mergeCell ref="A18:O18"/>
    <mergeCell ref="A15:A16"/>
    <mergeCell ref="B15:B16"/>
    <mergeCell ref="C15:C16"/>
    <mergeCell ref="D15:D16"/>
    <mergeCell ref="E15:E16"/>
    <mergeCell ref="A24:O24"/>
    <mergeCell ref="A31:G31"/>
    <mergeCell ref="A33:G33"/>
    <mergeCell ref="A1:O1"/>
    <mergeCell ref="A9:N9"/>
    <mergeCell ref="A11:N11"/>
    <mergeCell ref="A12:N12"/>
    <mergeCell ref="I13:K13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0">
    <tabColor rgb="FF00B050"/>
  </sheetPr>
  <dimension ref="A1:O41"/>
  <sheetViews>
    <sheetView zoomScale="55" zoomScaleNormal="55" workbookViewId="0">
      <selection activeCell="A23" sqref="A23:K25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215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96" t="s">
        <v>86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</row>
    <row r="3" spans="1:15" x14ac:dyDescent="0.25">
      <c r="A3" s="7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7" t="s">
        <v>212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5" x14ac:dyDescent="0.25">
      <c r="A5" s="8" t="s">
        <v>41</v>
      </c>
      <c r="B5" s="8"/>
      <c r="C5" s="8"/>
      <c r="D5" s="8"/>
      <c r="E5" s="8"/>
      <c r="F5" s="8"/>
      <c r="G5" s="8"/>
      <c r="H5" s="8"/>
      <c r="I5" s="8"/>
      <c r="J5" s="3" t="s">
        <v>94</v>
      </c>
      <c r="K5" s="2"/>
      <c r="L5" s="2"/>
      <c r="M5" s="2"/>
      <c r="N5" s="2"/>
    </row>
    <row r="6" spans="1:15" x14ac:dyDescent="0.25">
      <c r="A6" s="6" t="s">
        <v>42</v>
      </c>
      <c r="F6" s="9"/>
      <c r="G6" s="9"/>
      <c r="H6" s="9"/>
      <c r="I6" s="9"/>
      <c r="J6" s="3"/>
      <c r="K6" s="3"/>
      <c r="L6" s="1"/>
      <c r="M6" s="1"/>
      <c r="N6" s="1"/>
    </row>
    <row r="7" spans="1:15" x14ac:dyDescent="0.25">
      <c r="A7" s="9" t="s">
        <v>140</v>
      </c>
      <c r="B7" s="9"/>
      <c r="C7" s="9"/>
      <c r="D7" s="9"/>
      <c r="E7" s="9"/>
      <c r="F7" s="9"/>
      <c r="G7" s="9"/>
      <c r="H7" s="9"/>
      <c r="I7" s="9"/>
      <c r="J7" s="3" t="s">
        <v>187</v>
      </c>
      <c r="K7" s="1"/>
      <c r="L7" s="1"/>
      <c r="M7" s="1"/>
      <c r="N7" s="1"/>
    </row>
    <row r="8" spans="1:15" x14ac:dyDescent="0.25">
      <c r="A8" s="9" t="s">
        <v>43</v>
      </c>
      <c r="B8" s="9"/>
      <c r="C8" s="9"/>
      <c r="D8" s="9"/>
      <c r="E8" s="9"/>
      <c r="F8" s="9"/>
      <c r="G8" s="9"/>
      <c r="H8" s="9"/>
      <c r="I8" s="9"/>
      <c r="J8" s="3" t="s">
        <v>96</v>
      </c>
      <c r="K8" s="1"/>
      <c r="L8" s="1"/>
      <c r="M8" s="1"/>
      <c r="N8" s="1"/>
    </row>
    <row r="9" spans="1:15" x14ac:dyDescent="0.25">
      <c r="A9" s="9" t="s">
        <v>1</v>
      </c>
      <c r="B9" s="9"/>
      <c r="C9" s="9"/>
      <c r="D9" s="9"/>
      <c r="E9" s="9"/>
      <c r="J9" s="3"/>
      <c r="K9" s="3"/>
      <c r="L9" s="3"/>
      <c r="M9" s="3"/>
      <c r="N9" s="3"/>
    </row>
    <row r="10" spans="1:15" x14ac:dyDescent="0.25">
      <c r="A10" s="97" t="s">
        <v>69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</row>
    <row r="11" spans="1:15" x14ac:dyDescent="0.25">
      <c r="A11" s="10" t="s">
        <v>70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</row>
    <row r="12" spans="1:15" x14ac:dyDescent="0.25">
      <c r="A12" s="98" t="s">
        <v>71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A13" s="6" t="s">
        <v>43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</row>
    <row r="14" spans="1:15" x14ac:dyDescent="0.25">
      <c r="A14" s="98" t="s">
        <v>72</v>
      </c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</row>
    <row r="15" spans="1:15" x14ac:dyDescent="0.25">
      <c r="A15" s="39" t="s">
        <v>73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</row>
    <row r="16" spans="1:15" x14ac:dyDescent="0.25">
      <c r="I16" s="98" t="s">
        <v>18</v>
      </c>
      <c r="J16" s="98"/>
      <c r="K16" s="98"/>
      <c r="L16" s="6" t="s">
        <v>24</v>
      </c>
    </row>
    <row r="17" spans="1:15" x14ac:dyDescent="0.25">
      <c r="A17" s="6" t="s">
        <v>211</v>
      </c>
      <c r="I17" s="6" t="s">
        <v>19</v>
      </c>
      <c r="L17" s="39">
        <v>4</v>
      </c>
    </row>
    <row r="18" spans="1:15" ht="16.5" customHeight="1" x14ac:dyDescent="0.25">
      <c r="A18" s="104" t="s">
        <v>2</v>
      </c>
      <c r="B18" s="104" t="s">
        <v>3</v>
      </c>
      <c r="C18" s="104" t="s">
        <v>4</v>
      </c>
      <c r="D18" s="104" t="s">
        <v>5</v>
      </c>
      <c r="E18" s="104" t="s">
        <v>6</v>
      </c>
      <c r="F18" s="101" t="s">
        <v>7</v>
      </c>
      <c r="G18" s="102"/>
      <c r="H18" s="102"/>
      <c r="I18" s="103"/>
      <c r="J18" s="104" t="s">
        <v>12</v>
      </c>
      <c r="K18" s="104" t="s">
        <v>13</v>
      </c>
      <c r="L18" s="101" t="s">
        <v>14</v>
      </c>
      <c r="M18" s="103"/>
      <c r="N18" s="101" t="s">
        <v>15</v>
      </c>
      <c r="O18" s="103"/>
    </row>
    <row r="19" spans="1:15" ht="27.6" x14ac:dyDescent="0.25">
      <c r="A19" s="105"/>
      <c r="B19" s="105"/>
      <c r="C19" s="105"/>
      <c r="D19" s="105"/>
      <c r="E19" s="105"/>
      <c r="F19" s="4" t="s">
        <v>8</v>
      </c>
      <c r="G19" s="4" t="s">
        <v>9</v>
      </c>
      <c r="H19" s="4" t="s">
        <v>10</v>
      </c>
      <c r="I19" s="4" t="s">
        <v>11</v>
      </c>
      <c r="J19" s="105"/>
      <c r="K19" s="105"/>
      <c r="L19" s="4" t="s">
        <v>16</v>
      </c>
      <c r="M19" s="4" t="s">
        <v>17</v>
      </c>
      <c r="N19" s="4" t="s">
        <v>16</v>
      </c>
      <c r="O19" s="4" t="s">
        <v>17</v>
      </c>
    </row>
    <row r="20" spans="1:15" x14ac:dyDescent="0.25">
      <c r="A20" s="4">
        <v>1</v>
      </c>
      <c r="B20" s="4">
        <v>2</v>
      </c>
      <c r="C20" s="4">
        <v>3</v>
      </c>
      <c r="D20" s="4">
        <v>4</v>
      </c>
      <c r="E20" s="4">
        <v>5</v>
      </c>
      <c r="F20" s="4">
        <v>6</v>
      </c>
      <c r="G20" s="4">
        <v>7</v>
      </c>
      <c r="H20" s="4">
        <v>8</v>
      </c>
      <c r="I20" s="4">
        <v>9</v>
      </c>
      <c r="J20" s="4">
        <v>10</v>
      </c>
      <c r="K20" s="4">
        <v>11</v>
      </c>
      <c r="L20" s="4">
        <v>12</v>
      </c>
      <c r="M20" s="4">
        <v>13</v>
      </c>
      <c r="N20" s="4">
        <v>14</v>
      </c>
      <c r="O20" s="4">
        <v>15</v>
      </c>
    </row>
    <row r="21" spans="1:15" x14ac:dyDescent="0.25">
      <c r="A21" s="106" t="s">
        <v>20</v>
      </c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8"/>
    </row>
    <row r="22" spans="1:15" ht="32.25" customHeight="1" x14ac:dyDescent="0.25">
      <c r="A22" s="11" t="s">
        <v>80</v>
      </c>
      <c r="B22" s="12"/>
      <c r="C22" s="4"/>
      <c r="D22" s="4"/>
      <c r="E22" s="4"/>
      <c r="F22" s="4"/>
      <c r="G22" s="13"/>
      <c r="H22" s="13"/>
      <c r="I22" s="13"/>
      <c r="J22" s="14"/>
      <c r="K22" s="14"/>
      <c r="L22" s="14"/>
      <c r="M22" s="14"/>
      <c r="N22" s="14"/>
      <c r="O22" s="14"/>
    </row>
    <row r="23" spans="1:15" ht="39" customHeight="1" x14ac:dyDescent="0.25">
      <c r="A23" s="11" t="s">
        <v>210</v>
      </c>
      <c r="B23" s="4">
        <v>1</v>
      </c>
      <c r="C23" s="4" t="s">
        <v>59</v>
      </c>
      <c r="D23" s="5">
        <v>3</v>
      </c>
      <c r="E23" s="5">
        <v>5</v>
      </c>
      <c r="F23" s="15">
        <v>16</v>
      </c>
      <c r="G23" s="13">
        <v>3206</v>
      </c>
      <c r="H23" s="13">
        <v>35.199999999999996</v>
      </c>
      <c r="I23" s="13">
        <v>3170.8000000000006</v>
      </c>
      <c r="J23" s="13"/>
      <c r="K23" s="13">
        <f>+I23*(108.5/(100+E23))</f>
        <v>3276.4933333333342</v>
      </c>
      <c r="L23" s="13"/>
      <c r="M23" s="13"/>
      <c r="N23" s="13"/>
      <c r="O23" s="13"/>
    </row>
    <row r="24" spans="1:15" ht="39" customHeight="1" x14ac:dyDescent="0.25">
      <c r="A24" s="11" t="s">
        <v>213</v>
      </c>
      <c r="B24" s="4">
        <v>1</v>
      </c>
      <c r="C24" s="4" t="s">
        <v>27</v>
      </c>
      <c r="D24" s="5">
        <v>2.5</v>
      </c>
      <c r="E24" s="5">
        <v>5</v>
      </c>
      <c r="F24" s="15">
        <v>25</v>
      </c>
      <c r="G24" s="13">
        <v>5003.8999999999996</v>
      </c>
      <c r="H24" s="13">
        <v>55</v>
      </c>
      <c r="I24" s="13">
        <v>4948.8999999999996</v>
      </c>
      <c r="J24" s="13"/>
      <c r="K24" s="13">
        <f>+I24*(108.5/(100+E24))</f>
        <v>5113.8633333333337</v>
      </c>
      <c r="L24" s="13"/>
      <c r="M24" s="13"/>
      <c r="N24" s="13"/>
      <c r="O24" s="13"/>
    </row>
    <row r="25" spans="1:15" ht="39" customHeight="1" x14ac:dyDescent="0.25">
      <c r="A25" s="11" t="s">
        <v>214</v>
      </c>
      <c r="B25" s="4">
        <v>1</v>
      </c>
      <c r="C25" s="4" t="s">
        <v>66</v>
      </c>
      <c r="D25" s="5">
        <v>4</v>
      </c>
      <c r="E25" s="5">
        <v>5</v>
      </c>
      <c r="F25" s="15">
        <v>55</v>
      </c>
      <c r="G25" s="13">
        <v>11134.8</v>
      </c>
      <c r="H25" s="13">
        <v>121</v>
      </c>
      <c r="I25" s="13">
        <v>11013.8</v>
      </c>
      <c r="J25" s="13"/>
      <c r="K25" s="13">
        <f>+I25*(108.5/(100+E25))</f>
        <v>11380.926666666666</v>
      </c>
      <c r="L25" s="13"/>
      <c r="M25" s="13"/>
      <c r="N25" s="13"/>
      <c r="O25" s="13"/>
    </row>
    <row r="26" spans="1:15" ht="30.75" customHeight="1" x14ac:dyDescent="0.25">
      <c r="A26" s="16" t="s">
        <v>21</v>
      </c>
      <c r="B26" s="4"/>
      <c r="C26" s="4"/>
      <c r="D26" s="4"/>
      <c r="E26" s="13"/>
      <c r="F26" s="17">
        <f>SUM(F23:F25)</f>
        <v>96</v>
      </c>
      <c r="G26" s="18">
        <f>SUM(G23:G25)</f>
        <v>19344.699999999997</v>
      </c>
      <c r="H26" s="18">
        <f>SUM(H23:H25)</f>
        <v>211.2</v>
      </c>
      <c r="I26" s="18">
        <f>SUM(I23:I25)</f>
        <v>19133.5</v>
      </c>
      <c r="J26" s="18"/>
      <c r="K26" s="18">
        <f>SUM(K23:K25)</f>
        <v>19771.283333333333</v>
      </c>
      <c r="L26" s="18"/>
      <c r="M26" s="13"/>
      <c r="N26" s="13"/>
      <c r="O26" s="13"/>
    </row>
    <row r="27" spans="1:15" ht="14.25" customHeight="1" x14ac:dyDescent="0.25">
      <c r="A27" s="19"/>
      <c r="B27" s="20"/>
      <c r="C27" s="20"/>
      <c r="D27" s="20"/>
      <c r="E27" s="21"/>
      <c r="F27" s="22"/>
      <c r="G27" s="22"/>
      <c r="H27" s="22"/>
      <c r="I27" s="22"/>
      <c r="J27" s="22"/>
      <c r="K27" s="22"/>
      <c r="L27" s="22"/>
      <c r="M27" s="21"/>
      <c r="N27" s="21"/>
      <c r="O27" s="21"/>
    </row>
    <row r="28" spans="1:15" ht="14.4" x14ac:dyDescent="0.3">
      <c r="A28" s="109" t="s">
        <v>56</v>
      </c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</row>
    <row r="29" spans="1:15" ht="11.25" customHeight="1" x14ac:dyDescent="0.25"/>
    <row r="30" spans="1:15" x14ac:dyDescent="0.25">
      <c r="A30" s="6" t="s">
        <v>22</v>
      </c>
      <c r="D30" s="24">
        <f>+I26</f>
        <v>19133.5</v>
      </c>
    </row>
    <row r="31" spans="1:15" x14ac:dyDescent="0.25">
      <c r="D31" s="25"/>
      <c r="G31" s="23"/>
      <c r="H31" s="23"/>
      <c r="I31" s="23"/>
      <c r="J31" s="23"/>
      <c r="K31" s="23"/>
    </row>
    <row r="32" spans="1:15" x14ac:dyDescent="0.25">
      <c r="A32" s="6" t="s">
        <v>23</v>
      </c>
      <c r="D32" s="24">
        <f>+G26</f>
        <v>19344.699999999997</v>
      </c>
    </row>
    <row r="33" spans="1:15" ht="11.25" customHeight="1" x14ac:dyDescent="0.25">
      <c r="D33" s="24"/>
    </row>
    <row r="34" spans="1:15" ht="10.5" customHeight="1" x14ac:dyDescent="0.25"/>
    <row r="35" spans="1:15" x14ac:dyDescent="0.25">
      <c r="A35" s="95" t="s">
        <v>25</v>
      </c>
      <c r="B35" s="95"/>
      <c r="C35" s="95"/>
      <c r="D35" s="95"/>
      <c r="E35" s="95"/>
      <c r="F35" s="95"/>
      <c r="G35" s="95"/>
    </row>
    <row r="36" spans="1:15" ht="9.75" customHeight="1" x14ac:dyDescent="0.25"/>
    <row r="37" spans="1:15" x14ac:dyDescent="0.25">
      <c r="A37" s="95" t="s">
        <v>82</v>
      </c>
      <c r="B37" s="95"/>
      <c r="C37" s="95"/>
      <c r="D37" s="95"/>
      <c r="E37" s="95"/>
      <c r="F37" s="95"/>
      <c r="G37" s="95"/>
    </row>
    <row r="38" spans="1:15" ht="12" customHeight="1" x14ac:dyDescent="0.25"/>
    <row r="39" spans="1:15" x14ac:dyDescent="0.25">
      <c r="A39" s="95" t="s">
        <v>26</v>
      </c>
      <c r="B39" s="95"/>
      <c r="C39" s="95"/>
      <c r="D39" s="95"/>
      <c r="E39" s="95"/>
      <c r="F39" s="95"/>
      <c r="G39" s="95"/>
      <c r="I39" s="95"/>
      <c r="J39" s="95"/>
      <c r="K39" s="95"/>
      <c r="L39" s="95"/>
      <c r="M39" s="95"/>
      <c r="N39" s="95"/>
      <c r="O39" s="95"/>
    </row>
    <row r="40" spans="1:15" ht="11.25" customHeight="1" x14ac:dyDescent="0.25"/>
    <row r="41" spans="1:15" x14ac:dyDescent="0.25">
      <c r="A41" s="110" t="s">
        <v>119</v>
      </c>
      <c r="B41" s="110"/>
      <c r="C41" s="110"/>
      <c r="D41" s="110"/>
      <c r="E41" s="110"/>
      <c r="F41" s="110"/>
      <c r="G41" s="110"/>
      <c r="I41" s="100" t="s">
        <v>87</v>
      </c>
      <c r="J41" s="100"/>
      <c r="K41" s="100"/>
      <c r="L41" s="100"/>
      <c r="M41" s="100"/>
      <c r="N41" s="100"/>
      <c r="O41" s="100"/>
    </row>
  </sheetData>
  <mergeCells count="24">
    <mergeCell ref="I16:K16"/>
    <mergeCell ref="A1:O1"/>
    <mergeCell ref="A2:O2"/>
    <mergeCell ref="A10:N10"/>
    <mergeCell ref="A12:N12"/>
    <mergeCell ref="A14:N14"/>
    <mergeCell ref="A28:O28"/>
    <mergeCell ref="A18:A19"/>
    <mergeCell ref="B18:B19"/>
    <mergeCell ref="C18:C19"/>
    <mergeCell ref="D18:D19"/>
    <mergeCell ref="E18:E19"/>
    <mergeCell ref="F18:I18"/>
    <mergeCell ref="J18:J19"/>
    <mergeCell ref="K18:K19"/>
    <mergeCell ref="L18:M18"/>
    <mergeCell ref="N18:O18"/>
    <mergeCell ref="A21:O21"/>
    <mergeCell ref="A35:G35"/>
    <mergeCell ref="A37:G37"/>
    <mergeCell ref="A39:G39"/>
    <mergeCell ref="I39:O39"/>
    <mergeCell ref="A41:G41"/>
    <mergeCell ref="I41:O41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1">
    <tabColor rgb="FF00B050"/>
  </sheetPr>
  <dimension ref="A1:O40"/>
  <sheetViews>
    <sheetView zoomScale="55" zoomScaleNormal="55" workbookViewId="0">
      <selection activeCell="A23" sqref="A23:K24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216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96" t="s">
        <v>86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</row>
    <row r="3" spans="1:15" x14ac:dyDescent="0.25">
      <c r="A3" s="7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7" t="s">
        <v>217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5" x14ac:dyDescent="0.25">
      <c r="A5" s="8" t="s">
        <v>41</v>
      </c>
      <c r="B5" s="8"/>
      <c r="C5" s="8"/>
      <c r="D5" s="8"/>
      <c r="E5" s="8"/>
      <c r="F5" s="8"/>
      <c r="G5" s="8"/>
      <c r="H5" s="8"/>
      <c r="I5" s="8"/>
      <c r="J5" s="1" t="s">
        <v>74</v>
      </c>
      <c r="K5" s="2"/>
      <c r="L5" s="2"/>
      <c r="M5" s="2"/>
      <c r="N5" s="2"/>
    </row>
    <row r="6" spans="1:15" x14ac:dyDescent="0.25">
      <c r="A6" s="6" t="s">
        <v>42</v>
      </c>
      <c r="F6" s="9"/>
      <c r="G6" s="9"/>
      <c r="H6" s="9"/>
      <c r="I6" s="9"/>
      <c r="J6" s="3"/>
      <c r="K6" s="3"/>
      <c r="L6" s="1"/>
      <c r="M6" s="1"/>
      <c r="N6" s="1"/>
    </row>
    <row r="7" spans="1:15" x14ac:dyDescent="0.25">
      <c r="A7" s="9" t="s">
        <v>140</v>
      </c>
      <c r="B7" s="9"/>
      <c r="C7" s="9"/>
      <c r="D7" s="9"/>
      <c r="E7" s="9"/>
      <c r="F7" s="9"/>
      <c r="G7" s="9"/>
      <c r="H7" s="9"/>
      <c r="I7" s="9"/>
      <c r="J7" s="1" t="s">
        <v>75</v>
      </c>
      <c r="K7" s="1"/>
      <c r="L7" s="1"/>
      <c r="M7" s="1"/>
      <c r="N7" s="1"/>
    </row>
    <row r="8" spans="1:15" x14ac:dyDescent="0.25">
      <c r="A8" s="9" t="s">
        <v>43</v>
      </c>
      <c r="B8" s="9"/>
      <c r="C8" s="9"/>
      <c r="D8" s="9"/>
      <c r="E8" s="9"/>
      <c r="F8" s="9"/>
      <c r="G8" s="9"/>
      <c r="H8" s="9"/>
      <c r="I8" s="9"/>
      <c r="J8" s="1" t="s">
        <v>76</v>
      </c>
      <c r="K8" s="1"/>
      <c r="L8" s="1"/>
      <c r="M8" s="1"/>
      <c r="N8" s="1"/>
    </row>
    <row r="9" spans="1:15" x14ac:dyDescent="0.25">
      <c r="A9" s="9" t="s">
        <v>1</v>
      </c>
      <c r="B9" s="9"/>
      <c r="C9" s="9"/>
      <c r="D9" s="9"/>
      <c r="E9" s="9"/>
      <c r="J9" s="3"/>
      <c r="K9" s="3"/>
      <c r="L9" s="3"/>
      <c r="M9" s="3"/>
      <c r="N9" s="3"/>
    </row>
    <row r="10" spans="1:15" x14ac:dyDescent="0.25">
      <c r="A10" s="97" t="s">
        <v>69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</row>
    <row r="11" spans="1:15" x14ac:dyDescent="0.25">
      <c r="A11" s="10" t="s">
        <v>70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</row>
    <row r="12" spans="1:15" x14ac:dyDescent="0.25">
      <c r="A12" s="98" t="s">
        <v>71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A13" s="6" t="s">
        <v>43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</row>
    <row r="14" spans="1:15" x14ac:dyDescent="0.25">
      <c r="A14" s="98" t="s">
        <v>72</v>
      </c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</row>
    <row r="15" spans="1:15" x14ac:dyDescent="0.25">
      <c r="A15" s="41" t="s">
        <v>73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</row>
    <row r="16" spans="1:15" x14ac:dyDescent="0.25">
      <c r="I16" s="98" t="s">
        <v>18</v>
      </c>
      <c r="J16" s="98"/>
      <c r="K16" s="98"/>
      <c r="L16" s="6" t="s">
        <v>24</v>
      </c>
    </row>
    <row r="17" spans="1:15" x14ac:dyDescent="0.25">
      <c r="A17" s="6" t="s">
        <v>220</v>
      </c>
      <c r="I17" s="6" t="s">
        <v>19</v>
      </c>
      <c r="L17" s="41">
        <v>4</v>
      </c>
    </row>
    <row r="18" spans="1:15" ht="16.5" customHeight="1" x14ac:dyDescent="0.25">
      <c r="A18" s="104" t="s">
        <v>2</v>
      </c>
      <c r="B18" s="104" t="s">
        <v>3</v>
      </c>
      <c r="C18" s="104" t="s">
        <v>4</v>
      </c>
      <c r="D18" s="104" t="s">
        <v>5</v>
      </c>
      <c r="E18" s="104" t="s">
        <v>6</v>
      </c>
      <c r="F18" s="101" t="s">
        <v>7</v>
      </c>
      <c r="G18" s="102"/>
      <c r="H18" s="102"/>
      <c r="I18" s="103"/>
      <c r="J18" s="104" t="s">
        <v>12</v>
      </c>
      <c r="K18" s="104" t="s">
        <v>13</v>
      </c>
      <c r="L18" s="101" t="s">
        <v>14</v>
      </c>
      <c r="M18" s="103"/>
      <c r="N18" s="101" t="s">
        <v>15</v>
      </c>
      <c r="O18" s="103"/>
    </row>
    <row r="19" spans="1:15" ht="27.6" x14ac:dyDescent="0.25">
      <c r="A19" s="105"/>
      <c r="B19" s="105"/>
      <c r="C19" s="105"/>
      <c r="D19" s="105"/>
      <c r="E19" s="105"/>
      <c r="F19" s="4" t="s">
        <v>8</v>
      </c>
      <c r="G19" s="4" t="s">
        <v>9</v>
      </c>
      <c r="H19" s="4" t="s">
        <v>10</v>
      </c>
      <c r="I19" s="4" t="s">
        <v>11</v>
      </c>
      <c r="J19" s="105"/>
      <c r="K19" s="105"/>
      <c r="L19" s="4" t="s">
        <v>16</v>
      </c>
      <c r="M19" s="4" t="s">
        <v>17</v>
      </c>
      <c r="N19" s="4" t="s">
        <v>16</v>
      </c>
      <c r="O19" s="4" t="s">
        <v>17</v>
      </c>
    </row>
    <row r="20" spans="1:15" x14ac:dyDescent="0.25">
      <c r="A20" s="4">
        <v>1</v>
      </c>
      <c r="B20" s="4">
        <v>2</v>
      </c>
      <c r="C20" s="4">
        <v>3</v>
      </c>
      <c r="D20" s="4">
        <v>4</v>
      </c>
      <c r="E20" s="4">
        <v>5</v>
      </c>
      <c r="F20" s="4">
        <v>6</v>
      </c>
      <c r="G20" s="4">
        <v>7</v>
      </c>
      <c r="H20" s="4">
        <v>8</v>
      </c>
      <c r="I20" s="4">
        <v>9</v>
      </c>
      <c r="J20" s="4">
        <v>10</v>
      </c>
      <c r="K20" s="4">
        <v>11</v>
      </c>
      <c r="L20" s="4">
        <v>12</v>
      </c>
      <c r="M20" s="4">
        <v>13</v>
      </c>
      <c r="N20" s="4">
        <v>14</v>
      </c>
      <c r="O20" s="4">
        <v>15</v>
      </c>
    </row>
    <row r="21" spans="1:15" x14ac:dyDescent="0.25">
      <c r="A21" s="106" t="s">
        <v>20</v>
      </c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8"/>
    </row>
    <row r="22" spans="1:15" ht="32.25" customHeight="1" x14ac:dyDescent="0.25">
      <c r="A22" s="11" t="s">
        <v>80</v>
      </c>
      <c r="B22" s="12"/>
      <c r="C22" s="4"/>
      <c r="D22" s="4"/>
      <c r="E22" s="4"/>
      <c r="F22" s="4"/>
      <c r="G22" s="13"/>
      <c r="H22" s="13"/>
      <c r="I22" s="13"/>
      <c r="J22" s="14"/>
      <c r="K22" s="14"/>
      <c r="L22" s="14"/>
      <c r="M22" s="14"/>
      <c r="N22" s="14"/>
      <c r="O22" s="14"/>
    </row>
    <row r="23" spans="1:15" ht="39" customHeight="1" x14ac:dyDescent="0.25">
      <c r="A23" s="11" t="s">
        <v>221</v>
      </c>
      <c r="B23" s="4">
        <v>1</v>
      </c>
      <c r="C23" s="4" t="s">
        <v>59</v>
      </c>
      <c r="D23" s="5">
        <v>3</v>
      </c>
      <c r="E23" s="5">
        <v>5</v>
      </c>
      <c r="F23" s="15">
        <v>86</v>
      </c>
      <c r="G23" s="13">
        <v>17388.099999999995</v>
      </c>
      <c r="H23" s="13">
        <v>189.19999999999979</v>
      </c>
      <c r="I23" s="13">
        <v>17198.900000000001</v>
      </c>
      <c r="J23" s="13"/>
      <c r="K23" s="13">
        <f>+I23*(108.5/(100+E23))</f>
        <v>17772.19666666667</v>
      </c>
      <c r="L23" s="13"/>
      <c r="M23" s="13"/>
      <c r="N23" s="13"/>
      <c r="O23" s="13"/>
    </row>
    <row r="24" spans="1:15" ht="39" customHeight="1" x14ac:dyDescent="0.25">
      <c r="A24" s="11" t="s">
        <v>222</v>
      </c>
      <c r="B24" s="4">
        <v>1</v>
      </c>
      <c r="C24" s="4" t="s">
        <v>27</v>
      </c>
      <c r="D24" s="5">
        <v>2.5</v>
      </c>
      <c r="E24" s="5">
        <v>5</v>
      </c>
      <c r="F24" s="15">
        <v>10</v>
      </c>
      <c r="G24" s="13">
        <v>1971.1000000000001</v>
      </c>
      <c r="H24" s="13">
        <v>21.999999999999996</v>
      </c>
      <c r="I24" s="13">
        <v>1949.1000000000001</v>
      </c>
      <c r="J24" s="13"/>
      <c r="K24" s="13">
        <f>+I24*(108.5/(100+E24))</f>
        <v>2014.0700000000004</v>
      </c>
      <c r="L24" s="13"/>
      <c r="M24" s="13"/>
      <c r="N24" s="13"/>
      <c r="O24" s="13"/>
    </row>
    <row r="25" spans="1:15" ht="30.75" customHeight="1" x14ac:dyDescent="0.25">
      <c r="A25" s="16" t="s">
        <v>21</v>
      </c>
      <c r="B25" s="4"/>
      <c r="C25" s="4"/>
      <c r="D25" s="4"/>
      <c r="E25" s="13"/>
      <c r="F25" s="17">
        <f>SUM(F23:F24)</f>
        <v>96</v>
      </c>
      <c r="G25" s="18">
        <f>SUM(G23:G24)</f>
        <v>19359.199999999993</v>
      </c>
      <c r="H25" s="18">
        <f>SUM(H23:H24)</f>
        <v>211.19999999999979</v>
      </c>
      <c r="I25" s="18">
        <f>SUM(I23:I24)</f>
        <v>19148</v>
      </c>
      <c r="J25" s="18"/>
      <c r="K25" s="18">
        <f>SUM(K23:K24)</f>
        <v>19786.26666666667</v>
      </c>
      <c r="L25" s="18"/>
      <c r="M25" s="13"/>
      <c r="N25" s="13"/>
      <c r="O25" s="13"/>
    </row>
    <row r="26" spans="1:15" ht="14.25" customHeight="1" x14ac:dyDescent="0.25">
      <c r="A26" s="19"/>
      <c r="B26" s="20"/>
      <c r="C26" s="20"/>
      <c r="D26" s="20"/>
      <c r="E26" s="21"/>
      <c r="F26" s="22"/>
      <c r="G26" s="22"/>
      <c r="H26" s="22"/>
      <c r="I26" s="22"/>
      <c r="J26" s="22"/>
      <c r="K26" s="22"/>
      <c r="L26" s="22"/>
      <c r="M26" s="21"/>
      <c r="N26" s="21"/>
      <c r="O26" s="21"/>
    </row>
    <row r="27" spans="1:15" ht="14.4" x14ac:dyDescent="0.3">
      <c r="A27" s="109" t="s">
        <v>56</v>
      </c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</row>
    <row r="28" spans="1:15" ht="11.25" customHeight="1" x14ac:dyDescent="0.25"/>
    <row r="29" spans="1:15" x14ac:dyDescent="0.25">
      <c r="A29" s="6" t="s">
        <v>22</v>
      </c>
      <c r="D29" s="24">
        <f>+I25</f>
        <v>19148</v>
      </c>
    </row>
    <row r="30" spans="1:15" x14ac:dyDescent="0.25">
      <c r="D30" s="25"/>
      <c r="G30" s="23"/>
      <c r="H30" s="23"/>
      <c r="I30" s="23"/>
      <c r="J30" s="23"/>
      <c r="K30" s="23"/>
    </row>
    <row r="31" spans="1:15" x14ac:dyDescent="0.25">
      <c r="A31" s="6" t="s">
        <v>23</v>
      </c>
      <c r="D31" s="24">
        <f>+G25</f>
        <v>19359.199999999993</v>
      </c>
    </row>
    <row r="32" spans="1:15" ht="11.25" customHeight="1" x14ac:dyDescent="0.25">
      <c r="D32" s="24"/>
    </row>
    <row r="33" spans="1:15" ht="10.5" customHeight="1" x14ac:dyDescent="0.25"/>
    <row r="34" spans="1:15" x14ac:dyDescent="0.25">
      <c r="A34" s="95" t="s">
        <v>25</v>
      </c>
      <c r="B34" s="95"/>
      <c r="C34" s="95"/>
      <c r="D34" s="95"/>
      <c r="E34" s="95"/>
      <c r="F34" s="95"/>
      <c r="G34" s="95"/>
    </row>
    <row r="35" spans="1:15" ht="9.75" customHeight="1" x14ac:dyDescent="0.25"/>
    <row r="36" spans="1:15" x14ac:dyDescent="0.25">
      <c r="A36" s="95" t="s">
        <v>82</v>
      </c>
      <c r="B36" s="95"/>
      <c r="C36" s="95"/>
      <c r="D36" s="95"/>
      <c r="E36" s="95"/>
      <c r="F36" s="95"/>
      <c r="G36" s="95"/>
    </row>
    <row r="37" spans="1:15" ht="12" customHeight="1" x14ac:dyDescent="0.25"/>
    <row r="38" spans="1:15" x14ac:dyDescent="0.25">
      <c r="A38" s="95" t="s">
        <v>26</v>
      </c>
      <c r="B38" s="95"/>
      <c r="C38" s="95"/>
      <c r="D38" s="95"/>
      <c r="E38" s="95"/>
      <c r="F38" s="95"/>
      <c r="G38" s="95"/>
      <c r="I38" s="95"/>
      <c r="J38" s="95"/>
      <c r="K38" s="95"/>
      <c r="L38" s="95"/>
      <c r="M38" s="95"/>
      <c r="N38" s="95"/>
      <c r="O38" s="95"/>
    </row>
    <row r="39" spans="1:15" ht="11.25" customHeight="1" x14ac:dyDescent="0.25"/>
    <row r="40" spans="1:15" x14ac:dyDescent="0.25">
      <c r="A40" s="99" t="s">
        <v>34</v>
      </c>
      <c r="B40" s="99"/>
      <c r="C40" s="99"/>
      <c r="D40" s="99"/>
      <c r="E40" s="99"/>
      <c r="F40" s="99"/>
      <c r="G40" s="99"/>
      <c r="I40" s="100" t="s">
        <v>87</v>
      </c>
      <c r="J40" s="100"/>
      <c r="K40" s="100"/>
      <c r="L40" s="100"/>
      <c r="M40" s="100"/>
      <c r="N40" s="100"/>
      <c r="O40" s="100"/>
    </row>
  </sheetData>
  <mergeCells count="24">
    <mergeCell ref="I16:K16"/>
    <mergeCell ref="A1:O1"/>
    <mergeCell ref="A2:O2"/>
    <mergeCell ref="A10:N10"/>
    <mergeCell ref="A12:N12"/>
    <mergeCell ref="A14:N14"/>
    <mergeCell ref="A27:O27"/>
    <mergeCell ref="A18:A19"/>
    <mergeCell ref="B18:B19"/>
    <mergeCell ref="C18:C19"/>
    <mergeCell ref="D18:D19"/>
    <mergeCell ref="E18:E19"/>
    <mergeCell ref="F18:I18"/>
    <mergeCell ref="J18:J19"/>
    <mergeCell ref="K18:K19"/>
    <mergeCell ref="L18:M18"/>
    <mergeCell ref="N18:O18"/>
    <mergeCell ref="A21:O21"/>
    <mergeCell ref="A34:G34"/>
    <mergeCell ref="A36:G36"/>
    <mergeCell ref="A38:G38"/>
    <mergeCell ref="I38:O38"/>
    <mergeCell ref="A40:G40"/>
    <mergeCell ref="I40:O40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2">
    <tabColor rgb="FF00B050"/>
  </sheetPr>
  <dimension ref="A1:O40"/>
  <sheetViews>
    <sheetView zoomScale="55" zoomScaleNormal="55" workbookViewId="0">
      <selection activeCell="A23" sqref="A23:K24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228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96" t="s">
        <v>86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</row>
    <row r="3" spans="1:15" x14ac:dyDescent="0.25">
      <c r="A3" s="7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7" t="s">
        <v>217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5" x14ac:dyDescent="0.25">
      <c r="A5" s="8" t="s">
        <v>41</v>
      </c>
      <c r="B5" s="8"/>
      <c r="C5" s="8"/>
      <c r="D5" s="8"/>
      <c r="E5" s="8"/>
      <c r="F5" s="8"/>
      <c r="G5" s="8"/>
      <c r="H5" s="8"/>
      <c r="I5" s="8"/>
      <c r="J5" s="3" t="s">
        <v>94</v>
      </c>
      <c r="K5" s="2"/>
      <c r="L5" s="2"/>
      <c r="M5" s="2"/>
      <c r="N5" s="2"/>
    </row>
    <row r="6" spans="1:15" x14ac:dyDescent="0.25">
      <c r="A6" s="6" t="s">
        <v>42</v>
      </c>
      <c r="F6" s="9"/>
      <c r="G6" s="9"/>
      <c r="H6" s="9"/>
      <c r="I6" s="9"/>
      <c r="J6" s="3"/>
      <c r="K6" s="3"/>
      <c r="L6" s="1"/>
      <c r="M6" s="1"/>
      <c r="N6" s="1"/>
    </row>
    <row r="7" spans="1:15" x14ac:dyDescent="0.25">
      <c r="A7" s="9" t="s">
        <v>140</v>
      </c>
      <c r="B7" s="9"/>
      <c r="C7" s="9"/>
      <c r="D7" s="9"/>
      <c r="E7" s="9"/>
      <c r="F7" s="9"/>
      <c r="G7" s="9"/>
      <c r="H7" s="9"/>
      <c r="I7" s="9"/>
      <c r="J7" s="3" t="s">
        <v>187</v>
      </c>
      <c r="K7" s="1"/>
      <c r="L7" s="1"/>
      <c r="M7" s="1"/>
      <c r="N7" s="1"/>
    </row>
    <row r="8" spans="1:15" x14ac:dyDescent="0.25">
      <c r="A8" s="9" t="s">
        <v>43</v>
      </c>
      <c r="B8" s="9"/>
      <c r="C8" s="9"/>
      <c r="D8" s="9"/>
      <c r="E8" s="9"/>
      <c r="F8" s="9"/>
      <c r="G8" s="9"/>
      <c r="H8" s="9"/>
      <c r="I8" s="9"/>
      <c r="J8" s="3" t="s">
        <v>96</v>
      </c>
      <c r="K8" s="1"/>
      <c r="L8" s="1"/>
      <c r="M8" s="1"/>
      <c r="N8" s="1"/>
    </row>
    <row r="9" spans="1:15" x14ac:dyDescent="0.25">
      <c r="A9" s="9" t="s">
        <v>1</v>
      </c>
      <c r="B9" s="9"/>
      <c r="C9" s="9"/>
      <c r="D9" s="9"/>
      <c r="E9" s="9"/>
      <c r="J9" s="3"/>
      <c r="K9" s="3"/>
      <c r="L9" s="3"/>
      <c r="M9" s="3"/>
      <c r="N9" s="3"/>
    </row>
    <row r="10" spans="1:15" x14ac:dyDescent="0.25">
      <c r="A10" s="97" t="s">
        <v>69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</row>
    <row r="11" spans="1:15" x14ac:dyDescent="0.25">
      <c r="A11" s="10" t="s">
        <v>70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</row>
    <row r="12" spans="1:15" x14ac:dyDescent="0.25">
      <c r="A12" s="98" t="s">
        <v>71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A13" s="6" t="s">
        <v>43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</row>
    <row r="14" spans="1:15" x14ac:dyDescent="0.25">
      <c r="A14" s="98" t="s">
        <v>72</v>
      </c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</row>
    <row r="15" spans="1:15" x14ac:dyDescent="0.25">
      <c r="A15" s="41" t="s">
        <v>73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</row>
    <row r="16" spans="1:15" x14ac:dyDescent="0.25">
      <c r="I16" s="98" t="s">
        <v>18</v>
      </c>
      <c r="J16" s="98"/>
      <c r="K16" s="98"/>
      <c r="L16" s="6" t="s">
        <v>24</v>
      </c>
    </row>
    <row r="17" spans="1:15" x14ac:dyDescent="0.25">
      <c r="A17" s="6" t="s">
        <v>219</v>
      </c>
      <c r="I17" s="6" t="s">
        <v>19</v>
      </c>
      <c r="L17" s="41">
        <v>4</v>
      </c>
    </row>
    <row r="18" spans="1:15" ht="16.5" customHeight="1" x14ac:dyDescent="0.25">
      <c r="A18" s="104" t="s">
        <v>2</v>
      </c>
      <c r="B18" s="104" t="s">
        <v>3</v>
      </c>
      <c r="C18" s="104" t="s">
        <v>4</v>
      </c>
      <c r="D18" s="104" t="s">
        <v>5</v>
      </c>
      <c r="E18" s="104" t="s">
        <v>6</v>
      </c>
      <c r="F18" s="101" t="s">
        <v>7</v>
      </c>
      <c r="G18" s="102"/>
      <c r="H18" s="102"/>
      <c r="I18" s="103"/>
      <c r="J18" s="104" t="s">
        <v>12</v>
      </c>
      <c r="K18" s="104" t="s">
        <v>13</v>
      </c>
      <c r="L18" s="101" t="s">
        <v>14</v>
      </c>
      <c r="M18" s="103"/>
      <c r="N18" s="101" t="s">
        <v>15</v>
      </c>
      <c r="O18" s="103"/>
    </row>
    <row r="19" spans="1:15" ht="27.6" x14ac:dyDescent="0.25">
      <c r="A19" s="105"/>
      <c r="B19" s="105"/>
      <c r="C19" s="105"/>
      <c r="D19" s="105"/>
      <c r="E19" s="105"/>
      <c r="F19" s="4" t="s">
        <v>8</v>
      </c>
      <c r="G19" s="4" t="s">
        <v>9</v>
      </c>
      <c r="H19" s="4" t="s">
        <v>10</v>
      </c>
      <c r="I19" s="4" t="s">
        <v>11</v>
      </c>
      <c r="J19" s="105"/>
      <c r="K19" s="105"/>
      <c r="L19" s="4" t="s">
        <v>16</v>
      </c>
      <c r="M19" s="4" t="s">
        <v>17</v>
      </c>
      <c r="N19" s="4" t="s">
        <v>16</v>
      </c>
      <c r="O19" s="4" t="s">
        <v>17</v>
      </c>
    </row>
    <row r="20" spans="1:15" x14ac:dyDescent="0.25">
      <c r="A20" s="4">
        <v>1</v>
      </c>
      <c r="B20" s="4">
        <v>2</v>
      </c>
      <c r="C20" s="4">
        <v>3</v>
      </c>
      <c r="D20" s="4">
        <v>4</v>
      </c>
      <c r="E20" s="4">
        <v>5</v>
      </c>
      <c r="F20" s="4">
        <v>6</v>
      </c>
      <c r="G20" s="4">
        <v>7</v>
      </c>
      <c r="H20" s="4">
        <v>8</v>
      </c>
      <c r="I20" s="4">
        <v>9</v>
      </c>
      <c r="J20" s="4">
        <v>10</v>
      </c>
      <c r="K20" s="4">
        <v>11</v>
      </c>
      <c r="L20" s="4">
        <v>12</v>
      </c>
      <c r="M20" s="4">
        <v>13</v>
      </c>
      <c r="N20" s="4">
        <v>14</v>
      </c>
      <c r="O20" s="4">
        <v>15</v>
      </c>
    </row>
    <row r="21" spans="1:15" x14ac:dyDescent="0.25">
      <c r="A21" s="106" t="s">
        <v>20</v>
      </c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8"/>
    </row>
    <row r="22" spans="1:15" ht="32.25" customHeight="1" x14ac:dyDescent="0.25">
      <c r="A22" s="11" t="s">
        <v>80</v>
      </c>
      <c r="B22" s="12"/>
      <c r="C22" s="4"/>
      <c r="D22" s="4"/>
      <c r="E22" s="4"/>
      <c r="F22" s="4"/>
      <c r="G22" s="13"/>
      <c r="H22" s="13"/>
      <c r="I22" s="13"/>
      <c r="J22" s="14"/>
      <c r="K22" s="14"/>
      <c r="L22" s="14"/>
      <c r="M22" s="14"/>
      <c r="N22" s="14"/>
      <c r="O22" s="14"/>
    </row>
    <row r="23" spans="1:15" ht="39" customHeight="1" x14ac:dyDescent="0.25">
      <c r="A23" s="11" t="s">
        <v>218</v>
      </c>
      <c r="B23" s="4">
        <v>1</v>
      </c>
      <c r="C23" s="4" t="s">
        <v>59</v>
      </c>
      <c r="D23" s="5">
        <v>3</v>
      </c>
      <c r="E23" s="5">
        <v>5</v>
      </c>
      <c r="F23" s="15">
        <v>44</v>
      </c>
      <c r="G23" s="13">
        <v>8889.4000000000015</v>
      </c>
      <c r="H23" s="13">
        <v>96.800000000000068</v>
      </c>
      <c r="I23" s="13">
        <v>8792.6</v>
      </c>
      <c r="J23" s="13"/>
      <c r="K23" s="13">
        <f>+I23*(108.5/(100+E23))</f>
        <v>9085.6866666666683</v>
      </c>
      <c r="L23" s="13"/>
      <c r="M23" s="13"/>
      <c r="N23" s="13"/>
      <c r="O23" s="13"/>
    </row>
    <row r="24" spans="1:15" ht="39" customHeight="1" x14ac:dyDescent="0.25">
      <c r="A24" s="11" t="s">
        <v>229</v>
      </c>
      <c r="B24" s="4">
        <v>1</v>
      </c>
      <c r="C24" s="4" t="s">
        <v>27</v>
      </c>
      <c r="D24" s="5">
        <v>2.5</v>
      </c>
      <c r="E24" s="5">
        <v>5</v>
      </c>
      <c r="F24" s="15">
        <v>20</v>
      </c>
      <c r="G24" s="13">
        <v>3989.7</v>
      </c>
      <c r="H24" s="13">
        <v>44.000000000000007</v>
      </c>
      <c r="I24" s="13">
        <v>3945.7</v>
      </c>
      <c r="J24" s="13"/>
      <c r="K24" s="13">
        <f>+I24*(108.5/(100+E24))</f>
        <v>4077.2233333333334</v>
      </c>
      <c r="L24" s="13"/>
      <c r="M24" s="13"/>
      <c r="N24" s="13"/>
      <c r="O24" s="13"/>
    </row>
    <row r="25" spans="1:15" ht="30.75" customHeight="1" x14ac:dyDescent="0.25">
      <c r="A25" s="16" t="s">
        <v>21</v>
      </c>
      <c r="B25" s="4"/>
      <c r="C25" s="4"/>
      <c r="D25" s="4"/>
      <c r="E25" s="13"/>
      <c r="F25" s="17">
        <f>SUM(F23:F24)</f>
        <v>64</v>
      </c>
      <c r="G25" s="18">
        <f>SUM(G23:G24)</f>
        <v>12879.100000000002</v>
      </c>
      <c r="H25" s="18">
        <f>SUM(H23:H24)</f>
        <v>140.80000000000007</v>
      </c>
      <c r="I25" s="18">
        <f>SUM(I23:I24)</f>
        <v>12738.3</v>
      </c>
      <c r="J25" s="18"/>
      <c r="K25" s="18">
        <f>SUM(K23:K24)</f>
        <v>13162.910000000002</v>
      </c>
      <c r="L25" s="18"/>
      <c r="M25" s="13"/>
      <c r="N25" s="13"/>
      <c r="O25" s="13"/>
    </row>
    <row r="26" spans="1:15" ht="14.25" customHeight="1" x14ac:dyDescent="0.25">
      <c r="A26" s="19"/>
      <c r="B26" s="20"/>
      <c r="C26" s="20"/>
      <c r="D26" s="20"/>
      <c r="E26" s="21"/>
      <c r="F26" s="22"/>
      <c r="G26" s="22"/>
      <c r="H26" s="22"/>
      <c r="I26" s="22"/>
      <c r="J26" s="22"/>
      <c r="K26" s="22"/>
      <c r="L26" s="22"/>
      <c r="M26" s="21"/>
      <c r="N26" s="21"/>
      <c r="O26" s="21"/>
    </row>
    <row r="27" spans="1:15" ht="14.4" x14ac:dyDescent="0.3">
      <c r="A27" s="109" t="s">
        <v>56</v>
      </c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</row>
    <row r="28" spans="1:15" ht="11.25" customHeight="1" x14ac:dyDescent="0.25"/>
    <row r="29" spans="1:15" x14ac:dyDescent="0.25">
      <c r="A29" s="6" t="s">
        <v>22</v>
      </c>
      <c r="D29" s="24">
        <f>+I25</f>
        <v>12738.3</v>
      </c>
    </row>
    <row r="30" spans="1:15" x14ac:dyDescent="0.25">
      <c r="D30" s="25"/>
      <c r="G30" s="23"/>
      <c r="H30" s="23"/>
      <c r="I30" s="23"/>
      <c r="J30" s="23"/>
      <c r="K30" s="23"/>
    </row>
    <row r="31" spans="1:15" x14ac:dyDescent="0.25">
      <c r="A31" s="6" t="s">
        <v>23</v>
      </c>
      <c r="D31" s="24">
        <f>+G25</f>
        <v>12879.100000000002</v>
      </c>
    </row>
    <row r="32" spans="1:15" ht="11.25" customHeight="1" x14ac:dyDescent="0.25">
      <c r="D32" s="24"/>
    </row>
    <row r="33" spans="1:15" ht="10.5" customHeight="1" x14ac:dyDescent="0.25"/>
    <row r="34" spans="1:15" x14ac:dyDescent="0.25">
      <c r="A34" s="95" t="s">
        <v>25</v>
      </c>
      <c r="B34" s="95"/>
      <c r="C34" s="95"/>
      <c r="D34" s="95"/>
      <c r="E34" s="95"/>
      <c r="F34" s="95"/>
      <c r="G34" s="95"/>
    </row>
    <row r="35" spans="1:15" ht="9.75" customHeight="1" x14ac:dyDescent="0.25"/>
    <row r="36" spans="1:15" x14ac:dyDescent="0.25">
      <c r="A36" s="95" t="s">
        <v>82</v>
      </c>
      <c r="B36" s="95"/>
      <c r="C36" s="95"/>
      <c r="D36" s="95"/>
      <c r="E36" s="95"/>
      <c r="F36" s="95"/>
      <c r="G36" s="95"/>
    </row>
    <row r="37" spans="1:15" ht="12" customHeight="1" x14ac:dyDescent="0.25"/>
    <row r="38" spans="1:15" x14ac:dyDescent="0.25">
      <c r="A38" s="95" t="s">
        <v>26</v>
      </c>
      <c r="B38" s="95"/>
      <c r="C38" s="95"/>
      <c r="D38" s="95"/>
      <c r="E38" s="95"/>
      <c r="F38" s="95"/>
      <c r="G38" s="95"/>
      <c r="I38" s="95"/>
      <c r="J38" s="95"/>
      <c r="K38" s="95"/>
      <c r="L38" s="95"/>
      <c r="M38" s="95"/>
      <c r="N38" s="95"/>
      <c r="O38" s="95"/>
    </row>
    <row r="39" spans="1:15" ht="11.25" customHeight="1" x14ac:dyDescent="0.25"/>
    <row r="40" spans="1:15" x14ac:dyDescent="0.25">
      <c r="A40" s="110" t="s">
        <v>119</v>
      </c>
      <c r="B40" s="110"/>
      <c r="C40" s="110"/>
      <c r="D40" s="110"/>
      <c r="E40" s="110"/>
      <c r="F40" s="110"/>
      <c r="G40" s="110"/>
      <c r="I40" s="100" t="s">
        <v>87</v>
      </c>
      <c r="J40" s="100"/>
      <c r="K40" s="100"/>
      <c r="L40" s="100"/>
      <c r="M40" s="100"/>
      <c r="N40" s="100"/>
      <c r="O40" s="100"/>
    </row>
  </sheetData>
  <mergeCells count="24">
    <mergeCell ref="I16:K16"/>
    <mergeCell ref="A1:O1"/>
    <mergeCell ref="A2:O2"/>
    <mergeCell ref="A10:N10"/>
    <mergeCell ref="A12:N12"/>
    <mergeCell ref="A14:N14"/>
    <mergeCell ref="A27:O27"/>
    <mergeCell ref="A18:A19"/>
    <mergeCell ref="B18:B19"/>
    <mergeCell ref="C18:C19"/>
    <mergeCell ref="D18:D19"/>
    <mergeCell ref="E18:E19"/>
    <mergeCell ref="F18:I18"/>
    <mergeCell ref="J18:J19"/>
    <mergeCell ref="K18:K19"/>
    <mergeCell ref="L18:M18"/>
    <mergeCell ref="N18:O18"/>
    <mergeCell ref="A21:O21"/>
    <mergeCell ref="A34:G34"/>
    <mergeCell ref="A36:G36"/>
    <mergeCell ref="A38:G38"/>
    <mergeCell ref="I38:O38"/>
    <mergeCell ref="A40:G40"/>
    <mergeCell ref="I40:O40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3">
    <tabColor rgb="FFFFFF00"/>
  </sheetPr>
  <dimension ref="A1:O37"/>
  <sheetViews>
    <sheetView zoomScale="70" zoomScaleNormal="70" workbookViewId="0">
      <selection activeCell="L21" sqref="L21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226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5" x14ac:dyDescent="0.25">
      <c r="A3" s="7" t="s">
        <v>225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8" t="s">
        <v>41</v>
      </c>
      <c r="B4" s="8"/>
      <c r="C4" s="8"/>
      <c r="D4" s="8"/>
      <c r="E4" s="8"/>
      <c r="F4" s="8"/>
      <c r="G4" s="8"/>
      <c r="H4" s="8"/>
      <c r="I4" s="8"/>
      <c r="J4" s="3" t="s">
        <v>105</v>
      </c>
      <c r="K4" s="2"/>
      <c r="L4" s="2"/>
      <c r="M4" s="2"/>
      <c r="N4" s="2"/>
    </row>
    <row r="5" spans="1:15" x14ac:dyDescent="0.25">
      <c r="A5" s="6" t="s">
        <v>42</v>
      </c>
      <c r="F5" s="9"/>
      <c r="G5" s="9"/>
      <c r="H5" s="9"/>
      <c r="I5" s="9"/>
      <c r="J5" s="3"/>
      <c r="K5" s="3"/>
      <c r="L5" s="1"/>
      <c r="M5" s="1"/>
      <c r="N5" s="1"/>
    </row>
    <row r="6" spans="1:15" x14ac:dyDescent="0.25">
      <c r="A6" s="9" t="s">
        <v>68</v>
      </c>
      <c r="B6" s="9"/>
      <c r="C6" s="9"/>
      <c r="D6" s="9"/>
      <c r="E6" s="9"/>
      <c r="F6" s="9"/>
      <c r="G6" s="9"/>
      <c r="H6" s="9"/>
      <c r="I6" s="9"/>
      <c r="J6" s="3" t="s">
        <v>64</v>
      </c>
      <c r="K6" s="1"/>
      <c r="L6" s="1"/>
      <c r="M6" s="1"/>
      <c r="N6" s="1"/>
    </row>
    <row r="7" spans="1:15" x14ac:dyDescent="0.25">
      <c r="A7" s="9" t="s">
        <v>43</v>
      </c>
      <c r="B7" s="9"/>
      <c r="C7" s="9"/>
      <c r="D7" s="9"/>
      <c r="E7" s="9"/>
      <c r="F7" s="9"/>
      <c r="G7" s="9"/>
      <c r="H7" s="9"/>
      <c r="I7" s="9"/>
      <c r="J7" s="3" t="s">
        <v>106</v>
      </c>
      <c r="K7" s="1"/>
      <c r="L7" s="1"/>
      <c r="M7" s="1"/>
      <c r="N7" s="1"/>
    </row>
    <row r="8" spans="1:15" x14ac:dyDescent="0.25">
      <c r="A8" s="9" t="s">
        <v>1</v>
      </c>
      <c r="B8" s="9"/>
      <c r="C8" s="9"/>
      <c r="D8" s="9"/>
      <c r="E8" s="9"/>
      <c r="J8" s="3"/>
      <c r="K8" s="3"/>
      <c r="L8" s="3"/>
      <c r="M8" s="3"/>
      <c r="N8" s="3"/>
    </row>
    <row r="9" spans="1:15" x14ac:dyDescent="0.25">
      <c r="A9" s="97" t="s">
        <v>44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</row>
    <row r="10" spans="1:15" x14ac:dyDescent="0.25">
      <c r="A10" s="10" t="s">
        <v>45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</row>
    <row r="11" spans="1:15" x14ac:dyDescent="0.25">
      <c r="A11" s="98" t="s">
        <v>140</v>
      </c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</row>
    <row r="12" spans="1:15" x14ac:dyDescent="0.25">
      <c r="A12" s="98" t="s">
        <v>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I13" s="98"/>
      <c r="J13" s="98"/>
      <c r="K13" s="98"/>
    </row>
    <row r="14" spans="1:15" x14ac:dyDescent="0.25">
      <c r="A14" s="6" t="s">
        <v>227</v>
      </c>
      <c r="L14" s="43"/>
    </row>
    <row r="15" spans="1:15" ht="16.5" customHeight="1" x14ac:dyDescent="0.25">
      <c r="A15" s="104" t="s">
        <v>2</v>
      </c>
      <c r="B15" s="104" t="s">
        <v>3</v>
      </c>
      <c r="C15" s="104" t="s">
        <v>4</v>
      </c>
      <c r="D15" s="104" t="s">
        <v>5</v>
      </c>
      <c r="E15" s="104" t="s">
        <v>6</v>
      </c>
      <c r="F15" s="101" t="s">
        <v>7</v>
      </c>
      <c r="G15" s="102"/>
      <c r="H15" s="102"/>
      <c r="I15" s="103"/>
      <c r="J15" s="104" t="s">
        <v>12</v>
      </c>
      <c r="K15" s="104" t="s">
        <v>13</v>
      </c>
      <c r="L15" s="101" t="s">
        <v>14</v>
      </c>
      <c r="M15" s="103"/>
      <c r="N15" s="101" t="s">
        <v>15</v>
      </c>
      <c r="O15" s="103"/>
    </row>
    <row r="16" spans="1:15" ht="27.6" x14ac:dyDescent="0.25">
      <c r="A16" s="105"/>
      <c r="B16" s="105"/>
      <c r="C16" s="105"/>
      <c r="D16" s="105"/>
      <c r="E16" s="105"/>
      <c r="F16" s="4" t="s">
        <v>8</v>
      </c>
      <c r="G16" s="4" t="s">
        <v>9</v>
      </c>
      <c r="H16" s="4" t="s">
        <v>10</v>
      </c>
      <c r="I16" s="4" t="s">
        <v>11</v>
      </c>
      <c r="J16" s="105"/>
      <c r="K16" s="105"/>
      <c r="L16" s="4" t="s">
        <v>16</v>
      </c>
      <c r="M16" s="4" t="s">
        <v>17</v>
      </c>
      <c r="N16" s="4" t="s">
        <v>16</v>
      </c>
      <c r="O16" s="4" t="s">
        <v>17</v>
      </c>
    </row>
    <row r="17" spans="1:15" x14ac:dyDescent="0.25">
      <c r="A17" s="4">
        <v>1</v>
      </c>
      <c r="B17" s="4">
        <v>2</v>
      </c>
      <c r="C17" s="4">
        <v>3</v>
      </c>
      <c r="D17" s="4">
        <v>4</v>
      </c>
      <c r="E17" s="4">
        <v>5</v>
      </c>
      <c r="F17" s="4">
        <v>6</v>
      </c>
      <c r="G17" s="4">
        <v>7</v>
      </c>
      <c r="H17" s="4">
        <v>8</v>
      </c>
      <c r="I17" s="4">
        <v>9</v>
      </c>
      <c r="J17" s="4">
        <v>10</v>
      </c>
      <c r="K17" s="4">
        <v>11</v>
      </c>
      <c r="L17" s="4">
        <v>12</v>
      </c>
      <c r="M17" s="4">
        <v>13</v>
      </c>
      <c r="N17" s="4">
        <v>14</v>
      </c>
      <c r="O17" s="4">
        <v>15</v>
      </c>
    </row>
    <row r="18" spans="1:15" x14ac:dyDescent="0.25">
      <c r="A18" s="106" t="s">
        <v>20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8"/>
    </row>
    <row r="19" spans="1:15" ht="32.25" customHeight="1" x14ac:dyDescent="0.25">
      <c r="A19" s="11" t="s">
        <v>80</v>
      </c>
      <c r="B19" s="12"/>
      <c r="C19" s="4"/>
      <c r="D19" s="4"/>
      <c r="E19" s="4"/>
      <c r="F19" s="4"/>
      <c r="G19" s="13"/>
      <c r="H19" s="13"/>
      <c r="I19" s="13"/>
      <c r="J19" s="14"/>
      <c r="K19" s="14"/>
      <c r="L19" s="14"/>
      <c r="M19" s="14"/>
      <c r="N19" s="14"/>
      <c r="O19" s="14"/>
    </row>
    <row r="20" spans="1:15" ht="45.75" customHeight="1" x14ac:dyDescent="0.25">
      <c r="A20" s="11" t="s">
        <v>223</v>
      </c>
      <c r="B20" s="4">
        <v>1</v>
      </c>
      <c r="C20" s="4" t="s">
        <v>161</v>
      </c>
      <c r="D20" s="5">
        <v>2</v>
      </c>
      <c r="E20" s="5">
        <v>5</v>
      </c>
      <c r="F20" s="15">
        <v>72</v>
      </c>
      <c r="G20" s="13">
        <v>15906.199999999995</v>
      </c>
      <c r="H20" s="13">
        <v>172.80000000000024</v>
      </c>
      <c r="I20" s="13">
        <v>15733.400000000003</v>
      </c>
      <c r="J20" s="13"/>
      <c r="K20" s="13">
        <f>+I20*(108.5/(100+E20))</f>
        <v>16257.846666666672</v>
      </c>
      <c r="L20" s="13"/>
      <c r="M20" s="13"/>
      <c r="N20" s="13"/>
      <c r="O20" s="13"/>
    </row>
    <row r="21" spans="1:15" ht="45.75" customHeight="1" x14ac:dyDescent="0.25">
      <c r="A21" s="11" t="s">
        <v>224</v>
      </c>
      <c r="B21" s="4">
        <v>1</v>
      </c>
      <c r="C21" s="4" t="s">
        <v>27</v>
      </c>
      <c r="D21" s="5">
        <v>2.5</v>
      </c>
      <c r="E21" s="5">
        <v>5</v>
      </c>
      <c r="F21" s="15">
        <v>18</v>
      </c>
      <c r="G21" s="13">
        <v>3822.6</v>
      </c>
      <c r="H21" s="13">
        <v>43.199999999999989</v>
      </c>
      <c r="I21" s="13">
        <v>3779.4000000000005</v>
      </c>
      <c r="J21" s="13"/>
      <c r="K21" s="13">
        <f>+I21*(108.5/(100+E21))</f>
        <v>3905.380000000001</v>
      </c>
      <c r="L21" s="13"/>
      <c r="M21" s="13"/>
      <c r="N21" s="13"/>
      <c r="O21" s="13"/>
    </row>
    <row r="22" spans="1:15" ht="30.75" customHeight="1" x14ac:dyDescent="0.25">
      <c r="A22" s="16" t="s">
        <v>21</v>
      </c>
      <c r="B22" s="4"/>
      <c r="C22" s="4"/>
      <c r="D22" s="4"/>
      <c r="E22" s="13"/>
      <c r="F22" s="17">
        <f>SUM(F20:F21)</f>
        <v>90</v>
      </c>
      <c r="G22" s="18">
        <f>SUM(G20:G21)</f>
        <v>19728.799999999996</v>
      </c>
      <c r="H22" s="18">
        <f>SUM(H20:H21)</f>
        <v>216.00000000000023</v>
      </c>
      <c r="I22" s="18">
        <f>SUM(I20:I21)</f>
        <v>19512.800000000003</v>
      </c>
      <c r="J22" s="18"/>
      <c r="K22" s="18">
        <f>SUM(K20:K21)</f>
        <v>20163.226666666673</v>
      </c>
      <c r="L22" s="18"/>
      <c r="M22" s="13"/>
      <c r="N22" s="13"/>
      <c r="O22" s="13"/>
    </row>
    <row r="23" spans="1:15" ht="14.25" customHeight="1" x14ac:dyDescent="0.25">
      <c r="A23" s="19"/>
      <c r="B23" s="20"/>
      <c r="C23" s="20"/>
      <c r="D23" s="20"/>
      <c r="E23" s="21"/>
      <c r="F23" s="22"/>
      <c r="G23" s="22"/>
      <c r="H23" s="22"/>
      <c r="I23" s="22"/>
      <c r="J23" s="22"/>
      <c r="K23" s="22"/>
      <c r="L23" s="22"/>
      <c r="M23" s="21"/>
      <c r="N23" s="21"/>
      <c r="O23" s="21"/>
    </row>
    <row r="24" spans="1:15" ht="14.4" x14ac:dyDescent="0.3">
      <c r="A24" s="109" t="s">
        <v>192</v>
      </c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</row>
    <row r="25" spans="1:15" ht="11.25" customHeight="1" x14ac:dyDescent="0.25"/>
    <row r="26" spans="1:15" x14ac:dyDescent="0.25">
      <c r="A26" s="6" t="s">
        <v>22</v>
      </c>
      <c r="D26" s="24">
        <f>+I22</f>
        <v>19512.800000000003</v>
      </c>
    </row>
    <row r="27" spans="1:15" x14ac:dyDescent="0.25">
      <c r="D27" s="25"/>
      <c r="G27" s="23"/>
      <c r="H27" s="23"/>
      <c r="I27" s="23"/>
      <c r="J27" s="23"/>
      <c r="K27" s="23"/>
    </row>
    <row r="28" spans="1:15" x14ac:dyDescent="0.25">
      <c r="A28" s="6" t="s">
        <v>23</v>
      </c>
      <c r="D28" s="24">
        <f>+K22</f>
        <v>20163.226666666673</v>
      </c>
    </row>
    <row r="29" spans="1:15" ht="11.25" customHeight="1" x14ac:dyDescent="0.25">
      <c r="D29" s="24"/>
    </row>
    <row r="30" spans="1:15" ht="10.5" customHeight="1" x14ac:dyDescent="0.25"/>
    <row r="31" spans="1:15" x14ac:dyDescent="0.25">
      <c r="A31" s="95" t="s">
        <v>25</v>
      </c>
      <c r="B31" s="95"/>
      <c r="C31" s="95"/>
      <c r="D31" s="95"/>
      <c r="E31" s="95"/>
      <c r="F31" s="95"/>
      <c r="G31" s="95"/>
    </row>
    <row r="32" spans="1:15" ht="9.75" customHeight="1" x14ac:dyDescent="0.25"/>
    <row r="33" spans="1:15" x14ac:dyDescent="0.25">
      <c r="A33" s="95" t="s">
        <v>82</v>
      </c>
      <c r="B33" s="95"/>
      <c r="C33" s="95"/>
      <c r="D33" s="95"/>
      <c r="E33" s="95"/>
      <c r="F33" s="95"/>
      <c r="G33" s="95"/>
    </row>
    <row r="34" spans="1:15" ht="12" customHeight="1" x14ac:dyDescent="0.25"/>
    <row r="35" spans="1:15" x14ac:dyDescent="0.25">
      <c r="A35" s="95" t="s">
        <v>26</v>
      </c>
      <c r="B35" s="95"/>
      <c r="C35" s="95"/>
      <c r="D35" s="95"/>
      <c r="E35" s="95"/>
      <c r="F35" s="95"/>
      <c r="G35" s="95"/>
      <c r="I35" s="95"/>
      <c r="J35" s="95"/>
      <c r="K35" s="95"/>
      <c r="L35" s="95"/>
      <c r="M35" s="95"/>
      <c r="N35" s="95"/>
      <c r="O35" s="95"/>
    </row>
    <row r="36" spans="1:15" ht="11.25" customHeight="1" x14ac:dyDescent="0.25"/>
    <row r="37" spans="1:15" x14ac:dyDescent="0.25">
      <c r="A37" s="110" t="s">
        <v>65</v>
      </c>
      <c r="B37" s="110"/>
      <c r="C37" s="110"/>
      <c r="D37" s="110"/>
      <c r="E37" s="110"/>
      <c r="F37" s="110"/>
      <c r="G37" s="110"/>
      <c r="I37" s="100" t="s">
        <v>46</v>
      </c>
      <c r="J37" s="100"/>
      <c r="K37" s="100"/>
      <c r="L37" s="100"/>
      <c r="M37" s="100"/>
      <c r="N37" s="100"/>
      <c r="O37" s="100"/>
    </row>
  </sheetData>
  <mergeCells count="23">
    <mergeCell ref="A35:G35"/>
    <mergeCell ref="I35:O35"/>
    <mergeCell ref="A37:G37"/>
    <mergeCell ref="I37:O37"/>
    <mergeCell ref="F15:I15"/>
    <mergeCell ref="J15:J16"/>
    <mergeCell ref="K15:K16"/>
    <mergeCell ref="L15:M15"/>
    <mergeCell ref="N15:O15"/>
    <mergeCell ref="A18:O18"/>
    <mergeCell ref="A15:A16"/>
    <mergeCell ref="B15:B16"/>
    <mergeCell ref="C15:C16"/>
    <mergeCell ref="D15:D16"/>
    <mergeCell ref="E15:E16"/>
    <mergeCell ref="A24:O24"/>
    <mergeCell ref="A31:G31"/>
    <mergeCell ref="A33:G33"/>
    <mergeCell ref="A1:O1"/>
    <mergeCell ref="A9:N9"/>
    <mergeCell ref="A11:N11"/>
    <mergeCell ref="A12:N12"/>
    <mergeCell ref="I13:K13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4">
    <tabColor rgb="FF00B050"/>
  </sheetPr>
  <dimension ref="A1:O40"/>
  <sheetViews>
    <sheetView zoomScale="55" zoomScaleNormal="55" workbookViewId="0">
      <selection activeCell="A23" sqref="A23:K24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230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96" t="s">
        <v>86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</row>
    <row r="3" spans="1:15" x14ac:dyDescent="0.25">
      <c r="A3" s="7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7" t="s">
        <v>225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5" x14ac:dyDescent="0.25">
      <c r="A5" s="8" t="s">
        <v>41</v>
      </c>
      <c r="B5" s="8"/>
      <c r="C5" s="8"/>
      <c r="D5" s="8"/>
      <c r="E5" s="8"/>
      <c r="F5" s="8"/>
      <c r="G5" s="8"/>
      <c r="H5" s="8"/>
      <c r="I5" s="8"/>
      <c r="J5" s="3" t="s">
        <v>94</v>
      </c>
      <c r="K5" s="2"/>
      <c r="L5" s="2"/>
      <c r="M5" s="2"/>
      <c r="N5" s="2"/>
    </row>
    <row r="6" spans="1:15" x14ac:dyDescent="0.25">
      <c r="A6" s="6" t="s">
        <v>42</v>
      </c>
      <c r="F6" s="9"/>
      <c r="G6" s="9"/>
      <c r="H6" s="9"/>
      <c r="I6" s="9"/>
      <c r="J6" s="3"/>
      <c r="K6" s="3"/>
      <c r="L6" s="1"/>
      <c r="M6" s="1"/>
      <c r="N6" s="1"/>
    </row>
    <row r="7" spans="1:15" x14ac:dyDescent="0.25">
      <c r="A7" s="9" t="s">
        <v>140</v>
      </c>
      <c r="B7" s="9"/>
      <c r="C7" s="9"/>
      <c r="D7" s="9"/>
      <c r="E7" s="9"/>
      <c r="F7" s="9"/>
      <c r="G7" s="9"/>
      <c r="H7" s="9"/>
      <c r="I7" s="9"/>
      <c r="J7" s="3" t="s">
        <v>187</v>
      </c>
      <c r="K7" s="1"/>
      <c r="L7" s="1"/>
      <c r="M7" s="1"/>
      <c r="N7" s="1"/>
    </row>
    <row r="8" spans="1:15" x14ac:dyDescent="0.25">
      <c r="A8" s="9" t="s">
        <v>43</v>
      </c>
      <c r="B8" s="9"/>
      <c r="C8" s="9"/>
      <c r="D8" s="9"/>
      <c r="E8" s="9"/>
      <c r="F8" s="9"/>
      <c r="G8" s="9"/>
      <c r="H8" s="9"/>
      <c r="I8" s="9"/>
      <c r="J8" s="3" t="s">
        <v>96</v>
      </c>
      <c r="K8" s="1"/>
      <c r="L8" s="1"/>
      <c r="M8" s="1"/>
      <c r="N8" s="1"/>
    </row>
    <row r="9" spans="1:15" x14ac:dyDescent="0.25">
      <c r="A9" s="9" t="s">
        <v>1</v>
      </c>
      <c r="B9" s="9"/>
      <c r="C9" s="9"/>
      <c r="D9" s="9"/>
      <c r="E9" s="9"/>
      <c r="J9" s="3"/>
      <c r="K9" s="3"/>
      <c r="L9" s="3"/>
      <c r="M9" s="3"/>
      <c r="N9" s="3"/>
    </row>
    <row r="10" spans="1:15" x14ac:dyDescent="0.25">
      <c r="A10" s="97" t="s">
        <v>69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</row>
    <row r="11" spans="1:15" x14ac:dyDescent="0.25">
      <c r="A11" s="10" t="s">
        <v>70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</row>
    <row r="12" spans="1:15" x14ac:dyDescent="0.25">
      <c r="A12" s="98" t="s">
        <v>71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A13" s="6" t="s">
        <v>43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5" x14ac:dyDescent="0.25">
      <c r="A14" s="98" t="s">
        <v>72</v>
      </c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</row>
    <row r="15" spans="1:15" x14ac:dyDescent="0.25">
      <c r="A15" s="45" t="s">
        <v>73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</row>
    <row r="16" spans="1:15" x14ac:dyDescent="0.25">
      <c r="I16" s="98" t="s">
        <v>18</v>
      </c>
      <c r="J16" s="98"/>
      <c r="K16" s="98"/>
      <c r="L16" s="6" t="s">
        <v>24</v>
      </c>
    </row>
    <row r="17" spans="1:15" x14ac:dyDescent="0.25">
      <c r="A17" s="6" t="s">
        <v>231</v>
      </c>
      <c r="I17" s="6" t="s">
        <v>19</v>
      </c>
      <c r="L17" s="45">
        <v>4</v>
      </c>
    </row>
    <row r="18" spans="1:15" ht="16.5" customHeight="1" x14ac:dyDescent="0.25">
      <c r="A18" s="104" t="s">
        <v>2</v>
      </c>
      <c r="B18" s="104" t="s">
        <v>3</v>
      </c>
      <c r="C18" s="104" t="s">
        <v>4</v>
      </c>
      <c r="D18" s="104" t="s">
        <v>5</v>
      </c>
      <c r="E18" s="104" t="s">
        <v>6</v>
      </c>
      <c r="F18" s="101" t="s">
        <v>7</v>
      </c>
      <c r="G18" s="102"/>
      <c r="H18" s="102"/>
      <c r="I18" s="103"/>
      <c r="J18" s="104" t="s">
        <v>12</v>
      </c>
      <c r="K18" s="104" t="s">
        <v>13</v>
      </c>
      <c r="L18" s="101" t="s">
        <v>14</v>
      </c>
      <c r="M18" s="103"/>
      <c r="N18" s="101" t="s">
        <v>15</v>
      </c>
      <c r="O18" s="103"/>
    </row>
    <row r="19" spans="1:15" ht="27.6" x14ac:dyDescent="0.25">
      <c r="A19" s="105"/>
      <c r="B19" s="105"/>
      <c r="C19" s="105"/>
      <c r="D19" s="105"/>
      <c r="E19" s="105"/>
      <c r="F19" s="4" t="s">
        <v>8</v>
      </c>
      <c r="G19" s="4" t="s">
        <v>9</v>
      </c>
      <c r="H19" s="4" t="s">
        <v>10</v>
      </c>
      <c r="I19" s="4" t="s">
        <v>11</v>
      </c>
      <c r="J19" s="105"/>
      <c r="K19" s="105"/>
      <c r="L19" s="4" t="s">
        <v>16</v>
      </c>
      <c r="M19" s="4" t="s">
        <v>17</v>
      </c>
      <c r="N19" s="4" t="s">
        <v>16</v>
      </c>
      <c r="O19" s="4" t="s">
        <v>17</v>
      </c>
    </row>
    <row r="20" spans="1:15" x14ac:dyDescent="0.25">
      <c r="A20" s="4">
        <v>1</v>
      </c>
      <c r="B20" s="4">
        <v>2</v>
      </c>
      <c r="C20" s="4">
        <v>3</v>
      </c>
      <c r="D20" s="4">
        <v>4</v>
      </c>
      <c r="E20" s="4">
        <v>5</v>
      </c>
      <c r="F20" s="4">
        <v>6</v>
      </c>
      <c r="G20" s="4">
        <v>7</v>
      </c>
      <c r="H20" s="4">
        <v>8</v>
      </c>
      <c r="I20" s="4">
        <v>9</v>
      </c>
      <c r="J20" s="4">
        <v>10</v>
      </c>
      <c r="K20" s="4">
        <v>11</v>
      </c>
      <c r="L20" s="4">
        <v>12</v>
      </c>
      <c r="M20" s="4">
        <v>13</v>
      </c>
      <c r="N20" s="4">
        <v>14</v>
      </c>
      <c r="O20" s="4">
        <v>15</v>
      </c>
    </row>
    <row r="21" spans="1:15" x14ac:dyDescent="0.25">
      <c r="A21" s="106" t="s">
        <v>20</v>
      </c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8"/>
    </row>
    <row r="22" spans="1:15" ht="32.25" customHeight="1" x14ac:dyDescent="0.25">
      <c r="A22" s="11" t="s">
        <v>80</v>
      </c>
      <c r="B22" s="12"/>
      <c r="C22" s="4"/>
      <c r="D22" s="4"/>
      <c r="E22" s="4"/>
      <c r="F22" s="4"/>
      <c r="G22" s="13"/>
      <c r="H22" s="13"/>
      <c r="I22" s="13"/>
      <c r="J22" s="14"/>
      <c r="K22" s="14"/>
      <c r="L22" s="14"/>
      <c r="M22" s="14"/>
      <c r="N22" s="14"/>
      <c r="O22" s="14"/>
    </row>
    <row r="23" spans="1:15" ht="39" customHeight="1" x14ac:dyDescent="0.25">
      <c r="A23" s="11" t="s">
        <v>232</v>
      </c>
      <c r="B23" s="4">
        <v>1</v>
      </c>
      <c r="C23" s="4" t="s">
        <v>59</v>
      </c>
      <c r="D23" s="5">
        <v>3</v>
      </c>
      <c r="E23" s="5">
        <v>5</v>
      </c>
      <c r="F23" s="15">
        <v>17</v>
      </c>
      <c r="G23" s="13">
        <v>3492.8000000000006</v>
      </c>
      <c r="H23" s="13">
        <v>37.4</v>
      </c>
      <c r="I23" s="13">
        <v>3455.4</v>
      </c>
      <c r="J23" s="13"/>
      <c r="K23" s="13">
        <f>+I23*(108.5/(100+E23))</f>
        <v>3570.5800000000004</v>
      </c>
      <c r="L23" s="13"/>
      <c r="M23" s="13"/>
      <c r="N23" s="13"/>
      <c r="O23" s="13"/>
    </row>
    <row r="24" spans="1:15" ht="39" customHeight="1" x14ac:dyDescent="0.25">
      <c r="A24" s="11" t="s">
        <v>233</v>
      </c>
      <c r="B24" s="4">
        <v>1</v>
      </c>
      <c r="C24" s="4" t="s">
        <v>27</v>
      </c>
      <c r="D24" s="5">
        <v>2.5</v>
      </c>
      <c r="E24" s="5">
        <v>5</v>
      </c>
      <c r="F24" s="15">
        <v>79</v>
      </c>
      <c r="G24" s="13">
        <v>15887.000000000004</v>
      </c>
      <c r="H24" s="13">
        <v>173.79999999999987</v>
      </c>
      <c r="I24" s="13">
        <v>15713.200000000003</v>
      </c>
      <c r="J24" s="13"/>
      <c r="K24" s="13">
        <f>+I24*(108.5/(100+E24))</f>
        <v>16236.973333333337</v>
      </c>
      <c r="L24" s="13"/>
      <c r="M24" s="13"/>
      <c r="N24" s="13"/>
      <c r="O24" s="13"/>
    </row>
    <row r="25" spans="1:15" ht="30.75" customHeight="1" x14ac:dyDescent="0.25">
      <c r="A25" s="16" t="s">
        <v>21</v>
      </c>
      <c r="B25" s="4"/>
      <c r="C25" s="4"/>
      <c r="D25" s="4"/>
      <c r="E25" s="13"/>
      <c r="F25" s="17">
        <f>SUM(F23:F24)</f>
        <v>96</v>
      </c>
      <c r="G25" s="18">
        <f>SUM(G23:G24)</f>
        <v>19379.800000000003</v>
      </c>
      <c r="H25" s="18">
        <f>SUM(H23:H24)</f>
        <v>211.19999999999987</v>
      </c>
      <c r="I25" s="18">
        <f>SUM(I23:I24)</f>
        <v>19168.600000000002</v>
      </c>
      <c r="J25" s="18"/>
      <c r="K25" s="18">
        <f>SUM(K23:K24)</f>
        <v>19807.553333333337</v>
      </c>
      <c r="L25" s="18"/>
      <c r="M25" s="13"/>
      <c r="N25" s="13"/>
      <c r="O25" s="13"/>
    </row>
    <row r="26" spans="1:15" ht="14.25" customHeight="1" x14ac:dyDescent="0.25">
      <c r="A26" s="19"/>
      <c r="B26" s="20"/>
      <c r="C26" s="20"/>
      <c r="D26" s="20"/>
      <c r="E26" s="21"/>
      <c r="F26" s="22"/>
      <c r="G26" s="22"/>
      <c r="H26" s="22"/>
      <c r="I26" s="22"/>
      <c r="J26" s="22"/>
      <c r="K26" s="22"/>
      <c r="L26" s="22"/>
      <c r="M26" s="21"/>
      <c r="N26" s="21"/>
      <c r="O26" s="21"/>
    </row>
    <row r="27" spans="1:15" ht="14.4" x14ac:dyDescent="0.3">
      <c r="A27" s="109" t="s">
        <v>56</v>
      </c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</row>
    <row r="28" spans="1:15" ht="11.25" customHeight="1" x14ac:dyDescent="0.25"/>
    <row r="29" spans="1:15" x14ac:dyDescent="0.25">
      <c r="A29" s="6" t="s">
        <v>22</v>
      </c>
      <c r="D29" s="24">
        <f>+I25</f>
        <v>19168.600000000002</v>
      </c>
    </row>
    <row r="30" spans="1:15" x14ac:dyDescent="0.25">
      <c r="D30" s="25"/>
      <c r="G30" s="23"/>
      <c r="H30" s="23"/>
      <c r="I30" s="23"/>
      <c r="J30" s="23"/>
      <c r="K30" s="23"/>
    </row>
    <row r="31" spans="1:15" x14ac:dyDescent="0.25">
      <c r="A31" s="6" t="s">
        <v>23</v>
      </c>
      <c r="D31" s="24">
        <f>+G25</f>
        <v>19379.800000000003</v>
      </c>
    </row>
    <row r="32" spans="1:15" ht="11.25" customHeight="1" x14ac:dyDescent="0.25">
      <c r="D32" s="24"/>
    </row>
    <row r="33" spans="1:15" ht="10.5" customHeight="1" x14ac:dyDescent="0.25"/>
    <row r="34" spans="1:15" x14ac:dyDescent="0.25">
      <c r="A34" s="95" t="s">
        <v>25</v>
      </c>
      <c r="B34" s="95"/>
      <c r="C34" s="95"/>
      <c r="D34" s="95"/>
      <c r="E34" s="95"/>
      <c r="F34" s="95"/>
      <c r="G34" s="95"/>
    </row>
    <row r="35" spans="1:15" ht="9.75" customHeight="1" x14ac:dyDescent="0.25"/>
    <row r="36" spans="1:15" x14ac:dyDescent="0.25">
      <c r="A36" s="95" t="s">
        <v>82</v>
      </c>
      <c r="B36" s="95"/>
      <c r="C36" s="95"/>
      <c r="D36" s="95"/>
      <c r="E36" s="95"/>
      <c r="F36" s="95"/>
      <c r="G36" s="95"/>
    </row>
    <row r="37" spans="1:15" ht="12" customHeight="1" x14ac:dyDescent="0.25"/>
    <row r="38" spans="1:15" x14ac:dyDescent="0.25">
      <c r="A38" s="95" t="s">
        <v>26</v>
      </c>
      <c r="B38" s="95"/>
      <c r="C38" s="95"/>
      <c r="D38" s="95"/>
      <c r="E38" s="95"/>
      <c r="F38" s="95"/>
      <c r="G38" s="95"/>
      <c r="I38" s="95"/>
      <c r="J38" s="95"/>
      <c r="K38" s="95"/>
      <c r="L38" s="95"/>
      <c r="M38" s="95"/>
      <c r="N38" s="95"/>
      <c r="O38" s="95"/>
    </row>
    <row r="39" spans="1:15" ht="11.25" customHeight="1" x14ac:dyDescent="0.25"/>
    <row r="40" spans="1:15" x14ac:dyDescent="0.25">
      <c r="A40" s="110" t="s">
        <v>119</v>
      </c>
      <c r="B40" s="110"/>
      <c r="C40" s="110"/>
      <c r="D40" s="110"/>
      <c r="E40" s="110"/>
      <c r="F40" s="110"/>
      <c r="G40" s="110"/>
      <c r="I40" s="100" t="s">
        <v>87</v>
      </c>
      <c r="J40" s="100"/>
      <c r="K40" s="100"/>
      <c r="L40" s="100"/>
      <c r="M40" s="100"/>
      <c r="N40" s="100"/>
      <c r="O40" s="100"/>
    </row>
  </sheetData>
  <mergeCells count="24">
    <mergeCell ref="A34:G34"/>
    <mergeCell ref="A36:G36"/>
    <mergeCell ref="A38:G38"/>
    <mergeCell ref="I38:O38"/>
    <mergeCell ref="A40:G40"/>
    <mergeCell ref="I40:O40"/>
    <mergeCell ref="A27:O27"/>
    <mergeCell ref="A18:A19"/>
    <mergeCell ref="B18:B19"/>
    <mergeCell ref="C18:C19"/>
    <mergeCell ref="D18:D19"/>
    <mergeCell ref="E18:E19"/>
    <mergeCell ref="F18:I18"/>
    <mergeCell ref="J18:J19"/>
    <mergeCell ref="K18:K19"/>
    <mergeCell ref="L18:M18"/>
    <mergeCell ref="N18:O18"/>
    <mergeCell ref="A21:O21"/>
    <mergeCell ref="I16:K16"/>
    <mergeCell ref="A1:O1"/>
    <mergeCell ref="A2:O2"/>
    <mergeCell ref="A10:N10"/>
    <mergeCell ref="A12:N12"/>
    <mergeCell ref="A14:N14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5">
    <tabColor rgb="FFFFFF00"/>
  </sheetPr>
  <dimension ref="A1:O37"/>
  <sheetViews>
    <sheetView zoomScale="70" zoomScaleNormal="70" workbookViewId="0">
      <selection activeCell="A20" sqref="A20:K21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234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5" x14ac:dyDescent="0.25">
      <c r="A3" s="7" t="s">
        <v>225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8" t="s">
        <v>41</v>
      </c>
      <c r="B4" s="8"/>
      <c r="C4" s="8"/>
      <c r="D4" s="8"/>
      <c r="E4" s="8"/>
      <c r="F4" s="8"/>
      <c r="G4" s="8"/>
      <c r="H4" s="8"/>
      <c r="I4" s="8"/>
      <c r="J4" s="3" t="s">
        <v>105</v>
      </c>
      <c r="K4" s="2"/>
      <c r="L4" s="2"/>
      <c r="M4" s="2"/>
      <c r="N4" s="2"/>
    </row>
    <row r="5" spans="1:15" x14ac:dyDescent="0.25">
      <c r="A5" s="6" t="s">
        <v>42</v>
      </c>
      <c r="F5" s="9"/>
      <c r="G5" s="9"/>
      <c r="H5" s="9"/>
      <c r="I5" s="9"/>
      <c r="J5" s="3"/>
      <c r="K5" s="3"/>
      <c r="L5" s="1"/>
      <c r="M5" s="1"/>
      <c r="N5" s="1"/>
    </row>
    <row r="6" spans="1:15" x14ac:dyDescent="0.25">
      <c r="A6" s="9" t="s">
        <v>68</v>
      </c>
      <c r="B6" s="9"/>
      <c r="C6" s="9"/>
      <c r="D6" s="9"/>
      <c r="E6" s="9"/>
      <c r="F6" s="9"/>
      <c r="G6" s="9"/>
      <c r="H6" s="9"/>
      <c r="I6" s="9"/>
      <c r="J6" s="3" t="s">
        <v>64</v>
      </c>
      <c r="K6" s="1"/>
      <c r="L6" s="1"/>
      <c r="M6" s="1"/>
      <c r="N6" s="1"/>
    </row>
    <row r="7" spans="1:15" x14ac:dyDescent="0.25">
      <c r="A7" s="9" t="s">
        <v>43</v>
      </c>
      <c r="B7" s="9"/>
      <c r="C7" s="9"/>
      <c r="D7" s="9"/>
      <c r="E7" s="9"/>
      <c r="F7" s="9"/>
      <c r="G7" s="9"/>
      <c r="H7" s="9"/>
      <c r="I7" s="9"/>
      <c r="J7" s="3" t="s">
        <v>106</v>
      </c>
      <c r="K7" s="1"/>
      <c r="L7" s="1"/>
      <c r="M7" s="1"/>
      <c r="N7" s="1"/>
    </row>
    <row r="8" spans="1:15" x14ac:dyDescent="0.25">
      <c r="A8" s="9" t="s">
        <v>1</v>
      </c>
      <c r="B8" s="9"/>
      <c r="C8" s="9"/>
      <c r="D8" s="9"/>
      <c r="E8" s="9"/>
      <c r="J8" s="3"/>
      <c r="K8" s="3"/>
      <c r="L8" s="3"/>
      <c r="M8" s="3"/>
      <c r="N8" s="3"/>
    </row>
    <row r="9" spans="1:15" x14ac:dyDescent="0.25">
      <c r="A9" s="97" t="s">
        <v>44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</row>
    <row r="10" spans="1:15" x14ac:dyDescent="0.25">
      <c r="A10" s="10" t="s">
        <v>45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5" x14ac:dyDescent="0.25">
      <c r="A11" s="98" t="s">
        <v>140</v>
      </c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</row>
    <row r="12" spans="1:15" x14ac:dyDescent="0.25">
      <c r="A12" s="98" t="s">
        <v>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I13" s="98"/>
      <c r="J13" s="98"/>
      <c r="K13" s="98"/>
    </row>
    <row r="14" spans="1:15" x14ac:dyDescent="0.25">
      <c r="A14" s="6" t="s">
        <v>238</v>
      </c>
      <c r="L14" s="47"/>
    </row>
    <row r="15" spans="1:15" ht="16.5" customHeight="1" x14ac:dyDescent="0.25">
      <c r="A15" s="104" t="s">
        <v>2</v>
      </c>
      <c r="B15" s="104" t="s">
        <v>3</v>
      </c>
      <c r="C15" s="104" t="s">
        <v>4</v>
      </c>
      <c r="D15" s="104" t="s">
        <v>5</v>
      </c>
      <c r="E15" s="104" t="s">
        <v>6</v>
      </c>
      <c r="F15" s="101" t="s">
        <v>7</v>
      </c>
      <c r="G15" s="102"/>
      <c r="H15" s="102"/>
      <c r="I15" s="103"/>
      <c r="J15" s="104" t="s">
        <v>12</v>
      </c>
      <c r="K15" s="104" t="s">
        <v>13</v>
      </c>
      <c r="L15" s="101" t="s">
        <v>14</v>
      </c>
      <c r="M15" s="103"/>
      <c r="N15" s="101" t="s">
        <v>15</v>
      </c>
      <c r="O15" s="103"/>
    </row>
    <row r="16" spans="1:15" ht="27.6" x14ac:dyDescent="0.25">
      <c r="A16" s="105"/>
      <c r="B16" s="105"/>
      <c r="C16" s="105"/>
      <c r="D16" s="105"/>
      <c r="E16" s="105"/>
      <c r="F16" s="4" t="s">
        <v>8</v>
      </c>
      <c r="G16" s="4" t="s">
        <v>9</v>
      </c>
      <c r="H16" s="4" t="s">
        <v>10</v>
      </c>
      <c r="I16" s="4" t="s">
        <v>11</v>
      </c>
      <c r="J16" s="105"/>
      <c r="K16" s="105"/>
      <c r="L16" s="4" t="s">
        <v>16</v>
      </c>
      <c r="M16" s="4" t="s">
        <v>17</v>
      </c>
      <c r="N16" s="4" t="s">
        <v>16</v>
      </c>
      <c r="O16" s="4" t="s">
        <v>17</v>
      </c>
    </row>
    <row r="17" spans="1:15" x14ac:dyDescent="0.25">
      <c r="A17" s="4">
        <v>1</v>
      </c>
      <c r="B17" s="4">
        <v>2</v>
      </c>
      <c r="C17" s="4">
        <v>3</v>
      </c>
      <c r="D17" s="4">
        <v>4</v>
      </c>
      <c r="E17" s="4">
        <v>5</v>
      </c>
      <c r="F17" s="4">
        <v>6</v>
      </c>
      <c r="G17" s="4">
        <v>7</v>
      </c>
      <c r="H17" s="4">
        <v>8</v>
      </c>
      <c r="I17" s="4">
        <v>9</v>
      </c>
      <c r="J17" s="4">
        <v>10</v>
      </c>
      <c r="K17" s="4">
        <v>11</v>
      </c>
      <c r="L17" s="4">
        <v>12</v>
      </c>
      <c r="M17" s="4">
        <v>13</v>
      </c>
      <c r="N17" s="4">
        <v>14</v>
      </c>
      <c r="O17" s="4">
        <v>15</v>
      </c>
    </row>
    <row r="18" spans="1:15" x14ac:dyDescent="0.25">
      <c r="A18" s="106" t="s">
        <v>20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8"/>
    </row>
    <row r="19" spans="1:15" ht="32.25" customHeight="1" x14ac:dyDescent="0.25">
      <c r="A19" s="11" t="s">
        <v>80</v>
      </c>
      <c r="B19" s="12"/>
      <c r="C19" s="4"/>
      <c r="D19" s="4"/>
      <c r="E19" s="4"/>
      <c r="F19" s="4"/>
      <c r="G19" s="13"/>
      <c r="H19" s="13"/>
      <c r="I19" s="13"/>
      <c r="J19" s="14"/>
      <c r="K19" s="14"/>
      <c r="L19" s="14"/>
      <c r="M19" s="14"/>
      <c r="N19" s="14"/>
      <c r="O19" s="14"/>
    </row>
    <row r="20" spans="1:15" ht="45.75" customHeight="1" x14ac:dyDescent="0.25">
      <c r="A20" s="11" t="s">
        <v>244</v>
      </c>
      <c r="B20" s="4">
        <v>1</v>
      </c>
      <c r="C20" s="4" t="s">
        <v>27</v>
      </c>
      <c r="D20" s="5">
        <v>2.5</v>
      </c>
      <c r="E20" s="5">
        <v>5</v>
      </c>
      <c r="F20" s="15">
        <v>17</v>
      </c>
      <c r="G20" s="13">
        <v>3701.7999999999997</v>
      </c>
      <c r="H20" s="13">
        <v>40.79999999999999</v>
      </c>
      <c r="I20" s="13">
        <v>3661.0000000000005</v>
      </c>
      <c r="J20" s="13"/>
      <c r="K20" s="13">
        <f>+I20*(108.5/(100+E20))</f>
        <v>3783.0333333333342</v>
      </c>
      <c r="L20" s="13"/>
      <c r="M20" s="13"/>
      <c r="N20" s="13"/>
      <c r="O20" s="13"/>
    </row>
    <row r="21" spans="1:15" ht="45.75" customHeight="1" x14ac:dyDescent="0.25">
      <c r="A21" s="11" t="s">
        <v>245</v>
      </c>
      <c r="B21" s="4">
        <v>1</v>
      </c>
      <c r="C21" s="4" t="s">
        <v>59</v>
      </c>
      <c r="D21" s="5">
        <v>3</v>
      </c>
      <c r="E21" s="5">
        <v>5</v>
      </c>
      <c r="F21" s="15">
        <v>73</v>
      </c>
      <c r="G21" s="13">
        <v>16005.9</v>
      </c>
      <c r="H21" s="13">
        <v>175.20000000000024</v>
      </c>
      <c r="I21" s="13">
        <v>15830.700000000003</v>
      </c>
      <c r="J21" s="13"/>
      <c r="K21" s="13">
        <f>+I21*(108.5/(100+E21))</f>
        <v>16358.390000000005</v>
      </c>
      <c r="L21" s="13"/>
      <c r="M21" s="13"/>
      <c r="N21" s="13"/>
      <c r="O21" s="13"/>
    </row>
    <row r="22" spans="1:15" ht="30.75" customHeight="1" x14ac:dyDescent="0.25">
      <c r="A22" s="16" t="s">
        <v>21</v>
      </c>
      <c r="B22" s="4"/>
      <c r="C22" s="4"/>
      <c r="D22" s="4"/>
      <c r="E22" s="13"/>
      <c r="F22" s="17">
        <f>SUM(F20:F21)</f>
        <v>90</v>
      </c>
      <c r="G22" s="18">
        <f>SUM(G20:G21)</f>
        <v>19707.7</v>
      </c>
      <c r="H22" s="18">
        <f>SUM(H20:H21)</f>
        <v>216.00000000000023</v>
      </c>
      <c r="I22" s="18">
        <f>SUM(I20:I21)</f>
        <v>19491.700000000004</v>
      </c>
      <c r="J22" s="18"/>
      <c r="K22" s="18">
        <f>SUM(K20:K21)</f>
        <v>20141.42333333334</v>
      </c>
      <c r="L22" s="18"/>
      <c r="M22" s="13"/>
      <c r="N22" s="13"/>
      <c r="O22" s="13"/>
    </row>
    <row r="23" spans="1:15" ht="14.25" customHeight="1" x14ac:dyDescent="0.25">
      <c r="A23" s="19"/>
      <c r="B23" s="20"/>
      <c r="C23" s="20"/>
      <c r="D23" s="20"/>
      <c r="E23" s="21"/>
      <c r="F23" s="22"/>
      <c r="G23" s="22"/>
      <c r="H23" s="22"/>
      <c r="I23" s="22"/>
      <c r="J23" s="22"/>
      <c r="K23" s="22"/>
      <c r="L23" s="22"/>
      <c r="M23" s="21"/>
      <c r="N23" s="21"/>
      <c r="O23" s="21"/>
    </row>
    <row r="24" spans="1:15" ht="14.4" x14ac:dyDescent="0.3">
      <c r="A24" s="109" t="s">
        <v>192</v>
      </c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</row>
    <row r="25" spans="1:15" ht="11.25" customHeight="1" x14ac:dyDescent="0.25"/>
    <row r="26" spans="1:15" x14ac:dyDescent="0.25">
      <c r="A26" s="6" t="s">
        <v>22</v>
      </c>
      <c r="D26" s="24">
        <f>+I22</f>
        <v>19491.700000000004</v>
      </c>
    </row>
    <row r="27" spans="1:15" x14ac:dyDescent="0.25">
      <c r="D27" s="25"/>
      <c r="G27" s="23"/>
      <c r="H27" s="23"/>
      <c r="I27" s="23"/>
      <c r="J27" s="23"/>
      <c r="K27" s="23"/>
    </row>
    <row r="28" spans="1:15" x14ac:dyDescent="0.25">
      <c r="A28" s="6" t="s">
        <v>23</v>
      </c>
      <c r="D28" s="24">
        <f>+K22</f>
        <v>20141.42333333334</v>
      </c>
    </row>
    <row r="29" spans="1:15" ht="11.25" customHeight="1" x14ac:dyDescent="0.25">
      <c r="D29" s="24"/>
    </row>
    <row r="30" spans="1:15" ht="10.5" customHeight="1" x14ac:dyDescent="0.25"/>
    <row r="31" spans="1:15" x14ac:dyDescent="0.25">
      <c r="A31" s="95" t="s">
        <v>25</v>
      </c>
      <c r="B31" s="95"/>
      <c r="C31" s="95"/>
      <c r="D31" s="95"/>
      <c r="E31" s="95"/>
      <c r="F31" s="95"/>
      <c r="G31" s="95"/>
    </row>
    <row r="32" spans="1:15" ht="9.75" customHeight="1" x14ac:dyDescent="0.25"/>
    <row r="33" spans="1:15" x14ac:dyDescent="0.25">
      <c r="A33" s="95" t="s">
        <v>82</v>
      </c>
      <c r="B33" s="95"/>
      <c r="C33" s="95"/>
      <c r="D33" s="95"/>
      <c r="E33" s="95"/>
      <c r="F33" s="95"/>
      <c r="G33" s="95"/>
    </row>
    <row r="34" spans="1:15" ht="12" customHeight="1" x14ac:dyDescent="0.25"/>
    <row r="35" spans="1:15" x14ac:dyDescent="0.25">
      <c r="A35" s="95" t="s">
        <v>26</v>
      </c>
      <c r="B35" s="95"/>
      <c r="C35" s="95"/>
      <c r="D35" s="95"/>
      <c r="E35" s="95"/>
      <c r="F35" s="95"/>
      <c r="G35" s="95"/>
      <c r="I35" s="95"/>
      <c r="J35" s="95"/>
      <c r="K35" s="95"/>
      <c r="L35" s="95"/>
      <c r="M35" s="95"/>
      <c r="N35" s="95"/>
      <c r="O35" s="95"/>
    </row>
    <row r="36" spans="1:15" ht="11.25" customHeight="1" x14ac:dyDescent="0.25"/>
    <row r="37" spans="1:15" x14ac:dyDescent="0.25">
      <c r="A37" s="110" t="s">
        <v>65</v>
      </c>
      <c r="B37" s="110"/>
      <c r="C37" s="110"/>
      <c r="D37" s="110"/>
      <c r="E37" s="110"/>
      <c r="F37" s="110"/>
      <c r="G37" s="110"/>
      <c r="I37" s="100" t="s">
        <v>46</v>
      </c>
      <c r="J37" s="100"/>
      <c r="K37" s="100"/>
      <c r="L37" s="100"/>
      <c r="M37" s="100"/>
      <c r="N37" s="100"/>
      <c r="O37" s="100"/>
    </row>
  </sheetData>
  <mergeCells count="23">
    <mergeCell ref="A35:G35"/>
    <mergeCell ref="I35:O35"/>
    <mergeCell ref="A37:G37"/>
    <mergeCell ref="I37:O37"/>
    <mergeCell ref="F15:I15"/>
    <mergeCell ref="J15:J16"/>
    <mergeCell ref="K15:K16"/>
    <mergeCell ref="L15:M15"/>
    <mergeCell ref="N15:O15"/>
    <mergeCell ref="A18:O18"/>
    <mergeCell ref="A15:A16"/>
    <mergeCell ref="B15:B16"/>
    <mergeCell ref="C15:C16"/>
    <mergeCell ref="D15:D16"/>
    <mergeCell ref="E15:E16"/>
    <mergeCell ref="A24:O24"/>
    <mergeCell ref="A31:G31"/>
    <mergeCell ref="A33:G33"/>
    <mergeCell ref="A1:O1"/>
    <mergeCell ref="A9:N9"/>
    <mergeCell ref="A11:N11"/>
    <mergeCell ref="A12:N12"/>
    <mergeCell ref="I13:K13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6">
    <tabColor rgb="FFFFFF00"/>
  </sheetPr>
  <dimension ref="A1:O37"/>
  <sheetViews>
    <sheetView workbookViewId="0">
      <selection activeCell="A20" sqref="A20:K21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237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5" x14ac:dyDescent="0.25">
      <c r="A3" s="7" t="s">
        <v>225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8" t="s">
        <v>41</v>
      </c>
      <c r="B4" s="8"/>
      <c r="C4" s="8"/>
      <c r="D4" s="8"/>
      <c r="E4" s="8"/>
      <c r="F4" s="8"/>
      <c r="G4" s="8"/>
      <c r="H4" s="8"/>
      <c r="I4" s="8"/>
      <c r="J4" s="3" t="s">
        <v>105</v>
      </c>
      <c r="K4" s="2"/>
      <c r="L4" s="2"/>
      <c r="M4" s="2"/>
      <c r="N4" s="2"/>
    </row>
    <row r="5" spans="1:15" x14ac:dyDescent="0.25">
      <c r="A5" s="6" t="s">
        <v>42</v>
      </c>
      <c r="F5" s="9"/>
      <c r="G5" s="9"/>
      <c r="H5" s="9"/>
      <c r="I5" s="9"/>
      <c r="J5" s="3"/>
      <c r="K5" s="3"/>
      <c r="L5" s="1"/>
      <c r="M5" s="1"/>
      <c r="N5" s="1"/>
    </row>
    <row r="6" spans="1:15" x14ac:dyDescent="0.25">
      <c r="A6" s="9" t="s">
        <v>68</v>
      </c>
      <c r="B6" s="9"/>
      <c r="C6" s="9"/>
      <c r="D6" s="9"/>
      <c r="E6" s="9"/>
      <c r="F6" s="9"/>
      <c r="G6" s="9"/>
      <c r="H6" s="9"/>
      <c r="I6" s="9"/>
      <c r="J6" s="3" t="s">
        <v>64</v>
      </c>
      <c r="K6" s="1"/>
      <c r="L6" s="1"/>
      <c r="M6" s="1"/>
      <c r="N6" s="1"/>
    </row>
    <row r="7" spans="1:15" x14ac:dyDescent="0.25">
      <c r="A7" s="9" t="s">
        <v>43</v>
      </c>
      <c r="B7" s="9"/>
      <c r="C7" s="9"/>
      <c r="D7" s="9"/>
      <c r="E7" s="9"/>
      <c r="F7" s="9"/>
      <c r="G7" s="9"/>
      <c r="H7" s="9"/>
      <c r="I7" s="9"/>
      <c r="J7" s="3" t="s">
        <v>106</v>
      </c>
      <c r="K7" s="1"/>
      <c r="L7" s="1"/>
      <c r="M7" s="1"/>
      <c r="N7" s="1"/>
    </row>
    <row r="8" spans="1:15" x14ac:dyDescent="0.25">
      <c r="A8" s="9" t="s">
        <v>1</v>
      </c>
      <c r="B8" s="9"/>
      <c r="C8" s="9"/>
      <c r="D8" s="9"/>
      <c r="E8" s="9"/>
      <c r="J8" s="3"/>
      <c r="K8" s="3"/>
      <c r="L8" s="3"/>
      <c r="M8" s="3"/>
      <c r="N8" s="3"/>
    </row>
    <row r="9" spans="1:15" x14ac:dyDescent="0.25">
      <c r="A9" s="97" t="s">
        <v>44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</row>
    <row r="10" spans="1:15" x14ac:dyDescent="0.25">
      <c r="A10" s="10" t="s">
        <v>45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5" x14ac:dyDescent="0.25">
      <c r="A11" s="98" t="s">
        <v>140</v>
      </c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</row>
    <row r="12" spans="1:15" x14ac:dyDescent="0.25">
      <c r="A12" s="98" t="s">
        <v>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I13" s="98" t="s">
        <v>18</v>
      </c>
      <c r="J13" s="98"/>
      <c r="K13" s="98"/>
      <c r="L13" s="6" t="s">
        <v>79</v>
      </c>
    </row>
    <row r="14" spans="1:15" x14ac:dyDescent="0.25">
      <c r="A14" s="6" t="s">
        <v>195</v>
      </c>
      <c r="I14" s="6" t="s">
        <v>19</v>
      </c>
      <c r="L14" s="49">
        <v>4</v>
      </c>
    </row>
    <row r="15" spans="1:15" ht="16.5" customHeight="1" x14ac:dyDescent="0.25">
      <c r="A15" s="104" t="s">
        <v>2</v>
      </c>
      <c r="B15" s="104" t="s">
        <v>3</v>
      </c>
      <c r="C15" s="104" t="s">
        <v>4</v>
      </c>
      <c r="D15" s="104" t="s">
        <v>5</v>
      </c>
      <c r="E15" s="104" t="s">
        <v>6</v>
      </c>
      <c r="F15" s="101" t="s">
        <v>7</v>
      </c>
      <c r="G15" s="102"/>
      <c r="H15" s="102"/>
      <c r="I15" s="103"/>
      <c r="J15" s="104" t="s">
        <v>12</v>
      </c>
      <c r="K15" s="104" t="s">
        <v>13</v>
      </c>
      <c r="L15" s="101" t="s">
        <v>14</v>
      </c>
      <c r="M15" s="103"/>
      <c r="N15" s="101" t="s">
        <v>15</v>
      </c>
      <c r="O15" s="103"/>
    </row>
    <row r="16" spans="1:15" ht="27.6" x14ac:dyDescent="0.25">
      <c r="A16" s="105"/>
      <c r="B16" s="105"/>
      <c r="C16" s="105"/>
      <c r="D16" s="105"/>
      <c r="E16" s="105"/>
      <c r="F16" s="4" t="s">
        <v>8</v>
      </c>
      <c r="G16" s="4" t="s">
        <v>9</v>
      </c>
      <c r="H16" s="4" t="s">
        <v>10</v>
      </c>
      <c r="I16" s="4" t="s">
        <v>11</v>
      </c>
      <c r="J16" s="105"/>
      <c r="K16" s="105"/>
      <c r="L16" s="4" t="s">
        <v>16</v>
      </c>
      <c r="M16" s="4" t="s">
        <v>17</v>
      </c>
      <c r="N16" s="4" t="s">
        <v>16</v>
      </c>
      <c r="O16" s="4" t="s">
        <v>17</v>
      </c>
    </row>
    <row r="17" spans="1:15" x14ac:dyDescent="0.25">
      <c r="A17" s="4">
        <v>1</v>
      </c>
      <c r="B17" s="4">
        <v>2</v>
      </c>
      <c r="C17" s="4">
        <v>3</v>
      </c>
      <c r="D17" s="4">
        <v>4</v>
      </c>
      <c r="E17" s="4">
        <v>5</v>
      </c>
      <c r="F17" s="4">
        <v>6</v>
      </c>
      <c r="G17" s="4">
        <v>7</v>
      </c>
      <c r="H17" s="4">
        <v>8</v>
      </c>
      <c r="I17" s="4">
        <v>9</v>
      </c>
      <c r="J17" s="4">
        <v>10</v>
      </c>
      <c r="K17" s="4">
        <v>11</v>
      </c>
      <c r="L17" s="4">
        <v>12</v>
      </c>
      <c r="M17" s="4">
        <v>13</v>
      </c>
      <c r="N17" s="4">
        <v>14</v>
      </c>
      <c r="O17" s="4">
        <v>15</v>
      </c>
    </row>
    <row r="18" spans="1:15" x14ac:dyDescent="0.25">
      <c r="A18" s="106" t="s">
        <v>20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8"/>
    </row>
    <row r="19" spans="1:15" ht="32.25" customHeight="1" x14ac:dyDescent="0.25">
      <c r="A19" s="11" t="s">
        <v>80</v>
      </c>
      <c r="B19" s="12"/>
      <c r="C19" s="4"/>
      <c r="D19" s="4"/>
      <c r="E19" s="4"/>
      <c r="F19" s="4"/>
      <c r="G19" s="13"/>
      <c r="H19" s="13"/>
      <c r="I19" s="13"/>
      <c r="J19" s="14"/>
      <c r="K19" s="14"/>
      <c r="L19" s="14"/>
      <c r="M19" s="14"/>
      <c r="N19" s="14"/>
      <c r="O19" s="14"/>
    </row>
    <row r="20" spans="1:15" ht="42.75" customHeight="1" x14ac:dyDescent="0.25">
      <c r="A20" s="11" t="s">
        <v>235</v>
      </c>
      <c r="B20" s="4">
        <v>1</v>
      </c>
      <c r="C20" s="4" t="s">
        <v>27</v>
      </c>
      <c r="D20" s="5">
        <v>2.5</v>
      </c>
      <c r="E20" s="5">
        <v>5</v>
      </c>
      <c r="F20" s="15">
        <v>56</v>
      </c>
      <c r="G20" s="13">
        <v>11294.800000000001</v>
      </c>
      <c r="H20" s="13">
        <v>123.2000000000001</v>
      </c>
      <c r="I20" s="13">
        <v>11171.599999999997</v>
      </c>
      <c r="J20" s="13"/>
      <c r="K20" s="13">
        <f>+I20*(108.5/(100+E20))</f>
        <v>11543.986666666664</v>
      </c>
      <c r="L20" s="13"/>
      <c r="M20" s="13"/>
      <c r="N20" s="13"/>
      <c r="O20" s="13"/>
    </row>
    <row r="21" spans="1:15" ht="42.75" customHeight="1" x14ac:dyDescent="0.25">
      <c r="A21" s="11" t="s">
        <v>236</v>
      </c>
      <c r="B21" s="4">
        <v>1</v>
      </c>
      <c r="C21" s="4" t="s">
        <v>59</v>
      </c>
      <c r="D21" s="5">
        <v>3</v>
      </c>
      <c r="E21" s="5">
        <v>5</v>
      </c>
      <c r="F21" s="15">
        <v>24</v>
      </c>
      <c r="G21" s="13">
        <v>8054.8000000000011</v>
      </c>
      <c r="H21" s="13">
        <v>88.000000000000057</v>
      </c>
      <c r="I21" s="13">
        <v>7966.8</v>
      </c>
      <c r="J21" s="13"/>
      <c r="K21" s="13">
        <f>+I21*(108.5/(100+E21))</f>
        <v>8232.36</v>
      </c>
      <c r="L21" s="13"/>
      <c r="M21" s="13"/>
      <c r="N21" s="13"/>
      <c r="O21" s="13"/>
    </row>
    <row r="22" spans="1:15" ht="30.75" customHeight="1" x14ac:dyDescent="0.25">
      <c r="A22" s="16" t="s">
        <v>21</v>
      </c>
      <c r="B22" s="4"/>
      <c r="C22" s="4"/>
      <c r="D22" s="4"/>
      <c r="E22" s="13"/>
      <c r="F22" s="17">
        <f>SUM(F20:F21)</f>
        <v>80</v>
      </c>
      <c r="G22" s="18">
        <f>SUM(G20:G21)</f>
        <v>19349.600000000002</v>
      </c>
      <c r="H22" s="18">
        <f>SUM(H20:H21)</f>
        <v>211.20000000000016</v>
      </c>
      <c r="I22" s="18">
        <f>SUM(I20:I21)</f>
        <v>19138.399999999998</v>
      </c>
      <c r="J22" s="18"/>
      <c r="K22" s="18">
        <f>SUM(K20:K21)</f>
        <v>19776.346666666665</v>
      </c>
      <c r="L22" s="18"/>
      <c r="M22" s="13"/>
      <c r="N22" s="13"/>
      <c r="O22" s="13"/>
    </row>
    <row r="23" spans="1:15" ht="14.25" customHeight="1" x14ac:dyDescent="0.25">
      <c r="A23" s="19"/>
      <c r="B23" s="20"/>
      <c r="C23" s="20"/>
      <c r="D23" s="20"/>
      <c r="E23" s="21"/>
      <c r="F23" s="22"/>
      <c r="G23" s="22"/>
      <c r="H23" s="22"/>
      <c r="I23" s="22"/>
      <c r="J23" s="22"/>
      <c r="K23" s="22"/>
      <c r="L23" s="22"/>
      <c r="M23" s="21"/>
      <c r="N23" s="21"/>
      <c r="O23" s="21"/>
    </row>
    <row r="24" spans="1:15" ht="14.4" x14ac:dyDescent="0.3">
      <c r="A24" s="109" t="s">
        <v>56</v>
      </c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</row>
    <row r="25" spans="1:15" ht="11.25" customHeight="1" x14ac:dyDescent="0.25"/>
    <row r="26" spans="1:15" x14ac:dyDescent="0.25">
      <c r="A26" s="6" t="s">
        <v>22</v>
      </c>
      <c r="D26" s="24">
        <f>+I22</f>
        <v>19138.399999999998</v>
      </c>
    </row>
    <row r="27" spans="1:15" x14ac:dyDescent="0.25">
      <c r="D27" s="25"/>
      <c r="G27" s="23"/>
      <c r="H27" s="23"/>
      <c r="I27" s="23"/>
      <c r="J27" s="23"/>
      <c r="K27" s="23"/>
    </row>
    <row r="28" spans="1:15" x14ac:dyDescent="0.25">
      <c r="A28" s="6" t="s">
        <v>23</v>
      </c>
      <c r="D28" s="24">
        <f>+G22</f>
        <v>19349.600000000002</v>
      </c>
    </row>
    <row r="29" spans="1:15" ht="11.25" customHeight="1" x14ac:dyDescent="0.25">
      <c r="D29" s="24"/>
    </row>
    <row r="30" spans="1:15" ht="10.5" customHeight="1" x14ac:dyDescent="0.25"/>
    <row r="31" spans="1:15" x14ac:dyDescent="0.25">
      <c r="A31" s="95" t="s">
        <v>25</v>
      </c>
      <c r="B31" s="95"/>
      <c r="C31" s="95"/>
      <c r="D31" s="95"/>
      <c r="E31" s="95"/>
      <c r="F31" s="95"/>
      <c r="G31" s="95"/>
    </row>
    <row r="32" spans="1:15" ht="9.75" customHeight="1" x14ac:dyDescent="0.25"/>
    <row r="33" spans="1:15" x14ac:dyDescent="0.25">
      <c r="A33" s="95" t="s">
        <v>82</v>
      </c>
      <c r="B33" s="95"/>
      <c r="C33" s="95"/>
      <c r="D33" s="95"/>
      <c r="E33" s="95"/>
      <c r="F33" s="95"/>
      <c r="G33" s="95"/>
    </row>
    <row r="34" spans="1:15" ht="12" customHeight="1" x14ac:dyDescent="0.25"/>
    <row r="35" spans="1:15" x14ac:dyDescent="0.25">
      <c r="A35" s="95" t="s">
        <v>26</v>
      </c>
      <c r="B35" s="95"/>
      <c r="C35" s="95"/>
      <c r="D35" s="95"/>
      <c r="E35" s="95"/>
      <c r="F35" s="95"/>
      <c r="G35" s="95"/>
      <c r="I35" s="95"/>
      <c r="J35" s="95"/>
      <c r="K35" s="95"/>
      <c r="L35" s="95"/>
      <c r="M35" s="95"/>
      <c r="N35" s="95"/>
      <c r="O35" s="95"/>
    </row>
    <row r="36" spans="1:15" ht="11.25" customHeight="1" x14ac:dyDescent="0.25"/>
    <row r="37" spans="1:15" x14ac:dyDescent="0.25">
      <c r="A37" s="110" t="s">
        <v>65</v>
      </c>
      <c r="B37" s="110"/>
      <c r="C37" s="110"/>
      <c r="D37" s="110"/>
      <c r="E37" s="110"/>
      <c r="F37" s="110"/>
      <c r="G37" s="110"/>
      <c r="I37" s="100" t="s">
        <v>46</v>
      </c>
      <c r="J37" s="100"/>
      <c r="K37" s="100"/>
      <c r="L37" s="100"/>
      <c r="M37" s="100"/>
      <c r="N37" s="100"/>
      <c r="O37" s="100"/>
    </row>
  </sheetData>
  <mergeCells count="23">
    <mergeCell ref="A35:G35"/>
    <mergeCell ref="I35:O35"/>
    <mergeCell ref="A37:G37"/>
    <mergeCell ref="I37:O37"/>
    <mergeCell ref="F15:I15"/>
    <mergeCell ref="J15:J16"/>
    <mergeCell ref="K15:K16"/>
    <mergeCell ref="L15:M15"/>
    <mergeCell ref="N15:O15"/>
    <mergeCell ref="A18:O18"/>
    <mergeCell ref="A15:A16"/>
    <mergeCell ref="B15:B16"/>
    <mergeCell ref="C15:C16"/>
    <mergeCell ref="D15:D16"/>
    <mergeCell ref="E15:E16"/>
    <mergeCell ref="A24:O24"/>
    <mergeCell ref="A31:G31"/>
    <mergeCell ref="A33:G33"/>
    <mergeCell ref="A1:O1"/>
    <mergeCell ref="A9:N9"/>
    <mergeCell ref="A11:N11"/>
    <mergeCell ref="A12:N12"/>
    <mergeCell ref="I13:K13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7">
    <tabColor rgb="FFFFFF00"/>
  </sheetPr>
  <dimension ref="A1:O38"/>
  <sheetViews>
    <sheetView workbookViewId="0">
      <selection activeCell="A20" sqref="A20:K22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239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5" x14ac:dyDescent="0.25">
      <c r="A3" s="7" t="s">
        <v>225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8" t="s">
        <v>41</v>
      </c>
      <c r="B4" s="8"/>
      <c r="C4" s="8"/>
      <c r="D4" s="8"/>
      <c r="E4" s="8"/>
      <c r="F4" s="8"/>
      <c r="G4" s="8"/>
      <c r="H4" s="8"/>
      <c r="I4" s="8"/>
      <c r="J4" s="3" t="s">
        <v>105</v>
      </c>
      <c r="K4" s="2"/>
      <c r="L4" s="2"/>
      <c r="M4" s="2"/>
      <c r="N4" s="2"/>
    </row>
    <row r="5" spans="1:15" x14ac:dyDescent="0.25">
      <c r="A5" s="6" t="s">
        <v>42</v>
      </c>
      <c r="F5" s="9"/>
      <c r="G5" s="9"/>
      <c r="H5" s="9"/>
      <c r="I5" s="9"/>
      <c r="J5" s="3"/>
      <c r="K5" s="3"/>
      <c r="L5" s="1"/>
      <c r="M5" s="1"/>
      <c r="N5" s="1"/>
    </row>
    <row r="6" spans="1:15" x14ac:dyDescent="0.25">
      <c r="A6" s="9" t="s">
        <v>68</v>
      </c>
      <c r="B6" s="9"/>
      <c r="C6" s="9"/>
      <c r="D6" s="9"/>
      <c r="E6" s="9"/>
      <c r="F6" s="9"/>
      <c r="G6" s="9"/>
      <c r="H6" s="9"/>
      <c r="I6" s="9"/>
      <c r="J6" s="3" t="s">
        <v>64</v>
      </c>
      <c r="K6" s="1"/>
      <c r="L6" s="1"/>
      <c r="M6" s="1"/>
      <c r="N6" s="1"/>
    </row>
    <row r="7" spans="1:15" x14ac:dyDescent="0.25">
      <c r="A7" s="9" t="s">
        <v>43</v>
      </c>
      <c r="B7" s="9"/>
      <c r="C7" s="9"/>
      <c r="D7" s="9"/>
      <c r="E7" s="9"/>
      <c r="F7" s="9"/>
      <c r="G7" s="9"/>
      <c r="H7" s="9"/>
      <c r="I7" s="9"/>
      <c r="J7" s="3" t="s">
        <v>106</v>
      </c>
      <c r="K7" s="1"/>
      <c r="L7" s="1"/>
      <c r="M7" s="1"/>
      <c r="N7" s="1"/>
    </row>
    <row r="8" spans="1:15" x14ac:dyDescent="0.25">
      <c r="A8" s="9" t="s">
        <v>1</v>
      </c>
      <c r="B8" s="9"/>
      <c r="C8" s="9"/>
      <c r="D8" s="9"/>
      <c r="E8" s="9"/>
      <c r="J8" s="3"/>
      <c r="K8" s="3"/>
      <c r="L8" s="3"/>
      <c r="M8" s="3"/>
      <c r="N8" s="3"/>
    </row>
    <row r="9" spans="1:15" x14ac:dyDescent="0.25">
      <c r="A9" s="97" t="s">
        <v>44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</row>
    <row r="10" spans="1:15" x14ac:dyDescent="0.25">
      <c r="A10" s="10" t="s">
        <v>45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</row>
    <row r="11" spans="1:15" x14ac:dyDescent="0.25">
      <c r="A11" s="98" t="s">
        <v>140</v>
      </c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</row>
    <row r="12" spans="1:15" x14ac:dyDescent="0.25">
      <c r="A12" s="98" t="s">
        <v>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I13" s="98" t="s">
        <v>18</v>
      </c>
      <c r="J13" s="98"/>
      <c r="K13" s="98"/>
    </row>
    <row r="14" spans="1:15" x14ac:dyDescent="0.25">
      <c r="A14" s="6" t="s">
        <v>242</v>
      </c>
      <c r="I14" s="6" t="s">
        <v>19</v>
      </c>
      <c r="L14" s="51">
        <v>4</v>
      </c>
    </row>
    <row r="15" spans="1:15" ht="16.5" customHeight="1" x14ac:dyDescent="0.25">
      <c r="A15" s="104" t="s">
        <v>2</v>
      </c>
      <c r="B15" s="104" t="s">
        <v>3</v>
      </c>
      <c r="C15" s="104" t="s">
        <v>4</v>
      </c>
      <c r="D15" s="104" t="s">
        <v>5</v>
      </c>
      <c r="E15" s="104" t="s">
        <v>6</v>
      </c>
      <c r="F15" s="101" t="s">
        <v>7</v>
      </c>
      <c r="G15" s="102"/>
      <c r="H15" s="102"/>
      <c r="I15" s="103"/>
      <c r="J15" s="104" t="s">
        <v>12</v>
      </c>
      <c r="K15" s="104" t="s">
        <v>13</v>
      </c>
      <c r="L15" s="101" t="s">
        <v>14</v>
      </c>
      <c r="M15" s="103"/>
      <c r="N15" s="101" t="s">
        <v>15</v>
      </c>
      <c r="O15" s="103"/>
    </row>
    <row r="16" spans="1:15" ht="27.6" x14ac:dyDescent="0.25">
      <c r="A16" s="105"/>
      <c r="B16" s="105"/>
      <c r="C16" s="105"/>
      <c r="D16" s="105"/>
      <c r="E16" s="105"/>
      <c r="F16" s="4" t="s">
        <v>8</v>
      </c>
      <c r="G16" s="4" t="s">
        <v>9</v>
      </c>
      <c r="H16" s="4" t="s">
        <v>10</v>
      </c>
      <c r="I16" s="4" t="s">
        <v>11</v>
      </c>
      <c r="J16" s="105"/>
      <c r="K16" s="105"/>
      <c r="L16" s="4" t="s">
        <v>16</v>
      </c>
      <c r="M16" s="4" t="s">
        <v>17</v>
      </c>
      <c r="N16" s="4" t="s">
        <v>16</v>
      </c>
      <c r="O16" s="4" t="s">
        <v>17</v>
      </c>
    </row>
    <row r="17" spans="1:15" x14ac:dyDescent="0.25">
      <c r="A17" s="4">
        <v>1</v>
      </c>
      <c r="B17" s="4">
        <v>2</v>
      </c>
      <c r="C17" s="4">
        <v>3</v>
      </c>
      <c r="D17" s="4">
        <v>4</v>
      </c>
      <c r="E17" s="4">
        <v>5</v>
      </c>
      <c r="F17" s="4">
        <v>6</v>
      </c>
      <c r="G17" s="4">
        <v>7</v>
      </c>
      <c r="H17" s="4">
        <v>8</v>
      </c>
      <c r="I17" s="4">
        <v>9</v>
      </c>
      <c r="J17" s="4">
        <v>10</v>
      </c>
      <c r="K17" s="4">
        <v>11</v>
      </c>
      <c r="L17" s="4">
        <v>12</v>
      </c>
      <c r="M17" s="4">
        <v>13</v>
      </c>
      <c r="N17" s="4">
        <v>14</v>
      </c>
      <c r="O17" s="4">
        <v>15</v>
      </c>
    </row>
    <row r="18" spans="1:15" x14ac:dyDescent="0.25">
      <c r="A18" s="106" t="s">
        <v>20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8"/>
    </row>
    <row r="19" spans="1:15" ht="32.25" customHeight="1" x14ac:dyDescent="0.25">
      <c r="A19" s="11" t="s">
        <v>80</v>
      </c>
      <c r="B19" s="12"/>
      <c r="C19" s="4"/>
      <c r="D19" s="4"/>
      <c r="E19" s="4"/>
      <c r="F19" s="4"/>
      <c r="G19" s="13"/>
      <c r="H19" s="13"/>
      <c r="I19" s="13"/>
      <c r="J19" s="14"/>
      <c r="K19" s="14"/>
      <c r="L19" s="14"/>
      <c r="M19" s="14"/>
      <c r="N19" s="14"/>
      <c r="O19" s="14"/>
    </row>
    <row r="20" spans="1:15" ht="42.75" customHeight="1" x14ac:dyDescent="0.25">
      <c r="A20" s="11" t="s">
        <v>240</v>
      </c>
      <c r="B20" s="4">
        <v>1</v>
      </c>
      <c r="C20" s="4" t="s">
        <v>27</v>
      </c>
      <c r="D20" s="5">
        <v>2.5</v>
      </c>
      <c r="E20" s="5">
        <v>5</v>
      </c>
      <c r="F20" s="15">
        <v>28</v>
      </c>
      <c r="G20" s="13">
        <v>5642.4000000000005</v>
      </c>
      <c r="H20" s="13">
        <v>61.60000000000003</v>
      </c>
      <c r="I20" s="13">
        <v>5580.8</v>
      </c>
      <c r="J20" s="13"/>
      <c r="K20" s="13">
        <f>+I20*(108.5/(100+E20))</f>
        <v>5766.8266666666677</v>
      </c>
      <c r="L20" s="13"/>
      <c r="M20" s="13"/>
      <c r="N20" s="13"/>
      <c r="O20" s="13"/>
    </row>
    <row r="21" spans="1:15" ht="42.75" customHeight="1" x14ac:dyDescent="0.25">
      <c r="A21" s="11" t="s">
        <v>241</v>
      </c>
      <c r="B21" s="4">
        <v>1</v>
      </c>
      <c r="C21" s="4" t="s">
        <v>59</v>
      </c>
      <c r="D21" s="5">
        <v>3</v>
      </c>
      <c r="E21" s="5">
        <v>5</v>
      </c>
      <c r="F21" s="15">
        <v>43</v>
      </c>
      <c r="G21" s="13">
        <v>8758.6</v>
      </c>
      <c r="H21" s="13">
        <v>94.600000000000065</v>
      </c>
      <c r="I21" s="13">
        <v>8664.0000000000018</v>
      </c>
      <c r="J21" s="13"/>
      <c r="K21" s="13">
        <f>+I21*(108.5/(100+E21))</f>
        <v>8952.8000000000029</v>
      </c>
      <c r="L21" s="13"/>
      <c r="M21" s="13"/>
      <c r="N21" s="13"/>
      <c r="O21" s="13"/>
    </row>
    <row r="22" spans="1:15" ht="42.75" customHeight="1" x14ac:dyDescent="0.25">
      <c r="A22" s="11" t="s">
        <v>243</v>
      </c>
      <c r="B22" s="4">
        <v>1</v>
      </c>
      <c r="C22" s="4" t="s">
        <v>27</v>
      </c>
      <c r="D22" s="5">
        <v>2.5</v>
      </c>
      <c r="E22" s="5">
        <v>5</v>
      </c>
      <c r="F22" s="15">
        <v>25</v>
      </c>
      <c r="G22" s="13">
        <v>5044.1999999999989</v>
      </c>
      <c r="H22" s="13">
        <v>55.000000000000021</v>
      </c>
      <c r="I22" s="13">
        <v>4989.2</v>
      </c>
      <c r="J22" s="13"/>
      <c r="K22" s="13">
        <f>+I22*(108.5/(100+E22))</f>
        <v>5155.5066666666671</v>
      </c>
      <c r="L22" s="13"/>
      <c r="M22" s="13"/>
      <c r="N22" s="13"/>
      <c r="O22" s="13"/>
    </row>
    <row r="23" spans="1:15" ht="30.75" customHeight="1" x14ac:dyDescent="0.25">
      <c r="A23" s="16" t="s">
        <v>21</v>
      </c>
      <c r="B23" s="4"/>
      <c r="C23" s="4"/>
      <c r="D23" s="4"/>
      <c r="E23" s="13"/>
      <c r="F23" s="17">
        <f>SUM(F20:F22)</f>
        <v>96</v>
      </c>
      <c r="G23" s="18">
        <f>SUM(G20:G22)</f>
        <v>19445.199999999997</v>
      </c>
      <c r="H23" s="18">
        <f>SUM(H20:H22)</f>
        <v>211.20000000000013</v>
      </c>
      <c r="I23" s="18">
        <f>SUM(I20:I22)</f>
        <v>19234.000000000004</v>
      </c>
      <c r="J23" s="18"/>
      <c r="K23" s="18">
        <f>SUM(K20:K22)</f>
        <v>19875.133333333339</v>
      </c>
      <c r="L23" s="18"/>
      <c r="M23" s="13"/>
      <c r="N23" s="13"/>
      <c r="O23" s="13"/>
    </row>
    <row r="24" spans="1:15" ht="14.25" customHeight="1" x14ac:dyDescent="0.25">
      <c r="A24" s="19"/>
      <c r="B24" s="20"/>
      <c r="C24" s="20"/>
      <c r="D24" s="20"/>
      <c r="E24" s="21"/>
      <c r="F24" s="22"/>
      <c r="G24" s="22"/>
      <c r="H24" s="22"/>
      <c r="I24" s="22"/>
      <c r="J24" s="22"/>
      <c r="K24" s="22"/>
      <c r="L24" s="22"/>
      <c r="M24" s="21"/>
      <c r="N24" s="21"/>
      <c r="O24" s="21"/>
    </row>
    <row r="25" spans="1:15" ht="14.4" x14ac:dyDescent="0.3">
      <c r="A25" s="109" t="s">
        <v>56</v>
      </c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</row>
    <row r="26" spans="1:15" ht="11.25" customHeight="1" x14ac:dyDescent="0.25"/>
    <row r="27" spans="1:15" x14ac:dyDescent="0.25">
      <c r="A27" s="6" t="s">
        <v>22</v>
      </c>
      <c r="D27" s="24">
        <f>+I23</f>
        <v>19234.000000000004</v>
      </c>
    </row>
    <row r="28" spans="1:15" x14ac:dyDescent="0.25">
      <c r="D28" s="25"/>
      <c r="G28" s="23"/>
      <c r="H28" s="23"/>
      <c r="I28" s="23"/>
      <c r="J28" s="23"/>
      <c r="K28" s="23"/>
    </row>
    <row r="29" spans="1:15" x14ac:dyDescent="0.25">
      <c r="A29" s="6" t="s">
        <v>23</v>
      </c>
      <c r="D29" s="24">
        <f>+G23</f>
        <v>19445.199999999997</v>
      </c>
    </row>
    <row r="30" spans="1:15" ht="11.25" customHeight="1" x14ac:dyDescent="0.25">
      <c r="D30" s="24"/>
    </row>
    <row r="31" spans="1:15" ht="10.5" customHeight="1" x14ac:dyDescent="0.25"/>
    <row r="32" spans="1:15" x14ac:dyDescent="0.25">
      <c r="A32" s="95" t="s">
        <v>25</v>
      </c>
      <c r="B32" s="95"/>
      <c r="C32" s="95"/>
      <c r="D32" s="95"/>
      <c r="E32" s="95"/>
      <c r="F32" s="95"/>
      <c r="G32" s="95"/>
    </row>
    <row r="33" spans="1:15" ht="9.75" customHeight="1" x14ac:dyDescent="0.25"/>
    <row r="34" spans="1:15" x14ac:dyDescent="0.25">
      <c r="A34" s="95" t="s">
        <v>82</v>
      </c>
      <c r="B34" s="95"/>
      <c r="C34" s="95"/>
      <c r="D34" s="95"/>
      <c r="E34" s="95"/>
      <c r="F34" s="95"/>
      <c r="G34" s="95"/>
    </row>
    <row r="35" spans="1:15" ht="12" customHeight="1" x14ac:dyDescent="0.25"/>
    <row r="36" spans="1:15" x14ac:dyDescent="0.25">
      <c r="A36" s="95" t="s">
        <v>26</v>
      </c>
      <c r="B36" s="95"/>
      <c r="C36" s="95"/>
      <c r="D36" s="95"/>
      <c r="E36" s="95"/>
      <c r="F36" s="95"/>
      <c r="G36" s="95"/>
      <c r="I36" s="95"/>
      <c r="J36" s="95"/>
      <c r="K36" s="95"/>
      <c r="L36" s="95"/>
      <c r="M36" s="95"/>
      <c r="N36" s="95"/>
      <c r="O36" s="95"/>
    </row>
    <row r="37" spans="1:15" ht="11.25" customHeight="1" x14ac:dyDescent="0.25"/>
    <row r="38" spans="1:15" x14ac:dyDescent="0.25">
      <c r="A38" s="110" t="s">
        <v>65</v>
      </c>
      <c r="B38" s="110"/>
      <c r="C38" s="110"/>
      <c r="D38" s="110"/>
      <c r="E38" s="110"/>
      <c r="F38" s="110"/>
      <c r="G38" s="110"/>
      <c r="I38" s="100" t="s">
        <v>46</v>
      </c>
      <c r="J38" s="100"/>
      <c r="K38" s="100"/>
      <c r="L38" s="100"/>
      <c r="M38" s="100"/>
      <c r="N38" s="100"/>
      <c r="O38" s="100"/>
    </row>
  </sheetData>
  <mergeCells count="23">
    <mergeCell ref="A36:G36"/>
    <mergeCell ref="I36:O36"/>
    <mergeCell ref="A38:G38"/>
    <mergeCell ref="I38:O38"/>
    <mergeCell ref="F15:I15"/>
    <mergeCell ref="J15:J16"/>
    <mergeCell ref="K15:K16"/>
    <mergeCell ref="L15:M15"/>
    <mergeCell ref="N15:O15"/>
    <mergeCell ref="A18:O18"/>
    <mergeCell ref="A15:A16"/>
    <mergeCell ref="B15:B16"/>
    <mergeCell ref="C15:C16"/>
    <mergeCell ref="D15:D16"/>
    <mergeCell ref="E15:E16"/>
    <mergeCell ref="A25:O25"/>
    <mergeCell ref="A32:G32"/>
    <mergeCell ref="A34:G34"/>
    <mergeCell ref="A1:O1"/>
    <mergeCell ref="A9:N9"/>
    <mergeCell ref="A11:N11"/>
    <mergeCell ref="A12:N12"/>
    <mergeCell ref="I13:K13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8">
    <tabColor rgb="FF00B050"/>
  </sheetPr>
  <dimension ref="A1:O40"/>
  <sheetViews>
    <sheetView zoomScale="55" zoomScaleNormal="55" workbookViewId="0">
      <selection activeCell="A23" sqref="A23:K24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246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96" t="s">
        <v>86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</row>
    <row r="3" spans="1:15" x14ac:dyDescent="0.25">
      <c r="A3" s="7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7" t="s">
        <v>225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5" x14ac:dyDescent="0.25">
      <c r="A5" s="8" t="s">
        <v>41</v>
      </c>
      <c r="B5" s="8"/>
      <c r="C5" s="8"/>
      <c r="D5" s="8"/>
      <c r="E5" s="8"/>
      <c r="F5" s="8"/>
      <c r="G5" s="8"/>
      <c r="H5" s="8"/>
      <c r="I5" s="8"/>
      <c r="J5" s="3" t="s">
        <v>105</v>
      </c>
      <c r="K5" s="2"/>
      <c r="L5" s="2"/>
      <c r="M5" s="2"/>
      <c r="N5" s="2"/>
    </row>
    <row r="6" spans="1:15" x14ac:dyDescent="0.25">
      <c r="A6" s="6" t="s">
        <v>42</v>
      </c>
      <c r="F6" s="9"/>
      <c r="G6" s="9"/>
      <c r="H6" s="9"/>
      <c r="I6" s="9"/>
      <c r="J6" s="3"/>
      <c r="K6" s="3"/>
      <c r="L6" s="1"/>
      <c r="M6" s="1"/>
      <c r="N6" s="1"/>
    </row>
    <row r="7" spans="1:15" x14ac:dyDescent="0.25">
      <c r="A7" s="9" t="s">
        <v>140</v>
      </c>
      <c r="B7" s="9"/>
      <c r="C7" s="9"/>
      <c r="D7" s="9"/>
      <c r="E7" s="9"/>
      <c r="F7" s="9"/>
      <c r="G7" s="9"/>
      <c r="H7" s="9"/>
      <c r="I7" s="9"/>
      <c r="J7" s="3" t="s">
        <v>64</v>
      </c>
      <c r="K7" s="1"/>
      <c r="L7" s="1"/>
      <c r="M7" s="1"/>
      <c r="N7" s="1"/>
    </row>
    <row r="8" spans="1:15" x14ac:dyDescent="0.25">
      <c r="A8" s="9" t="s">
        <v>43</v>
      </c>
      <c r="B8" s="9"/>
      <c r="C8" s="9"/>
      <c r="D8" s="9"/>
      <c r="E8" s="9"/>
      <c r="F8" s="9"/>
      <c r="G8" s="9"/>
      <c r="H8" s="9"/>
      <c r="I8" s="9"/>
      <c r="J8" s="3" t="s">
        <v>106</v>
      </c>
      <c r="K8" s="1"/>
      <c r="L8" s="1"/>
      <c r="M8" s="1"/>
      <c r="N8" s="1"/>
    </row>
    <row r="9" spans="1:15" x14ac:dyDescent="0.25">
      <c r="A9" s="9" t="s">
        <v>1</v>
      </c>
      <c r="B9" s="9"/>
      <c r="C9" s="9"/>
      <c r="D9" s="9"/>
      <c r="E9" s="9"/>
      <c r="J9" s="3"/>
      <c r="K9" s="3"/>
      <c r="L9" s="3"/>
      <c r="M9" s="3"/>
      <c r="N9" s="3"/>
    </row>
    <row r="10" spans="1:15" x14ac:dyDescent="0.25">
      <c r="A10" s="97" t="s">
        <v>69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</row>
    <row r="11" spans="1:15" x14ac:dyDescent="0.25">
      <c r="A11" s="10" t="s">
        <v>70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</row>
    <row r="12" spans="1:15" x14ac:dyDescent="0.25">
      <c r="A12" s="98" t="s">
        <v>71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A13" s="6" t="s">
        <v>43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</row>
    <row r="14" spans="1:15" x14ac:dyDescent="0.25">
      <c r="A14" s="98" t="s">
        <v>72</v>
      </c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</row>
    <row r="15" spans="1:15" x14ac:dyDescent="0.25">
      <c r="A15" s="53" t="s">
        <v>73</v>
      </c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</row>
    <row r="16" spans="1:15" x14ac:dyDescent="0.25">
      <c r="I16" s="98" t="s">
        <v>18</v>
      </c>
      <c r="J16" s="98"/>
      <c r="K16" s="98"/>
      <c r="L16" s="6" t="s">
        <v>24</v>
      </c>
    </row>
    <row r="17" spans="1:15" x14ac:dyDescent="0.25">
      <c r="A17" s="6" t="s">
        <v>231</v>
      </c>
      <c r="I17" s="6" t="s">
        <v>19</v>
      </c>
      <c r="L17" s="53">
        <v>4</v>
      </c>
    </row>
    <row r="18" spans="1:15" ht="16.5" customHeight="1" x14ac:dyDescent="0.25">
      <c r="A18" s="104" t="s">
        <v>2</v>
      </c>
      <c r="B18" s="104" t="s">
        <v>3</v>
      </c>
      <c r="C18" s="104" t="s">
        <v>4</v>
      </c>
      <c r="D18" s="104" t="s">
        <v>5</v>
      </c>
      <c r="E18" s="104" t="s">
        <v>6</v>
      </c>
      <c r="F18" s="101" t="s">
        <v>7</v>
      </c>
      <c r="G18" s="102"/>
      <c r="H18" s="102"/>
      <c r="I18" s="103"/>
      <c r="J18" s="104" t="s">
        <v>12</v>
      </c>
      <c r="K18" s="104" t="s">
        <v>13</v>
      </c>
      <c r="L18" s="101" t="s">
        <v>14</v>
      </c>
      <c r="M18" s="103"/>
      <c r="N18" s="101" t="s">
        <v>15</v>
      </c>
      <c r="O18" s="103"/>
    </row>
    <row r="19" spans="1:15" ht="27.6" x14ac:dyDescent="0.25">
      <c r="A19" s="105"/>
      <c r="B19" s="105"/>
      <c r="C19" s="105"/>
      <c r="D19" s="105"/>
      <c r="E19" s="105"/>
      <c r="F19" s="4" t="s">
        <v>8</v>
      </c>
      <c r="G19" s="4" t="s">
        <v>9</v>
      </c>
      <c r="H19" s="4" t="s">
        <v>10</v>
      </c>
      <c r="I19" s="4" t="s">
        <v>11</v>
      </c>
      <c r="J19" s="105"/>
      <c r="K19" s="105"/>
      <c r="L19" s="4" t="s">
        <v>16</v>
      </c>
      <c r="M19" s="4" t="s">
        <v>17</v>
      </c>
      <c r="N19" s="4" t="s">
        <v>16</v>
      </c>
      <c r="O19" s="4" t="s">
        <v>17</v>
      </c>
    </row>
    <row r="20" spans="1:15" x14ac:dyDescent="0.25">
      <c r="A20" s="4">
        <v>1</v>
      </c>
      <c r="B20" s="4">
        <v>2</v>
      </c>
      <c r="C20" s="4">
        <v>3</v>
      </c>
      <c r="D20" s="4">
        <v>4</v>
      </c>
      <c r="E20" s="4">
        <v>5</v>
      </c>
      <c r="F20" s="4">
        <v>6</v>
      </c>
      <c r="G20" s="4">
        <v>7</v>
      </c>
      <c r="H20" s="4">
        <v>8</v>
      </c>
      <c r="I20" s="4">
        <v>9</v>
      </c>
      <c r="J20" s="4">
        <v>10</v>
      </c>
      <c r="K20" s="4">
        <v>11</v>
      </c>
      <c r="L20" s="4">
        <v>12</v>
      </c>
      <c r="M20" s="4">
        <v>13</v>
      </c>
      <c r="N20" s="4">
        <v>14</v>
      </c>
      <c r="O20" s="4">
        <v>15</v>
      </c>
    </row>
    <row r="21" spans="1:15" x14ac:dyDescent="0.25">
      <c r="A21" s="106" t="s">
        <v>20</v>
      </c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8"/>
    </row>
    <row r="22" spans="1:15" ht="32.25" customHeight="1" x14ac:dyDescent="0.25">
      <c r="A22" s="11" t="s">
        <v>80</v>
      </c>
      <c r="B22" s="12"/>
      <c r="C22" s="4"/>
      <c r="D22" s="4"/>
      <c r="E22" s="4"/>
      <c r="F22" s="4"/>
      <c r="G22" s="13"/>
      <c r="H22" s="13"/>
      <c r="I22" s="13"/>
      <c r="J22" s="14"/>
      <c r="K22" s="14"/>
      <c r="L22" s="14"/>
      <c r="M22" s="14"/>
      <c r="N22" s="14"/>
      <c r="O22" s="14"/>
    </row>
    <row r="23" spans="1:15" ht="39" customHeight="1" x14ac:dyDescent="0.25">
      <c r="A23" s="11" t="s">
        <v>248</v>
      </c>
      <c r="B23" s="4">
        <v>1</v>
      </c>
      <c r="C23" s="4" t="s">
        <v>59</v>
      </c>
      <c r="D23" s="5">
        <v>3</v>
      </c>
      <c r="E23" s="5">
        <v>5</v>
      </c>
      <c r="F23" s="15">
        <v>84</v>
      </c>
      <c r="G23" s="13">
        <v>17307.999999999996</v>
      </c>
      <c r="H23" s="13">
        <v>184.79999999999981</v>
      </c>
      <c r="I23" s="13">
        <v>17123.2</v>
      </c>
      <c r="J23" s="13"/>
      <c r="K23" s="13">
        <f>+I23*(108.5/(100+E23))</f>
        <v>17693.973333333335</v>
      </c>
      <c r="L23" s="13"/>
      <c r="M23" s="13"/>
      <c r="N23" s="13"/>
      <c r="O23" s="13"/>
    </row>
    <row r="24" spans="1:15" ht="39" customHeight="1" x14ac:dyDescent="0.25">
      <c r="A24" s="11" t="s">
        <v>247</v>
      </c>
      <c r="B24" s="4">
        <v>1</v>
      </c>
      <c r="C24" s="4" t="s">
        <v>27</v>
      </c>
      <c r="D24" s="5">
        <v>2.5</v>
      </c>
      <c r="E24" s="5">
        <v>5</v>
      </c>
      <c r="F24" s="15">
        <v>4</v>
      </c>
      <c r="G24" s="13">
        <v>830.8</v>
      </c>
      <c r="H24" s="13">
        <v>8.8000000000000007</v>
      </c>
      <c r="I24" s="13">
        <v>822</v>
      </c>
      <c r="J24" s="13"/>
      <c r="K24" s="13">
        <f>+I24*(108.5/(100+E24))</f>
        <v>849.40000000000009</v>
      </c>
      <c r="L24" s="13"/>
      <c r="M24" s="13"/>
      <c r="N24" s="13"/>
      <c r="O24" s="13"/>
    </row>
    <row r="25" spans="1:15" ht="30.75" customHeight="1" x14ac:dyDescent="0.25">
      <c r="A25" s="16" t="s">
        <v>21</v>
      </c>
      <c r="B25" s="4"/>
      <c r="C25" s="4"/>
      <c r="D25" s="4"/>
      <c r="E25" s="13"/>
      <c r="F25" s="17">
        <f>SUM(F23:F24)</f>
        <v>88</v>
      </c>
      <c r="G25" s="18">
        <f>SUM(G23:G24)</f>
        <v>18138.799999999996</v>
      </c>
      <c r="H25" s="18">
        <f>SUM(H23:H24)</f>
        <v>193.59999999999982</v>
      </c>
      <c r="I25" s="18">
        <f>SUM(I23:I24)</f>
        <v>17945.2</v>
      </c>
      <c r="J25" s="18"/>
      <c r="K25" s="18">
        <f>SUM(K23:K24)</f>
        <v>18543.373333333337</v>
      </c>
      <c r="L25" s="18"/>
      <c r="M25" s="13"/>
      <c r="N25" s="13"/>
      <c r="O25" s="13"/>
    </row>
    <row r="26" spans="1:15" ht="14.25" customHeight="1" x14ac:dyDescent="0.25">
      <c r="A26" s="19"/>
      <c r="B26" s="20"/>
      <c r="C26" s="20"/>
      <c r="D26" s="20"/>
      <c r="E26" s="21"/>
      <c r="F26" s="22"/>
      <c r="G26" s="22"/>
      <c r="H26" s="22"/>
      <c r="I26" s="22"/>
      <c r="J26" s="22"/>
      <c r="K26" s="22"/>
      <c r="L26" s="22"/>
      <c r="M26" s="21"/>
      <c r="N26" s="21"/>
      <c r="O26" s="21"/>
    </row>
    <row r="27" spans="1:15" ht="14.4" x14ac:dyDescent="0.3">
      <c r="A27" s="109" t="s">
        <v>56</v>
      </c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</row>
    <row r="28" spans="1:15" ht="11.25" customHeight="1" x14ac:dyDescent="0.25"/>
    <row r="29" spans="1:15" x14ac:dyDescent="0.25">
      <c r="A29" s="6" t="s">
        <v>22</v>
      </c>
      <c r="D29" s="24">
        <f>+I25</f>
        <v>17945.2</v>
      </c>
    </row>
    <row r="30" spans="1:15" x14ac:dyDescent="0.25">
      <c r="D30" s="25"/>
      <c r="G30" s="23"/>
      <c r="H30" s="23"/>
      <c r="I30" s="23"/>
      <c r="J30" s="23"/>
      <c r="K30" s="23"/>
    </row>
    <row r="31" spans="1:15" x14ac:dyDescent="0.25">
      <c r="A31" s="6" t="s">
        <v>23</v>
      </c>
      <c r="D31" s="24">
        <f>+G25</f>
        <v>18138.799999999996</v>
      </c>
    </row>
    <row r="32" spans="1:15" ht="11.25" customHeight="1" x14ac:dyDescent="0.25">
      <c r="D32" s="24"/>
    </row>
    <row r="33" spans="1:15" ht="10.5" customHeight="1" x14ac:dyDescent="0.25"/>
    <row r="34" spans="1:15" x14ac:dyDescent="0.25">
      <c r="A34" s="95" t="s">
        <v>25</v>
      </c>
      <c r="B34" s="95"/>
      <c r="C34" s="95"/>
      <c r="D34" s="95"/>
      <c r="E34" s="95"/>
      <c r="F34" s="95"/>
      <c r="G34" s="95"/>
    </row>
    <row r="35" spans="1:15" ht="9.75" customHeight="1" x14ac:dyDescent="0.25"/>
    <row r="36" spans="1:15" x14ac:dyDescent="0.25">
      <c r="A36" s="95" t="s">
        <v>82</v>
      </c>
      <c r="B36" s="95"/>
      <c r="C36" s="95"/>
      <c r="D36" s="95"/>
      <c r="E36" s="95"/>
      <c r="F36" s="95"/>
      <c r="G36" s="95"/>
    </row>
    <row r="37" spans="1:15" ht="12" customHeight="1" x14ac:dyDescent="0.25"/>
    <row r="38" spans="1:15" x14ac:dyDescent="0.25">
      <c r="A38" s="95" t="s">
        <v>26</v>
      </c>
      <c r="B38" s="95"/>
      <c r="C38" s="95"/>
      <c r="D38" s="95"/>
      <c r="E38" s="95"/>
      <c r="F38" s="95"/>
      <c r="G38" s="95"/>
      <c r="I38" s="95"/>
      <c r="J38" s="95"/>
      <c r="K38" s="95"/>
      <c r="L38" s="95"/>
      <c r="M38" s="95"/>
      <c r="N38" s="95"/>
      <c r="O38" s="95"/>
    </row>
    <row r="39" spans="1:15" ht="11.25" customHeight="1" x14ac:dyDescent="0.25"/>
    <row r="40" spans="1:15" x14ac:dyDescent="0.25">
      <c r="A40" s="110" t="s">
        <v>65</v>
      </c>
      <c r="B40" s="110"/>
      <c r="C40" s="110"/>
      <c r="D40" s="110"/>
      <c r="E40" s="110"/>
      <c r="F40" s="110"/>
      <c r="G40" s="110"/>
      <c r="I40" s="100" t="s">
        <v>46</v>
      </c>
      <c r="J40" s="100"/>
      <c r="K40" s="100"/>
      <c r="L40" s="100"/>
      <c r="M40" s="100"/>
      <c r="N40" s="100"/>
      <c r="O40" s="100"/>
    </row>
  </sheetData>
  <mergeCells count="24">
    <mergeCell ref="A34:G34"/>
    <mergeCell ref="A36:G36"/>
    <mergeCell ref="A38:G38"/>
    <mergeCell ref="I38:O38"/>
    <mergeCell ref="A40:G40"/>
    <mergeCell ref="I40:O40"/>
    <mergeCell ref="A27:O27"/>
    <mergeCell ref="A18:A19"/>
    <mergeCell ref="B18:B19"/>
    <mergeCell ref="C18:C19"/>
    <mergeCell ref="D18:D19"/>
    <mergeCell ref="E18:E19"/>
    <mergeCell ref="F18:I18"/>
    <mergeCell ref="J18:J19"/>
    <mergeCell ref="K18:K19"/>
    <mergeCell ref="L18:M18"/>
    <mergeCell ref="N18:O18"/>
    <mergeCell ref="A21:O21"/>
    <mergeCell ref="I16:K16"/>
    <mergeCell ref="A1:O1"/>
    <mergeCell ref="A2:O2"/>
    <mergeCell ref="A10:N10"/>
    <mergeCell ref="A12:N12"/>
    <mergeCell ref="A14:N14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9">
    <tabColor rgb="FF00B050"/>
  </sheetPr>
  <dimension ref="A1:O40"/>
  <sheetViews>
    <sheetView zoomScale="55" zoomScaleNormal="55" workbookViewId="0">
      <selection activeCell="A23" sqref="A23:K24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249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96" t="s">
        <v>86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</row>
    <row r="3" spans="1:15" x14ac:dyDescent="0.25">
      <c r="A3" s="7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7" t="s">
        <v>250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5" x14ac:dyDescent="0.25">
      <c r="A5" s="8" t="s">
        <v>41</v>
      </c>
      <c r="B5" s="8"/>
      <c r="C5" s="8"/>
      <c r="D5" s="8"/>
      <c r="E5" s="8"/>
      <c r="F5" s="8"/>
      <c r="G5" s="8"/>
      <c r="H5" s="8"/>
      <c r="I5" s="8"/>
      <c r="J5" s="3" t="s">
        <v>38</v>
      </c>
      <c r="K5" s="2"/>
      <c r="L5" s="2"/>
      <c r="M5" s="2"/>
      <c r="N5" s="2"/>
    </row>
    <row r="6" spans="1:15" x14ac:dyDescent="0.25">
      <c r="A6" s="6" t="s">
        <v>42</v>
      </c>
      <c r="F6" s="9"/>
      <c r="G6" s="9"/>
      <c r="H6" s="9"/>
      <c r="I6" s="9"/>
      <c r="J6" s="3"/>
      <c r="K6" s="3"/>
      <c r="L6" s="1"/>
      <c r="M6" s="1"/>
      <c r="N6" s="1"/>
    </row>
    <row r="7" spans="1:15" x14ac:dyDescent="0.25">
      <c r="A7" s="9" t="s">
        <v>140</v>
      </c>
      <c r="B7" s="9"/>
      <c r="C7" s="9"/>
      <c r="D7" s="9"/>
      <c r="E7" s="9"/>
      <c r="F7" s="9"/>
      <c r="G7" s="9"/>
      <c r="H7" s="9"/>
      <c r="I7" s="9"/>
      <c r="J7" s="3" t="s">
        <v>77</v>
      </c>
      <c r="K7" s="1"/>
      <c r="L7" s="1"/>
      <c r="M7" s="1"/>
      <c r="N7" s="1"/>
    </row>
    <row r="8" spans="1:15" x14ac:dyDescent="0.25">
      <c r="A8" s="9" t="s">
        <v>43</v>
      </c>
      <c r="B8" s="9"/>
      <c r="C8" s="9"/>
      <c r="D8" s="9"/>
      <c r="E8" s="9"/>
      <c r="F8" s="9"/>
      <c r="G8" s="9"/>
      <c r="H8" s="9"/>
      <c r="I8" s="9"/>
      <c r="J8" s="3" t="s">
        <v>39</v>
      </c>
      <c r="K8" s="1"/>
      <c r="L8" s="1"/>
      <c r="M8" s="1"/>
      <c r="N8" s="1"/>
    </row>
    <row r="9" spans="1:15" x14ac:dyDescent="0.25">
      <c r="A9" s="9" t="s">
        <v>1</v>
      </c>
      <c r="B9" s="9"/>
      <c r="C9" s="9"/>
      <c r="D9" s="9"/>
      <c r="E9" s="9"/>
      <c r="J9" s="3"/>
      <c r="K9" s="3"/>
      <c r="L9" s="3"/>
      <c r="M9" s="3"/>
      <c r="N9" s="3"/>
    </row>
    <row r="10" spans="1:15" x14ac:dyDescent="0.25">
      <c r="A10" s="97" t="s">
        <v>69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</row>
    <row r="11" spans="1:15" x14ac:dyDescent="0.25">
      <c r="A11" s="10" t="s">
        <v>70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</row>
    <row r="12" spans="1:15" x14ac:dyDescent="0.25">
      <c r="A12" s="98" t="s">
        <v>71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A13" s="6" t="s">
        <v>43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</row>
    <row r="14" spans="1:15" x14ac:dyDescent="0.25">
      <c r="A14" s="98" t="s">
        <v>72</v>
      </c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</row>
    <row r="15" spans="1:15" x14ac:dyDescent="0.25">
      <c r="A15" s="55" t="s">
        <v>73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</row>
    <row r="16" spans="1:15" x14ac:dyDescent="0.25">
      <c r="I16" s="98" t="s">
        <v>18</v>
      </c>
      <c r="J16" s="98"/>
      <c r="K16" s="98"/>
      <c r="L16" s="6" t="s">
        <v>24</v>
      </c>
    </row>
    <row r="17" spans="1:15" x14ac:dyDescent="0.25">
      <c r="A17" s="6" t="s">
        <v>231</v>
      </c>
      <c r="I17" s="6" t="s">
        <v>19</v>
      </c>
      <c r="L17" s="55">
        <v>4</v>
      </c>
    </row>
    <row r="18" spans="1:15" ht="16.5" customHeight="1" x14ac:dyDescent="0.25">
      <c r="A18" s="104" t="s">
        <v>2</v>
      </c>
      <c r="B18" s="104" t="s">
        <v>3</v>
      </c>
      <c r="C18" s="104" t="s">
        <v>4</v>
      </c>
      <c r="D18" s="104" t="s">
        <v>5</v>
      </c>
      <c r="E18" s="104" t="s">
        <v>6</v>
      </c>
      <c r="F18" s="101" t="s">
        <v>7</v>
      </c>
      <c r="G18" s="102"/>
      <c r="H18" s="102"/>
      <c r="I18" s="103"/>
      <c r="J18" s="104" t="s">
        <v>12</v>
      </c>
      <c r="K18" s="104" t="s">
        <v>13</v>
      </c>
      <c r="L18" s="101" t="s">
        <v>14</v>
      </c>
      <c r="M18" s="103"/>
      <c r="N18" s="101" t="s">
        <v>15</v>
      </c>
      <c r="O18" s="103"/>
    </row>
    <row r="19" spans="1:15" ht="27.6" x14ac:dyDescent="0.25">
      <c r="A19" s="105"/>
      <c r="B19" s="105"/>
      <c r="C19" s="105"/>
      <c r="D19" s="105"/>
      <c r="E19" s="105"/>
      <c r="F19" s="4" t="s">
        <v>8</v>
      </c>
      <c r="G19" s="4" t="s">
        <v>9</v>
      </c>
      <c r="H19" s="4" t="s">
        <v>10</v>
      </c>
      <c r="I19" s="4" t="s">
        <v>11</v>
      </c>
      <c r="J19" s="105"/>
      <c r="K19" s="105"/>
      <c r="L19" s="4" t="s">
        <v>16</v>
      </c>
      <c r="M19" s="4" t="s">
        <v>17</v>
      </c>
      <c r="N19" s="4" t="s">
        <v>16</v>
      </c>
      <c r="O19" s="4" t="s">
        <v>17</v>
      </c>
    </row>
    <row r="20" spans="1:15" x14ac:dyDescent="0.25">
      <c r="A20" s="4">
        <v>1</v>
      </c>
      <c r="B20" s="4">
        <v>2</v>
      </c>
      <c r="C20" s="4">
        <v>3</v>
      </c>
      <c r="D20" s="4">
        <v>4</v>
      </c>
      <c r="E20" s="4">
        <v>5</v>
      </c>
      <c r="F20" s="4">
        <v>6</v>
      </c>
      <c r="G20" s="4">
        <v>7</v>
      </c>
      <c r="H20" s="4">
        <v>8</v>
      </c>
      <c r="I20" s="4">
        <v>9</v>
      </c>
      <c r="J20" s="4">
        <v>10</v>
      </c>
      <c r="K20" s="4">
        <v>11</v>
      </c>
      <c r="L20" s="4">
        <v>12</v>
      </c>
      <c r="M20" s="4">
        <v>13</v>
      </c>
      <c r="N20" s="4">
        <v>14</v>
      </c>
      <c r="O20" s="4">
        <v>15</v>
      </c>
    </row>
    <row r="21" spans="1:15" x14ac:dyDescent="0.25">
      <c r="A21" s="106" t="s">
        <v>20</v>
      </c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8"/>
    </row>
    <row r="22" spans="1:15" ht="32.25" customHeight="1" x14ac:dyDescent="0.25">
      <c r="A22" s="11" t="s">
        <v>80</v>
      </c>
      <c r="B22" s="12"/>
      <c r="C22" s="4"/>
      <c r="D22" s="4"/>
      <c r="E22" s="4"/>
      <c r="F22" s="4"/>
      <c r="G22" s="13"/>
      <c r="H22" s="13"/>
      <c r="I22" s="13"/>
      <c r="J22" s="14"/>
      <c r="K22" s="14"/>
      <c r="L22" s="14"/>
      <c r="M22" s="14"/>
      <c r="N22" s="14"/>
      <c r="O22" s="14"/>
    </row>
    <row r="23" spans="1:15" ht="39" customHeight="1" x14ac:dyDescent="0.25">
      <c r="A23" s="11" t="s">
        <v>251</v>
      </c>
      <c r="B23" s="4">
        <v>1</v>
      </c>
      <c r="C23" s="4" t="s">
        <v>27</v>
      </c>
      <c r="D23" s="5">
        <v>2.5</v>
      </c>
      <c r="E23" s="5">
        <v>5</v>
      </c>
      <c r="F23" s="15">
        <v>16</v>
      </c>
      <c r="G23" s="13">
        <v>3303.4999999999995</v>
      </c>
      <c r="H23" s="13">
        <v>35.199999999999996</v>
      </c>
      <c r="I23" s="13">
        <v>3268.3000000000006</v>
      </c>
      <c r="J23" s="13"/>
      <c r="K23" s="13">
        <f>+I23*(108.5/(100+E23))</f>
        <v>3377.2433333333342</v>
      </c>
      <c r="L23" s="13"/>
      <c r="M23" s="13"/>
      <c r="N23" s="13"/>
      <c r="O23" s="13"/>
    </row>
    <row r="24" spans="1:15" ht="39" customHeight="1" x14ac:dyDescent="0.25">
      <c r="A24" s="11" t="s">
        <v>252</v>
      </c>
      <c r="B24" s="4">
        <v>1</v>
      </c>
      <c r="C24" s="4" t="s">
        <v>59</v>
      </c>
      <c r="D24" s="5">
        <v>3</v>
      </c>
      <c r="E24" s="5">
        <v>5</v>
      </c>
      <c r="F24" s="15">
        <v>80</v>
      </c>
      <c r="G24" s="13">
        <v>16186.099999999999</v>
      </c>
      <c r="H24" s="13">
        <v>175.99999999999986</v>
      </c>
      <c r="I24" s="13">
        <v>16010.1</v>
      </c>
      <c r="J24" s="13"/>
      <c r="K24" s="13">
        <f>+I24*(108.5/(100+E24))</f>
        <v>16543.77</v>
      </c>
      <c r="L24" s="13"/>
      <c r="M24" s="13"/>
      <c r="N24" s="13"/>
      <c r="O24" s="13"/>
    </row>
    <row r="25" spans="1:15" ht="30.75" customHeight="1" x14ac:dyDescent="0.25">
      <c r="A25" s="16" t="s">
        <v>21</v>
      </c>
      <c r="B25" s="4"/>
      <c r="C25" s="4"/>
      <c r="D25" s="4"/>
      <c r="E25" s="13"/>
      <c r="F25" s="17">
        <f>SUM(F23:F24)</f>
        <v>96</v>
      </c>
      <c r="G25" s="18">
        <f>SUM(G23:G24)</f>
        <v>19489.599999999999</v>
      </c>
      <c r="H25" s="18">
        <f>SUM(H23:H24)</f>
        <v>211.19999999999985</v>
      </c>
      <c r="I25" s="18">
        <f>SUM(I23:I24)</f>
        <v>19278.400000000001</v>
      </c>
      <c r="J25" s="18"/>
      <c r="K25" s="18">
        <f>SUM(K23:K24)</f>
        <v>19921.013333333336</v>
      </c>
      <c r="L25" s="18"/>
      <c r="M25" s="13"/>
      <c r="N25" s="13"/>
      <c r="O25" s="13"/>
    </row>
    <row r="26" spans="1:15" ht="14.25" customHeight="1" x14ac:dyDescent="0.25">
      <c r="A26" s="19"/>
      <c r="B26" s="20"/>
      <c r="C26" s="20"/>
      <c r="D26" s="20"/>
      <c r="E26" s="21"/>
      <c r="F26" s="22"/>
      <c r="G26" s="22"/>
      <c r="H26" s="22"/>
      <c r="I26" s="22"/>
      <c r="J26" s="22"/>
      <c r="K26" s="22"/>
      <c r="L26" s="22"/>
      <c r="M26" s="21"/>
      <c r="N26" s="21"/>
      <c r="O26" s="21"/>
    </row>
    <row r="27" spans="1:15" ht="14.4" x14ac:dyDescent="0.3">
      <c r="A27" s="109" t="s">
        <v>56</v>
      </c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</row>
    <row r="28" spans="1:15" ht="11.25" customHeight="1" x14ac:dyDescent="0.25"/>
    <row r="29" spans="1:15" x14ac:dyDescent="0.25">
      <c r="A29" s="6" t="s">
        <v>22</v>
      </c>
      <c r="D29" s="24">
        <f>+I25</f>
        <v>19278.400000000001</v>
      </c>
    </row>
    <row r="30" spans="1:15" x14ac:dyDescent="0.25">
      <c r="D30" s="25"/>
      <c r="G30" s="23"/>
      <c r="H30" s="23"/>
      <c r="I30" s="23"/>
      <c r="J30" s="23"/>
      <c r="K30" s="23"/>
    </row>
    <row r="31" spans="1:15" x14ac:dyDescent="0.25">
      <c r="A31" s="6" t="s">
        <v>23</v>
      </c>
      <c r="D31" s="24">
        <f>+G25</f>
        <v>19489.599999999999</v>
      </c>
    </row>
    <row r="32" spans="1:15" ht="11.25" customHeight="1" x14ac:dyDescent="0.25">
      <c r="D32" s="24"/>
    </row>
    <row r="33" spans="1:15" ht="10.5" customHeight="1" x14ac:dyDescent="0.25"/>
    <row r="34" spans="1:15" x14ac:dyDescent="0.25">
      <c r="A34" s="95" t="s">
        <v>25</v>
      </c>
      <c r="B34" s="95"/>
      <c r="C34" s="95"/>
      <c r="D34" s="95"/>
      <c r="E34" s="95"/>
      <c r="F34" s="95"/>
      <c r="G34" s="95"/>
    </row>
    <row r="35" spans="1:15" ht="9.75" customHeight="1" x14ac:dyDescent="0.25"/>
    <row r="36" spans="1:15" x14ac:dyDescent="0.25">
      <c r="A36" s="95" t="s">
        <v>82</v>
      </c>
      <c r="B36" s="95"/>
      <c r="C36" s="95"/>
      <c r="D36" s="95"/>
      <c r="E36" s="95"/>
      <c r="F36" s="95"/>
      <c r="G36" s="95"/>
    </row>
    <row r="37" spans="1:15" ht="12" customHeight="1" x14ac:dyDescent="0.25"/>
    <row r="38" spans="1:15" x14ac:dyDescent="0.25">
      <c r="A38" s="95" t="s">
        <v>26</v>
      </c>
      <c r="B38" s="95"/>
      <c r="C38" s="95"/>
      <c r="D38" s="95"/>
      <c r="E38" s="95"/>
      <c r="F38" s="95"/>
      <c r="G38" s="95"/>
      <c r="I38" s="95"/>
      <c r="J38" s="95"/>
      <c r="K38" s="95"/>
      <c r="L38" s="95"/>
      <c r="M38" s="95"/>
      <c r="N38" s="95"/>
      <c r="O38" s="95"/>
    </row>
    <row r="39" spans="1:15" ht="11.25" customHeight="1" x14ac:dyDescent="0.25"/>
    <row r="40" spans="1:15" x14ac:dyDescent="0.25">
      <c r="A40" s="110" t="s">
        <v>40</v>
      </c>
      <c r="B40" s="110"/>
      <c r="C40" s="110"/>
      <c r="D40" s="110"/>
      <c r="E40" s="110"/>
      <c r="F40" s="110"/>
      <c r="G40" s="110"/>
      <c r="I40" s="100" t="s">
        <v>46</v>
      </c>
      <c r="J40" s="100"/>
      <c r="K40" s="100"/>
      <c r="L40" s="100"/>
      <c r="M40" s="100"/>
      <c r="N40" s="100"/>
      <c r="O40" s="100"/>
    </row>
  </sheetData>
  <mergeCells count="24">
    <mergeCell ref="I16:K16"/>
    <mergeCell ref="A1:O1"/>
    <mergeCell ref="A2:O2"/>
    <mergeCell ref="A10:N10"/>
    <mergeCell ref="A12:N12"/>
    <mergeCell ref="A14:N14"/>
    <mergeCell ref="A27:O27"/>
    <mergeCell ref="A18:A19"/>
    <mergeCell ref="B18:B19"/>
    <mergeCell ref="C18:C19"/>
    <mergeCell ref="D18:D19"/>
    <mergeCell ref="E18:E19"/>
    <mergeCell ref="F18:I18"/>
    <mergeCell ref="J18:J19"/>
    <mergeCell ref="K18:K19"/>
    <mergeCell ref="L18:M18"/>
    <mergeCell ref="N18:O18"/>
    <mergeCell ref="A21:O21"/>
    <mergeCell ref="A34:G34"/>
    <mergeCell ref="A36:G36"/>
    <mergeCell ref="A38:G38"/>
    <mergeCell ref="I38:O38"/>
    <mergeCell ref="A40:G40"/>
    <mergeCell ref="I40:O40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0">
    <tabColor rgb="FF00B050"/>
  </sheetPr>
  <dimension ref="A1:O39"/>
  <sheetViews>
    <sheetView zoomScale="55" zoomScaleNormal="55" workbookViewId="0">
      <selection activeCell="A23" sqref="A23:K23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254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96" t="s">
        <v>86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</row>
    <row r="3" spans="1:15" x14ac:dyDescent="0.25">
      <c r="A3" s="7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7" t="s">
        <v>250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5" x14ac:dyDescent="0.25">
      <c r="A5" s="8" t="s">
        <v>41</v>
      </c>
      <c r="B5" s="8"/>
      <c r="C5" s="8"/>
      <c r="D5" s="8"/>
      <c r="E5" s="8"/>
      <c r="F5" s="8"/>
      <c r="G5" s="8"/>
      <c r="H5" s="8"/>
      <c r="I5" s="8"/>
      <c r="J5" s="3" t="s">
        <v>48</v>
      </c>
      <c r="K5" s="2"/>
      <c r="L5" s="2"/>
      <c r="M5" s="2"/>
      <c r="N5" s="2"/>
    </row>
    <row r="6" spans="1:15" x14ac:dyDescent="0.25">
      <c r="A6" s="6" t="s">
        <v>42</v>
      </c>
      <c r="F6" s="9"/>
      <c r="G6" s="9"/>
      <c r="H6" s="9"/>
      <c r="I6" s="9"/>
      <c r="J6" s="3"/>
      <c r="K6" s="3"/>
      <c r="L6" s="1"/>
      <c r="M6" s="1"/>
      <c r="N6" s="1"/>
    </row>
    <row r="7" spans="1:15" x14ac:dyDescent="0.25">
      <c r="A7" s="9" t="s">
        <v>140</v>
      </c>
      <c r="B7" s="9"/>
      <c r="C7" s="9"/>
      <c r="D7" s="9"/>
      <c r="E7" s="9"/>
      <c r="F7" s="9"/>
      <c r="G7" s="9"/>
      <c r="H7" s="9"/>
      <c r="I7" s="9"/>
      <c r="J7" s="3" t="s">
        <v>51</v>
      </c>
      <c r="K7" s="1"/>
      <c r="L7" s="1"/>
      <c r="M7" s="1"/>
      <c r="N7" s="1"/>
    </row>
    <row r="8" spans="1:15" x14ac:dyDescent="0.25">
      <c r="A8" s="9" t="s">
        <v>43</v>
      </c>
      <c r="B8" s="9"/>
      <c r="C8" s="9"/>
      <c r="D8" s="9"/>
      <c r="E8" s="9"/>
      <c r="F8" s="9"/>
      <c r="G8" s="9"/>
      <c r="H8" s="9"/>
      <c r="I8" s="9"/>
      <c r="J8" s="3" t="s">
        <v>49</v>
      </c>
      <c r="K8" s="1"/>
      <c r="L8" s="1"/>
      <c r="M8" s="1"/>
      <c r="N8" s="1"/>
    </row>
    <row r="9" spans="1:15" x14ac:dyDescent="0.25">
      <c r="A9" s="9" t="s">
        <v>1</v>
      </c>
      <c r="B9" s="9"/>
      <c r="C9" s="9"/>
      <c r="D9" s="9"/>
      <c r="E9" s="9"/>
      <c r="J9" s="3"/>
      <c r="K9" s="3"/>
      <c r="L9" s="3"/>
      <c r="M9" s="3"/>
      <c r="N9" s="3"/>
    </row>
    <row r="10" spans="1:15" x14ac:dyDescent="0.25">
      <c r="A10" s="97" t="s">
        <v>69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</row>
    <row r="11" spans="1:15" x14ac:dyDescent="0.25">
      <c r="A11" s="10" t="s">
        <v>70</v>
      </c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</row>
    <row r="12" spans="1:15" x14ac:dyDescent="0.25">
      <c r="A12" s="98" t="s">
        <v>71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A13" s="6" t="s">
        <v>43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</row>
    <row r="14" spans="1:15" x14ac:dyDescent="0.25">
      <c r="A14" s="98" t="s">
        <v>72</v>
      </c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</row>
    <row r="15" spans="1:15" x14ac:dyDescent="0.25">
      <c r="A15" s="57" t="s">
        <v>73</v>
      </c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</row>
    <row r="16" spans="1:15" x14ac:dyDescent="0.25">
      <c r="I16" s="98" t="s">
        <v>18</v>
      </c>
      <c r="J16" s="98"/>
      <c r="K16" s="98"/>
      <c r="L16" s="6" t="s">
        <v>24</v>
      </c>
    </row>
    <row r="17" spans="1:15" x14ac:dyDescent="0.25">
      <c r="A17" s="6" t="s">
        <v>231</v>
      </c>
      <c r="I17" s="6" t="s">
        <v>19</v>
      </c>
      <c r="L17" s="57">
        <v>4</v>
      </c>
    </row>
    <row r="18" spans="1:15" ht="16.5" customHeight="1" x14ac:dyDescent="0.25">
      <c r="A18" s="104" t="s">
        <v>2</v>
      </c>
      <c r="B18" s="104" t="s">
        <v>3</v>
      </c>
      <c r="C18" s="104" t="s">
        <v>4</v>
      </c>
      <c r="D18" s="104" t="s">
        <v>5</v>
      </c>
      <c r="E18" s="104" t="s">
        <v>6</v>
      </c>
      <c r="F18" s="101" t="s">
        <v>7</v>
      </c>
      <c r="G18" s="102"/>
      <c r="H18" s="102"/>
      <c r="I18" s="103"/>
      <c r="J18" s="104" t="s">
        <v>12</v>
      </c>
      <c r="K18" s="104" t="s">
        <v>13</v>
      </c>
      <c r="L18" s="101" t="s">
        <v>14</v>
      </c>
      <c r="M18" s="103"/>
      <c r="N18" s="101" t="s">
        <v>15</v>
      </c>
      <c r="O18" s="103"/>
    </row>
    <row r="19" spans="1:15" ht="27.6" x14ac:dyDescent="0.25">
      <c r="A19" s="105"/>
      <c r="B19" s="105"/>
      <c r="C19" s="105"/>
      <c r="D19" s="105"/>
      <c r="E19" s="105"/>
      <c r="F19" s="4" t="s">
        <v>8</v>
      </c>
      <c r="G19" s="4" t="s">
        <v>9</v>
      </c>
      <c r="H19" s="4" t="s">
        <v>10</v>
      </c>
      <c r="I19" s="4" t="s">
        <v>11</v>
      </c>
      <c r="J19" s="105"/>
      <c r="K19" s="105"/>
      <c r="L19" s="4" t="s">
        <v>16</v>
      </c>
      <c r="M19" s="4" t="s">
        <v>17</v>
      </c>
      <c r="N19" s="4" t="s">
        <v>16</v>
      </c>
      <c r="O19" s="4" t="s">
        <v>17</v>
      </c>
    </row>
    <row r="20" spans="1:15" x14ac:dyDescent="0.25">
      <c r="A20" s="4">
        <v>1</v>
      </c>
      <c r="B20" s="4">
        <v>2</v>
      </c>
      <c r="C20" s="4">
        <v>3</v>
      </c>
      <c r="D20" s="4">
        <v>4</v>
      </c>
      <c r="E20" s="4">
        <v>5</v>
      </c>
      <c r="F20" s="4">
        <v>6</v>
      </c>
      <c r="G20" s="4">
        <v>7</v>
      </c>
      <c r="H20" s="4">
        <v>8</v>
      </c>
      <c r="I20" s="4">
        <v>9</v>
      </c>
      <c r="J20" s="4">
        <v>10</v>
      </c>
      <c r="K20" s="4">
        <v>11</v>
      </c>
      <c r="L20" s="4">
        <v>12</v>
      </c>
      <c r="M20" s="4">
        <v>13</v>
      </c>
      <c r="N20" s="4">
        <v>14</v>
      </c>
      <c r="O20" s="4">
        <v>15</v>
      </c>
    </row>
    <row r="21" spans="1:15" x14ac:dyDescent="0.25">
      <c r="A21" s="106" t="s">
        <v>20</v>
      </c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8"/>
    </row>
    <row r="22" spans="1:15" ht="32.25" customHeight="1" x14ac:dyDescent="0.25">
      <c r="A22" s="11" t="s">
        <v>80</v>
      </c>
      <c r="B22" s="12"/>
      <c r="C22" s="4"/>
      <c r="D22" s="4"/>
      <c r="E22" s="4"/>
      <c r="F22" s="4"/>
      <c r="G22" s="13"/>
      <c r="H22" s="13"/>
      <c r="I22" s="13"/>
      <c r="J22" s="14"/>
      <c r="K22" s="14"/>
      <c r="L22" s="14"/>
      <c r="M22" s="14"/>
      <c r="N22" s="14"/>
      <c r="O22" s="14"/>
    </row>
    <row r="23" spans="1:15" ht="39" customHeight="1" x14ac:dyDescent="0.25">
      <c r="A23" s="11" t="s">
        <v>253</v>
      </c>
      <c r="B23" s="4">
        <v>1</v>
      </c>
      <c r="C23" s="4" t="s">
        <v>59</v>
      </c>
      <c r="D23" s="5">
        <v>3</v>
      </c>
      <c r="E23" s="5">
        <v>5</v>
      </c>
      <c r="F23" s="15">
        <v>96</v>
      </c>
      <c r="G23" s="13">
        <v>19764.900000000012</v>
      </c>
      <c r="H23" s="13">
        <v>211.19999999999968</v>
      </c>
      <c r="I23" s="13">
        <v>19553.7</v>
      </c>
      <c r="J23" s="13"/>
      <c r="K23" s="13">
        <f>+I23*(108.5/(100+E23))</f>
        <v>20205.490000000002</v>
      </c>
      <c r="L23" s="13"/>
      <c r="M23" s="13"/>
      <c r="N23" s="13"/>
      <c r="O23" s="13"/>
    </row>
    <row r="24" spans="1:15" ht="30.75" customHeight="1" x14ac:dyDescent="0.25">
      <c r="A24" s="16" t="s">
        <v>21</v>
      </c>
      <c r="B24" s="4"/>
      <c r="C24" s="4"/>
      <c r="D24" s="4"/>
      <c r="E24" s="13"/>
      <c r="F24" s="17">
        <f>SUM(F23:F23)</f>
        <v>96</v>
      </c>
      <c r="G24" s="18">
        <f>SUM(G23:G23)</f>
        <v>19764.900000000012</v>
      </c>
      <c r="H24" s="18">
        <f>SUM(H23:H23)</f>
        <v>211.19999999999968</v>
      </c>
      <c r="I24" s="18">
        <f>SUM(I23:I23)</f>
        <v>19553.7</v>
      </c>
      <c r="J24" s="18"/>
      <c r="K24" s="18">
        <f>SUM(K23:K23)</f>
        <v>20205.490000000002</v>
      </c>
      <c r="L24" s="18"/>
      <c r="M24" s="13"/>
      <c r="N24" s="13"/>
      <c r="O24" s="13"/>
    </row>
    <row r="25" spans="1:15" ht="14.25" customHeight="1" x14ac:dyDescent="0.25">
      <c r="A25" s="19"/>
      <c r="B25" s="20"/>
      <c r="C25" s="20"/>
      <c r="D25" s="20"/>
      <c r="E25" s="21"/>
      <c r="F25" s="22"/>
      <c r="G25" s="22"/>
      <c r="H25" s="22"/>
      <c r="I25" s="22"/>
      <c r="J25" s="22"/>
      <c r="K25" s="22"/>
      <c r="L25" s="22"/>
      <c r="M25" s="21"/>
      <c r="N25" s="21"/>
      <c r="O25" s="21"/>
    </row>
    <row r="26" spans="1:15" ht="14.4" x14ac:dyDescent="0.3">
      <c r="A26" s="109" t="s">
        <v>56</v>
      </c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</row>
    <row r="27" spans="1:15" ht="11.25" customHeight="1" x14ac:dyDescent="0.25"/>
    <row r="28" spans="1:15" x14ac:dyDescent="0.25">
      <c r="A28" s="6" t="s">
        <v>22</v>
      </c>
      <c r="D28" s="24">
        <f>+I24</f>
        <v>19553.7</v>
      </c>
    </row>
    <row r="29" spans="1:15" x14ac:dyDescent="0.25">
      <c r="D29" s="25"/>
      <c r="G29" s="23"/>
      <c r="H29" s="23"/>
      <c r="I29" s="23"/>
      <c r="J29" s="23"/>
      <c r="K29" s="23"/>
    </row>
    <row r="30" spans="1:15" x14ac:dyDescent="0.25">
      <c r="A30" s="6" t="s">
        <v>23</v>
      </c>
      <c r="D30" s="24">
        <f>+G24</f>
        <v>19764.900000000012</v>
      </c>
    </row>
    <row r="31" spans="1:15" ht="11.25" customHeight="1" x14ac:dyDescent="0.25">
      <c r="D31" s="24"/>
    </row>
    <row r="32" spans="1:15" ht="10.5" customHeight="1" x14ac:dyDescent="0.25"/>
    <row r="33" spans="1:15" x14ac:dyDescent="0.25">
      <c r="A33" s="95" t="s">
        <v>25</v>
      </c>
      <c r="B33" s="95"/>
      <c r="C33" s="95"/>
      <c r="D33" s="95"/>
      <c r="E33" s="95"/>
      <c r="F33" s="95"/>
      <c r="G33" s="95"/>
    </row>
    <row r="34" spans="1:15" ht="9.75" customHeight="1" x14ac:dyDescent="0.25"/>
    <row r="35" spans="1:15" x14ac:dyDescent="0.25">
      <c r="A35" s="95" t="s">
        <v>82</v>
      </c>
      <c r="B35" s="95"/>
      <c r="C35" s="95"/>
      <c r="D35" s="95"/>
      <c r="E35" s="95"/>
      <c r="F35" s="95"/>
      <c r="G35" s="95"/>
    </row>
    <row r="36" spans="1:15" ht="12" customHeight="1" x14ac:dyDescent="0.25"/>
    <row r="37" spans="1:15" x14ac:dyDescent="0.25">
      <c r="A37" s="95" t="s">
        <v>26</v>
      </c>
      <c r="B37" s="95"/>
      <c r="C37" s="95"/>
      <c r="D37" s="95"/>
      <c r="E37" s="95"/>
      <c r="F37" s="95"/>
      <c r="G37" s="95"/>
      <c r="I37" s="95"/>
      <c r="J37" s="95"/>
      <c r="K37" s="95"/>
      <c r="L37" s="95"/>
      <c r="M37" s="95"/>
      <c r="N37" s="95"/>
      <c r="O37" s="95"/>
    </row>
    <row r="38" spans="1:15" ht="11.25" customHeight="1" x14ac:dyDescent="0.25"/>
    <row r="39" spans="1:15" x14ac:dyDescent="0.25">
      <c r="A39" s="110" t="s">
        <v>255</v>
      </c>
      <c r="B39" s="110"/>
      <c r="C39" s="110"/>
      <c r="D39" s="110"/>
      <c r="E39" s="110"/>
      <c r="F39" s="110"/>
      <c r="G39" s="110"/>
      <c r="I39" s="100"/>
      <c r="J39" s="100"/>
      <c r="K39" s="100"/>
      <c r="L39" s="100"/>
      <c r="M39" s="100"/>
      <c r="N39" s="100"/>
      <c r="O39" s="100"/>
    </row>
  </sheetData>
  <mergeCells count="24">
    <mergeCell ref="A33:G33"/>
    <mergeCell ref="A35:G35"/>
    <mergeCell ref="A37:G37"/>
    <mergeCell ref="I37:O37"/>
    <mergeCell ref="A39:G39"/>
    <mergeCell ref="I39:O39"/>
    <mergeCell ref="A26:O26"/>
    <mergeCell ref="A18:A19"/>
    <mergeCell ref="B18:B19"/>
    <mergeCell ref="C18:C19"/>
    <mergeCell ref="D18:D19"/>
    <mergeCell ref="E18:E19"/>
    <mergeCell ref="F18:I18"/>
    <mergeCell ref="J18:J19"/>
    <mergeCell ref="K18:K19"/>
    <mergeCell ref="L18:M18"/>
    <mergeCell ref="N18:O18"/>
    <mergeCell ref="A21:O21"/>
    <mergeCell ref="I16:K16"/>
    <mergeCell ref="A1:O1"/>
    <mergeCell ref="A2:O2"/>
    <mergeCell ref="A10:N10"/>
    <mergeCell ref="A12:N12"/>
    <mergeCell ref="A14:N14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1">
    <tabColor rgb="FFFFFF00"/>
  </sheetPr>
  <dimension ref="A1:O37"/>
  <sheetViews>
    <sheetView zoomScale="70" zoomScaleNormal="70" workbookViewId="0">
      <selection activeCell="J4" sqref="J4:J7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256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5" x14ac:dyDescent="0.25">
      <c r="A3" s="7" t="s">
        <v>250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8" t="s">
        <v>41</v>
      </c>
      <c r="B4" s="8"/>
      <c r="C4" s="8"/>
      <c r="D4" s="8"/>
      <c r="E4" s="8"/>
      <c r="F4" s="8"/>
      <c r="G4" s="8"/>
      <c r="H4" s="8"/>
      <c r="I4" s="8"/>
      <c r="J4" s="3" t="s">
        <v>67</v>
      </c>
      <c r="K4" s="2"/>
      <c r="L4" s="2"/>
      <c r="M4" s="2"/>
      <c r="N4" s="2"/>
    </row>
    <row r="5" spans="1:15" x14ac:dyDescent="0.25">
      <c r="A5" s="6" t="s">
        <v>42</v>
      </c>
      <c r="F5" s="9"/>
      <c r="G5" s="9"/>
      <c r="H5" s="9"/>
      <c r="I5" s="9"/>
      <c r="J5" s="3"/>
      <c r="K5" s="3"/>
      <c r="L5" s="1"/>
      <c r="M5" s="1"/>
      <c r="N5" s="1"/>
    </row>
    <row r="6" spans="1:15" x14ac:dyDescent="0.25">
      <c r="A6" s="9" t="s">
        <v>68</v>
      </c>
      <c r="B6" s="9"/>
      <c r="C6" s="9"/>
      <c r="D6" s="9"/>
      <c r="E6" s="9"/>
      <c r="F6" s="9"/>
      <c r="G6" s="9"/>
      <c r="H6" s="9"/>
      <c r="I6" s="9"/>
      <c r="J6" s="3" t="s">
        <v>31</v>
      </c>
      <c r="K6" s="1"/>
      <c r="L6" s="1"/>
      <c r="M6" s="1"/>
      <c r="N6" s="1"/>
    </row>
    <row r="7" spans="1:15" x14ac:dyDescent="0.25">
      <c r="A7" s="9" t="s">
        <v>43</v>
      </c>
      <c r="B7" s="9"/>
      <c r="C7" s="9"/>
      <c r="D7" s="9"/>
      <c r="E7" s="9"/>
      <c r="F7" s="9"/>
      <c r="G7" s="9"/>
      <c r="H7" s="9"/>
      <c r="I7" s="9"/>
      <c r="J7" s="3" t="s">
        <v>32</v>
      </c>
      <c r="K7" s="1"/>
      <c r="L7" s="1"/>
      <c r="M7" s="1"/>
      <c r="N7" s="1"/>
    </row>
    <row r="8" spans="1:15" x14ac:dyDescent="0.25">
      <c r="A8" s="9" t="s">
        <v>1</v>
      </c>
      <c r="B8" s="9"/>
      <c r="C8" s="9"/>
      <c r="D8" s="9"/>
      <c r="E8" s="9"/>
      <c r="J8" s="3"/>
      <c r="K8" s="3"/>
      <c r="L8" s="3"/>
      <c r="M8" s="3"/>
      <c r="N8" s="3"/>
    </row>
    <row r="9" spans="1:15" x14ac:dyDescent="0.25">
      <c r="A9" s="97" t="s">
        <v>44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</row>
    <row r="10" spans="1:15" x14ac:dyDescent="0.25">
      <c r="A10" s="10" t="s">
        <v>45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spans="1:15" x14ac:dyDescent="0.25">
      <c r="A11" s="98" t="s">
        <v>140</v>
      </c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</row>
    <row r="12" spans="1:15" x14ac:dyDescent="0.25">
      <c r="A12" s="98" t="s">
        <v>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I13" s="98"/>
      <c r="J13" s="98"/>
      <c r="K13" s="98"/>
    </row>
    <row r="14" spans="1:15" x14ac:dyDescent="0.25">
      <c r="A14" s="6" t="s">
        <v>238</v>
      </c>
      <c r="L14" s="59"/>
    </row>
    <row r="15" spans="1:15" ht="16.5" customHeight="1" x14ac:dyDescent="0.25">
      <c r="A15" s="104" t="s">
        <v>2</v>
      </c>
      <c r="B15" s="104" t="s">
        <v>3</v>
      </c>
      <c r="C15" s="104" t="s">
        <v>4</v>
      </c>
      <c r="D15" s="104" t="s">
        <v>5</v>
      </c>
      <c r="E15" s="104" t="s">
        <v>6</v>
      </c>
      <c r="F15" s="101" t="s">
        <v>7</v>
      </c>
      <c r="G15" s="102"/>
      <c r="H15" s="102"/>
      <c r="I15" s="103"/>
      <c r="J15" s="104" t="s">
        <v>12</v>
      </c>
      <c r="K15" s="104" t="s">
        <v>13</v>
      </c>
      <c r="L15" s="101" t="s">
        <v>14</v>
      </c>
      <c r="M15" s="103"/>
      <c r="N15" s="101" t="s">
        <v>15</v>
      </c>
      <c r="O15" s="103"/>
    </row>
    <row r="16" spans="1:15" ht="27.6" x14ac:dyDescent="0.25">
      <c r="A16" s="105"/>
      <c r="B16" s="105"/>
      <c r="C16" s="105"/>
      <c r="D16" s="105"/>
      <c r="E16" s="105"/>
      <c r="F16" s="4" t="s">
        <v>8</v>
      </c>
      <c r="G16" s="4" t="s">
        <v>9</v>
      </c>
      <c r="H16" s="4" t="s">
        <v>10</v>
      </c>
      <c r="I16" s="4" t="s">
        <v>11</v>
      </c>
      <c r="J16" s="105"/>
      <c r="K16" s="105"/>
      <c r="L16" s="4" t="s">
        <v>16</v>
      </c>
      <c r="M16" s="4" t="s">
        <v>17</v>
      </c>
      <c r="N16" s="4" t="s">
        <v>16</v>
      </c>
      <c r="O16" s="4" t="s">
        <v>17</v>
      </c>
    </row>
    <row r="17" spans="1:15" x14ac:dyDescent="0.25">
      <c r="A17" s="4">
        <v>1</v>
      </c>
      <c r="B17" s="4">
        <v>2</v>
      </c>
      <c r="C17" s="4">
        <v>3</v>
      </c>
      <c r="D17" s="4">
        <v>4</v>
      </c>
      <c r="E17" s="4">
        <v>5</v>
      </c>
      <c r="F17" s="4">
        <v>6</v>
      </c>
      <c r="G17" s="4">
        <v>7</v>
      </c>
      <c r="H17" s="4">
        <v>8</v>
      </c>
      <c r="I17" s="4">
        <v>9</v>
      </c>
      <c r="J17" s="4">
        <v>10</v>
      </c>
      <c r="K17" s="4">
        <v>11</v>
      </c>
      <c r="L17" s="4">
        <v>12</v>
      </c>
      <c r="M17" s="4">
        <v>13</v>
      </c>
      <c r="N17" s="4">
        <v>14</v>
      </c>
      <c r="O17" s="4">
        <v>15</v>
      </c>
    </row>
    <row r="18" spans="1:15" x14ac:dyDescent="0.25">
      <c r="A18" s="106" t="s">
        <v>20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8"/>
    </row>
    <row r="19" spans="1:15" ht="32.25" customHeight="1" x14ac:dyDescent="0.25">
      <c r="A19" s="11" t="s">
        <v>80</v>
      </c>
      <c r="B19" s="12"/>
      <c r="C19" s="4"/>
      <c r="D19" s="4"/>
      <c r="E19" s="4"/>
      <c r="F19" s="4"/>
      <c r="G19" s="13"/>
      <c r="H19" s="13"/>
      <c r="I19" s="13"/>
      <c r="J19" s="14"/>
      <c r="K19" s="14"/>
      <c r="L19" s="14"/>
      <c r="M19" s="14"/>
      <c r="N19" s="14"/>
      <c r="O19" s="14"/>
    </row>
    <row r="20" spans="1:15" ht="45.75" customHeight="1" x14ac:dyDescent="0.25">
      <c r="A20" s="11" t="s">
        <v>258</v>
      </c>
      <c r="B20" s="4">
        <v>1</v>
      </c>
      <c r="C20" s="4" t="s">
        <v>27</v>
      </c>
      <c r="D20" s="5">
        <v>2.5</v>
      </c>
      <c r="E20" s="5">
        <v>5</v>
      </c>
      <c r="F20" s="15">
        <v>36</v>
      </c>
      <c r="G20" s="13">
        <v>7684.2000000000007</v>
      </c>
      <c r="H20" s="13">
        <v>86.400000000000034</v>
      </c>
      <c r="I20" s="13">
        <v>7597.7999999999993</v>
      </c>
      <c r="J20" s="13"/>
      <c r="K20" s="13">
        <f>+I20*(108.5/(100+E20))</f>
        <v>7851.06</v>
      </c>
      <c r="L20" s="13"/>
      <c r="M20" s="13"/>
      <c r="N20" s="13"/>
      <c r="O20" s="13"/>
    </row>
    <row r="21" spans="1:15" ht="45.75" customHeight="1" x14ac:dyDescent="0.25">
      <c r="A21" s="11" t="s">
        <v>257</v>
      </c>
      <c r="B21" s="4">
        <v>1</v>
      </c>
      <c r="C21" s="4" t="s">
        <v>59</v>
      </c>
      <c r="D21" s="5">
        <v>3</v>
      </c>
      <c r="E21" s="5">
        <v>5</v>
      </c>
      <c r="F21" s="15">
        <v>54</v>
      </c>
      <c r="G21" s="13">
        <v>11720.999999999998</v>
      </c>
      <c r="H21" s="13">
        <v>129.60000000000014</v>
      </c>
      <c r="I21" s="13">
        <v>11591.4</v>
      </c>
      <c r="J21" s="13"/>
      <c r="K21" s="13">
        <f>+I21*(108.5/(100+E21))</f>
        <v>11977.78</v>
      </c>
      <c r="L21" s="13"/>
      <c r="M21" s="13"/>
      <c r="N21" s="13"/>
      <c r="O21" s="13"/>
    </row>
    <row r="22" spans="1:15" ht="30.75" customHeight="1" x14ac:dyDescent="0.25">
      <c r="A22" s="16" t="s">
        <v>21</v>
      </c>
      <c r="B22" s="4"/>
      <c r="C22" s="4"/>
      <c r="D22" s="4"/>
      <c r="E22" s="13"/>
      <c r="F22" s="17">
        <f>SUM(F20:F21)</f>
        <v>90</v>
      </c>
      <c r="G22" s="18">
        <f>SUM(G20:G21)</f>
        <v>19405.199999999997</v>
      </c>
      <c r="H22" s="18">
        <f>SUM(H20:H21)</f>
        <v>216.00000000000017</v>
      </c>
      <c r="I22" s="18">
        <f>SUM(I20:I21)</f>
        <v>19189.199999999997</v>
      </c>
      <c r="J22" s="18"/>
      <c r="K22" s="18">
        <f>SUM(K20:K21)</f>
        <v>19828.84</v>
      </c>
      <c r="L22" s="18"/>
      <c r="M22" s="13"/>
      <c r="N22" s="13"/>
      <c r="O22" s="13"/>
    </row>
    <row r="23" spans="1:15" ht="14.25" customHeight="1" x14ac:dyDescent="0.25">
      <c r="A23" s="19"/>
      <c r="B23" s="20"/>
      <c r="C23" s="20"/>
      <c r="D23" s="20"/>
      <c r="E23" s="21"/>
      <c r="F23" s="22"/>
      <c r="G23" s="22"/>
      <c r="H23" s="22"/>
      <c r="I23" s="22"/>
      <c r="J23" s="22"/>
      <c r="K23" s="22"/>
      <c r="L23" s="22"/>
      <c r="M23" s="21"/>
      <c r="N23" s="21"/>
      <c r="O23" s="21"/>
    </row>
    <row r="24" spans="1:15" ht="14.4" x14ac:dyDescent="0.3">
      <c r="A24" s="109" t="s">
        <v>192</v>
      </c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</row>
    <row r="25" spans="1:15" ht="11.25" customHeight="1" x14ac:dyDescent="0.25"/>
    <row r="26" spans="1:15" x14ac:dyDescent="0.25">
      <c r="A26" s="6" t="s">
        <v>22</v>
      </c>
      <c r="D26" s="24">
        <f>+I22</f>
        <v>19189.199999999997</v>
      </c>
    </row>
    <row r="27" spans="1:15" x14ac:dyDescent="0.25">
      <c r="D27" s="25"/>
      <c r="G27" s="23"/>
      <c r="H27" s="23"/>
      <c r="I27" s="23"/>
      <c r="J27" s="23"/>
      <c r="K27" s="23"/>
    </row>
    <row r="28" spans="1:15" x14ac:dyDescent="0.25">
      <c r="A28" s="6" t="s">
        <v>23</v>
      </c>
      <c r="D28" s="24">
        <f>+K22</f>
        <v>19828.84</v>
      </c>
    </row>
    <row r="29" spans="1:15" ht="11.25" customHeight="1" x14ac:dyDescent="0.25">
      <c r="D29" s="24"/>
    </row>
    <row r="30" spans="1:15" ht="10.5" customHeight="1" x14ac:dyDescent="0.25"/>
    <row r="31" spans="1:15" x14ac:dyDescent="0.25">
      <c r="A31" s="95" t="s">
        <v>25</v>
      </c>
      <c r="B31" s="95"/>
      <c r="C31" s="95"/>
      <c r="D31" s="95"/>
      <c r="E31" s="95"/>
      <c r="F31" s="95"/>
      <c r="G31" s="95"/>
    </row>
    <row r="32" spans="1:15" ht="9.75" customHeight="1" x14ac:dyDescent="0.25"/>
    <row r="33" spans="1:15" x14ac:dyDescent="0.25">
      <c r="A33" s="95" t="s">
        <v>82</v>
      </c>
      <c r="B33" s="95"/>
      <c r="C33" s="95"/>
      <c r="D33" s="95"/>
      <c r="E33" s="95"/>
      <c r="F33" s="95"/>
      <c r="G33" s="95"/>
    </row>
    <row r="34" spans="1:15" ht="12" customHeight="1" x14ac:dyDescent="0.25"/>
    <row r="35" spans="1:15" x14ac:dyDescent="0.25">
      <c r="A35" s="95" t="s">
        <v>26</v>
      </c>
      <c r="B35" s="95"/>
      <c r="C35" s="95"/>
      <c r="D35" s="95"/>
      <c r="E35" s="95"/>
      <c r="F35" s="95"/>
      <c r="G35" s="95"/>
      <c r="I35" s="95"/>
      <c r="J35" s="95"/>
      <c r="K35" s="95"/>
      <c r="L35" s="95"/>
      <c r="M35" s="95"/>
      <c r="N35" s="95"/>
      <c r="O35" s="95"/>
    </row>
    <row r="36" spans="1:15" ht="11.25" customHeight="1" x14ac:dyDescent="0.25"/>
    <row r="37" spans="1:15" x14ac:dyDescent="0.25">
      <c r="A37" s="110" t="s">
        <v>259</v>
      </c>
      <c r="B37" s="110"/>
      <c r="C37" s="110"/>
      <c r="D37" s="110"/>
      <c r="E37" s="110"/>
      <c r="F37" s="110"/>
      <c r="G37" s="110"/>
      <c r="I37" s="100" t="s">
        <v>46</v>
      </c>
      <c r="J37" s="100"/>
      <c r="K37" s="100"/>
      <c r="L37" s="100"/>
      <c r="M37" s="100"/>
      <c r="N37" s="100"/>
      <c r="O37" s="100"/>
    </row>
  </sheetData>
  <mergeCells count="23">
    <mergeCell ref="A35:G35"/>
    <mergeCell ref="I35:O35"/>
    <mergeCell ref="A37:G37"/>
    <mergeCell ref="I37:O37"/>
    <mergeCell ref="F15:I15"/>
    <mergeCell ref="J15:J16"/>
    <mergeCell ref="K15:K16"/>
    <mergeCell ref="L15:M15"/>
    <mergeCell ref="N15:O15"/>
    <mergeCell ref="A18:O18"/>
    <mergeCell ref="A15:A16"/>
    <mergeCell ref="B15:B16"/>
    <mergeCell ref="C15:C16"/>
    <mergeCell ref="D15:D16"/>
    <mergeCell ref="E15:E16"/>
    <mergeCell ref="A24:O24"/>
    <mergeCell ref="A31:G31"/>
    <mergeCell ref="A33:G33"/>
    <mergeCell ref="A1:O1"/>
    <mergeCell ref="A9:N9"/>
    <mergeCell ref="A11:N11"/>
    <mergeCell ref="A12:N12"/>
    <mergeCell ref="I13:K13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2">
    <tabColor rgb="FFFFFF00"/>
  </sheetPr>
  <dimension ref="A1:O36"/>
  <sheetViews>
    <sheetView workbookViewId="0">
      <selection activeCell="J4" sqref="J4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260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5" x14ac:dyDescent="0.25">
      <c r="A3" s="7" t="s">
        <v>261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8" t="s">
        <v>41</v>
      </c>
      <c r="B4" s="8"/>
      <c r="C4" s="8"/>
      <c r="D4" s="8"/>
      <c r="E4" s="8"/>
      <c r="F4" s="8"/>
      <c r="G4" s="8"/>
      <c r="H4" s="8"/>
      <c r="I4" s="8"/>
      <c r="J4" s="1" t="s">
        <v>263</v>
      </c>
      <c r="K4" s="1"/>
      <c r="L4" s="2"/>
      <c r="M4" s="2"/>
      <c r="N4" s="2"/>
    </row>
    <row r="5" spans="1:15" x14ac:dyDescent="0.25">
      <c r="A5" s="6" t="s">
        <v>42</v>
      </c>
      <c r="F5" s="9"/>
      <c r="G5" s="9"/>
      <c r="H5" s="9"/>
      <c r="I5" s="9"/>
      <c r="J5" s="3"/>
      <c r="K5" s="64"/>
      <c r="L5" s="1"/>
      <c r="M5" s="1"/>
      <c r="N5" s="1"/>
    </row>
    <row r="6" spans="1:15" x14ac:dyDescent="0.25">
      <c r="A6" s="9" t="s">
        <v>68</v>
      </c>
      <c r="B6" s="9"/>
      <c r="C6" s="9"/>
      <c r="D6" s="9"/>
      <c r="E6" s="9"/>
      <c r="F6" s="9"/>
      <c r="G6" s="9"/>
      <c r="H6" s="9"/>
      <c r="I6" s="9"/>
      <c r="J6" s="1" t="s">
        <v>262</v>
      </c>
      <c r="K6" s="1"/>
      <c r="L6" s="1"/>
      <c r="M6" s="1"/>
      <c r="N6" s="1"/>
    </row>
    <row r="7" spans="1:15" x14ac:dyDescent="0.25">
      <c r="A7" s="9" t="s">
        <v>43</v>
      </c>
      <c r="B7" s="9"/>
      <c r="C7" s="9"/>
      <c r="D7" s="9"/>
      <c r="E7" s="9"/>
      <c r="F7" s="9"/>
      <c r="G7" s="9"/>
      <c r="H7" s="9"/>
      <c r="I7" s="9"/>
      <c r="J7" s="1" t="s">
        <v>264</v>
      </c>
      <c r="K7" s="1"/>
      <c r="L7" s="1"/>
      <c r="M7" s="1"/>
      <c r="N7" s="1"/>
    </row>
    <row r="8" spans="1:15" x14ac:dyDescent="0.25">
      <c r="A8" s="9" t="s">
        <v>1</v>
      </c>
      <c r="B8" s="9"/>
      <c r="C8" s="9"/>
      <c r="D8" s="9"/>
      <c r="E8" s="9"/>
      <c r="J8" s="3"/>
      <c r="K8" s="3"/>
      <c r="L8" s="3"/>
      <c r="M8" s="3"/>
      <c r="N8" s="3"/>
    </row>
    <row r="9" spans="1:15" x14ac:dyDescent="0.25">
      <c r="A9" s="97" t="s">
        <v>44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</row>
    <row r="10" spans="1:15" x14ac:dyDescent="0.25">
      <c r="A10" s="10" t="s">
        <v>45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</row>
    <row r="11" spans="1:15" x14ac:dyDescent="0.25">
      <c r="A11" s="98" t="s">
        <v>140</v>
      </c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</row>
    <row r="12" spans="1:15" x14ac:dyDescent="0.25">
      <c r="A12" s="98" t="s">
        <v>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I13" s="98" t="s">
        <v>18</v>
      </c>
      <c r="J13" s="98"/>
      <c r="K13" s="98"/>
    </row>
    <row r="14" spans="1:15" x14ac:dyDescent="0.25">
      <c r="A14" s="6" t="s">
        <v>267</v>
      </c>
      <c r="I14" s="6" t="s">
        <v>19</v>
      </c>
      <c r="L14" s="61">
        <v>4</v>
      </c>
    </row>
    <row r="15" spans="1:15" ht="16.5" customHeight="1" x14ac:dyDescent="0.25">
      <c r="A15" s="104" t="s">
        <v>2</v>
      </c>
      <c r="B15" s="104" t="s">
        <v>3</v>
      </c>
      <c r="C15" s="104" t="s">
        <v>4</v>
      </c>
      <c r="D15" s="104" t="s">
        <v>5</v>
      </c>
      <c r="E15" s="104" t="s">
        <v>6</v>
      </c>
      <c r="F15" s="101" t="s">
        <v>7</v>
      </c>
      <c r="G15" s="102"/>
      <c r="H15" s="102"/>
      <c r="I15" s="103"/>
      <c r="J15" s="104" t="s">
        <v>12</v>
      </c>
      <c r="K15" s="104" t="s">
        <v>13</v>
      </c>
      <c r="L15" s="101" t="s">
        <v>14</v>
      </c>
      <c r="M15" s="103"/>
      <c r="N15" s="101" t="s">
        <v>15</v>
      </c>
      <c r="O15" s="103"/>
    </row>
    <row r="16" spans="1:15" ht="27.6" x14ac:dyDescent="0.25">
      <c r="A16" s="105"/>
      <c r="B16" s="105"/>
      <c r="C16" s="105"/>
      <c r="D16" s="105"/>
      <c r="E16" s="105"/>
      <c r="F16" s="4" t="s">
        <v>8</v>
      </c>
      <c r="G16" s="4" t="s">
        <v>9</v>
      </c>
      <c r="H16" s="4" t="s">
        <v>10</v>
      </c>
      <c r="I16" s="4" t="s">
        <v>11</v>
      </c>
      <c r="J16" s="105"/>
      <c r="K16" s="105"/>
      <c r="L16" s="4" t="s">
        <v>16</v>
      </c>
      <c r="M16" s="4" t="s">
        <v>17</v>
      </c>
      <c r="N16" s="4" t="s">
        <v>16</v>
      </c>
      <c r="O16" s="4" t="s">
        <v>17</v>
      </c>
    </row>
    <row r="17" spans="1:15" x14ac:dyDescent="0.25">
      <c r="A17" s="4">
        <v>1</v>
      </c>
      <c r="B17" s="4">
        <v>2</v>
      </c>
      <c r="C17" s="4">
        <v>3</v>
      </c>
      <c r="D17" s="4">
        <v>4</v>
      </c>
      <c r="E17" s="4">
        <v>5</v>
      </c>
      <c r="F17" s="4">
        <v>6</v>
      </c>
      <c r="G17" s="4">
        <v>7</v>
      </c>
      <c r="H17" s="4">
        <v>8</v>
      </c>
      <c r="I17" s="4">
        <v>9</v>
      </c>
      <c r="J17" s="4">
        <v>10</v>
      </c>
      <c r="K17" s="4">
        <v>11</v>
      </c>
      <c r="L17" s="4">
        <v>12</v>
      </c>
      <c r="M17" s="4">
        <v>13</v>
      </c>
      <c r="N17" s="4">
        <v>14</v>
      </c>
      <c r="O17" s="4">
        <v>15</v>
      </c>
    </row>
    <row r="18" spans="1:15" x14ac:dyDescent="0.25">
      <c r="A18" s="106" t="s">
        <v>20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8"/>
    </row>
    <row r="19" spans="1:15" ht="32.25" customHeight="1" x14ac:dyDescent="0.25">
      <c r="A19" s="11" t="s">
        <v>80</v>
      </c>
      <c r="B19" s="12"/>
      <c r="C19" s="4"/>
      <c r="D19" s="4"/>
      <c r="E19" s="4"/>
      <c r="F19" s="4"/>
      <c r="G19" s="13"/>
      <c r="H19" s="13"/>
      <c r="I19" s="13"/>
      <c r="J19" s="14"/>
      <c r="K19" s="14"/>
      <c r="L19" s="14"/>
      <c r="M19" s="14"/>
      <c r="N19" s="14"/>
      <c r="O19" s="14"/>
    </row>
    <row r="20" spans="1:15" ht="42.75" customHeight="1" x14ac:dyDescent="0.25">
      <c r="A20" s="11" t="s">
        <v>266</v>
      </c>
      <c r="B20" s="4">
        <v>1</v>
      </c>
      <c r="C20" s="4" t="s">
        <v>59</v>
      </c>
      <c r="D20" s="5">
        <v>3</v>
      </c>
      <c r="E20" s="5">
        <v>5</v>
      </c>
      <c r="F20" s="15">
        <v>22</v>
      </c>
      <c r="G20" s="13">
        <v>4387.8999999999996</v>
      </c>
      <c r="H20" s="13">
        <v>48.400000000000013</v>
      </c>
      <c r="I20" s="13">
        <v>4339.5</v>
      </c>
      <c r="J20" s="13"/>
      <c r="K20" s="13">
        <f>+I20*(108.5/(100+E20))</f>
        <v>4484.1500000000005</v>
      </c>
      <c r="L20" s="13"/>
      <c r="M20" s="13"/>
      <c r="N20" s="13"/>
      <c r="O20" s="13"/>
    </row>
    <row r="21" spans="1:15" ht="30.75" customHeight="1" x14ac:dyDescent="0.25">
      <c r="A21" s="16" t="s">
        <v>21</v>
      </c>
      <c r="B21" s="4"/>
      <c r="C21" s="4"/>
      <c r="D21" s="4"/>
      <c r="E21" s="13"/>
      <c r="F21" s="17">
        <f>SUM(F20:F20)</f>
        <v>22</v>
      </c>
      <c r="G21" s="18">
        <f>SUM(G20:G20)</f>
        <v>4387.8999999999996</v>
      </c>
      <c r="H21" s="18">
        <f>SUM(H20:H20)</f>
        <v>48.400000000000013</v>
      </c>
      <c r="I21" s="18">
        <f>SUM(I20:I20)</f>
        <v>4339.5</v>
      </c>
      <c r="J21" s="18"/>
      <c r="K21" s="18">
        <f>SUM(K20:K20)</f>
        <v>4484.1500000000005</v>
      </c>
      <c r="L21" s="18"/>
      <c r="M21" s="13"/>
      <c r="N21" s="13"/>
      <c r="O21" s="13"/>
    </row>
    <row r="22" spans="1:15" ht="14.25" customHeight="1" x14ac:dyDescent="0.25">
      <c r="A22" s="19"/>
      <c r="B22" s="20"/>
      <c r="C22" s="20"/>
      <c r="D22" s="20"/>
      <c r="E22" s="21"/>
      <c r="F22" s="22"/>
      <c r="G22" s="22"/>
      <c r="H22" s="22"/>
      <c r="I22" s="22"/>
      <c r="J22" s="22"/>
      <c r="K22" s="22"/>
      <c r="L22" s="22"/>
      <c r="M22" s="21"/>
      <c r="N22" s="21"/>
      <c r="O22" s="21"/>
    </row>
    <row r="23" spans="1:15" ht="14.4" x14ac:dyDescent="0.3">
      <c r="A23" s="109" t="s">
        <v>56</v>
      </c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</row>
    <row r="24" spans="1:15" ht="11.25" customHeight="1" x14ac:dyDescent="0.25"/>
    <row r="25" spans="1:15" x14ac:dyDescent="0.25">
      <c r="A25" s="6" t="s">
        <v>22</v>
      </c>
      <c r="D25" s="24">
        <f>+I21</f>
        <v>4339.5</v>
      </c>
    </row>
    <row r="26" spans="1:15" x14ac:dyDescent="0.25">
      <c r="D26" s="25"/>
      <c r="G26" s="23"/>
      <c r="H26" s="23"/>
      <c r="I26" s="23"/>
      <c r="J26" s="23"/>
      <c r="K26" s="23"/>
    </row>
    <row r="27" spans="1:15" x14ac:dyDescent="0.25">
      <c r="A27" s="6" t="s">
        <v>23</v>
      </c>
      <c r="D27" s="24">
        <f>+G21</f>
        <v>4387.8999999999996</v>
      </c>
    </row>
    <row r="28" spans="1:15" ht="11.25" customHeight="1" x14ac:dyDescent="0.25">
      <c r="D28" s="24"/>
    </row>
    <row r="29" spans="1:15" ht="10.5" customHeight="1" x14ac:dyDescent="0.25"/>
    <row r="30" spans="1:15" x14ac:dyDescent="0.25">
      <c r="A30" s="95" t="s">
        <v>25</v>
      </c>
      <c r="B30" s="95"/>
      <c r="C30" s="95"/>
      <c r="D30" s="95"/>
      <c r="E30" s="95"/>
      <c r="F30" s="95"/>
      <c r="G30" s="95"/>
    </row>
    <row r="31" spans="1:15" ht="9.75" customHeight="1" x14ac:dyDescent="0.25"/>
    <row r="32" spans="1:15" x14ac:dyDescent="0.25">
      <c r="A32" s="95" t="s">
        <v>82</v>
      </c>
      <c r="B32" s="95"/>
      <c r="C32" s="95"/>
      <c r="D32" s="95"/>
      <c r="E32" s="95"/>
      <c r="F32" s="95"/>
      <c r="G32" s="95"/>
    </row>
    <row r="33" spans="1:15" ht="12" customHeight="1" x14ac:dyDescent="0.25"/>
    <row r="34" spans="1:15" x14ac:dyDescent="0.25">
      <c r="A34" s="95" t="s">
        <v>26</v>
      </c>
      <c r="B34" s="95"/>
      <c r="C34" s="95"/>
      <c r="D34" s="95"/>
      <c r="E34" s="95"/>
      <c r="F34" s="95"/>
      <c r="G34" s="95"/>
      <c r="I34" s="95"/>
      <c r="J34" s="95"/>
      <c r="K34" s="95"/>
      <c r="L34" s="95"/>
      <c r="M34" s="95"/>
      <c r="N34" s="95"/>
      <c r="O34" s="95"/>
    </row>
    <row r="35" spans="1:15" ht="11.25" customHeight="1" x14ac:dyDescent="0.25"/>
    <row r="36" spans="1:15" x14ac:dyDescent="0.25">
      <c r="A36" s="110" t="s">
        <v>265</v>
      </c>
      <c r="B36" s="110"/>
      <c r="C36" s="110"/>
      <c r="D36" s="110"/>
      <c r="E36" s="110"/>
      <c r="F36" s="110"/>
      <c r="G36" s="110"/>
      <c r="I36" s="100" t="s">
        <v>46</v>
      </c>
      <c r="J36" s="100"/>
      <c r="K36" s="100"/>
      <c r="L36" s="100"/>
      <c r="M36" s="100"/>
      <c r="N36" s="100"/>
      <c r="O36" s="100"/>
    </row>
  </sheetData>
  <mergeCells count="23">
    <mergeCell ref="A34:G34"/>
    <mergeCell ref="I34:O34"/>
    <mergeCell ref="A36:G36"/>
    <mergeCell ref="I36:O36"/>
    <mergeCell ref="F15:I15"/>
    <mergeCell ref="J15:J16"/>
    <mergeCell ref="K15:K16"/>
    <mergeCell ref="L15:M15"/>
    <mergeCell ref="N15:O15"/>
    <mergeCell ref="A18:O18"/>
    <mergeCell ref="A15:A16"/>
    <mergeCell ref="B15:B16"/>
    <mergeCell ref="C15:C16"/>
    <mergeCell ref="D15:D16"/>
    <mergeCell ref="E15:E16"/>
    <mergeCell ref="A23:O23"/>
    <mergeCell ref="A30:G30"/>
    <mergeCell ref="A32:G32"/>
    <mergeCell ref="A1:O1"/>
    <mergeCell ref="A9:N9"/>
    <mergeCell ref="A11:N11"/>
    <mergeCell ref="A12:N12"/>
    <mergeCell ref="I13:K13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3">
    <tabColor rgb="FFFFFF00"/>
  </sheetPr>
  <dimension ref="A1:O37"/>
  <sheetViews>
    <sheetView workbookViewId="0">
      <selection activeCell="A20" sqref="A20:K21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268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5" x14ac:dyDescent="0.25">
      <c r="A3" s="7" t="s">
        <v>271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8" t="s">
        <v>41</v>
      </c>
      <c r="B4" s="8"/>
      <c r="C4" s="8"/>
      <c r="D4" s="8"/>
      <c r="E4" s="8"/>
      <c r="F4" s="8"/>
      <c r="G4" s="8"/>
      <c r="H4" s="8"/>
      <c r="I4" s="8"/>
      <c r="J4" s="1" t="s">
        <v>263</v>
      </c>
      <c r="K4" s="1"/>
      <c r="L4" s="2"/>
      <c r="M4" s="2"/>
      <c r="N4" s="2"/>
    </row>
    <row r="5" spans="1:15" x14ac:dyDescent="0.25">
      <c r="A5" s="6" t="s">
        <v>42</v>
      </c>
      <c r="F5" s="9"/>
      <c r="G5" s="9"/>
      <c r="H5" s="9"/>
      <c r="I5" s="9"/>
      <c r="J5" s="3"/>
      <c r="K5" s="64"/>
      <c r="L5" s="1"/>
      <c r="M5" s="1"/>
      <c r="N5" s="1"/>
    </row>
    <row r="6" spans="1:15" x14ac:dyDescent="0.25">
      <c r="A6" s="9" t="s">
        <v>68</v>
      </c>
      <c r="B6" s="9"/>
      <c r="C6" s="9"/>
      <c r="D6" s="9"/>
      <c r="E6" s="9"/>
      <c r="F6" s="9"/>
      <c r="G6" s="9"/>
      <c r="H6" s="9"/>
      <c r="I6" s="9"/>
      <c r="J6" s="1" t="s">
        <v>262</v>
      </c>
      <c r="K6" s="1"/>
      <c r="L6" s="1"/>
      <c r="M6" s="1"/>
      <c r="N6" s="1"/>
    </row>
    <row r="7" spans="1:15" x14ac:dyDescent="0.25">
      <c r="A7" s="9" t="s">
        <v>43</v>
      </c>
      <c r="B7" s="9"/>
      <c r="C7" s="9"/>
      <c r="D7" s="9"/>
      <c r="E7" s="9"/>
      <c r="F7" s="9"/>
      <c r="G7" s="9"/>
      <c r="H7" s="9"/>
      <c r="I7" s="9"/>
      <c r="J7" s="1" t="s">
        <v>264</v>
      </c>
      <c r="K7" s="1"/>
      <c r="L7" s="1"/>
      <c r="M7" s="1"/>
      <c r="N7" s="1"/>
    </row>
    <row r="8" spans="1:15" x14ac:dyDescent="0.25">
      <c r="A8" s="9" t="s">
        <v>1</v>
      </c>
      <c r="B8" s="9"/>
      <c r="C8" s="9"/>
      <c r="D8" s="9"/>
      <c r="E8" s="9"/>
      <c r="J8" s="3"/>
      <c r="K8" s="3"/>
      <c r="L8" s="3"/>
      <c r="M8" s="3"/>
      <c r="N8" s="3"/>
    </row>
    <row r="9" spans="1:15" x14ac:dyDescent="0.25">
      <c r="A9" s="97" t="s">
        <v>44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</row>
    <row r="10" spans="1:15" x14ac:dyDescent="0.25">
      <c r="A10" s="10" t="s">
        <v>45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</row>
    <row r="11" spans="1:15" x14ac:dyDescent="0.25">
      <c r="A11" s="98" t="s">
        <v>140</v>
      </c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</row>
    <row r="12" spans="1:15" x14ac:dyDescent="0.25">
      <c r="A12" s="98" t="s">
        <v>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I13" s="98" t="s">
        <v>18</v>
      </c>
      <c r="J13" s="98"/>
      <c r="K13" s="98"/>
    </row>
    <row r="14" spans="1:15" x14ac:dyDescent="0.25">
      <c r="A14" s="6" t="s">
        <v>267</v>
      </c>
      <c r="I14" s="6" t="s">
        <v>19</v>
      </c>
      <c r="L14" s="63">
        <v>4</v>
      </c>
    </row>
    <row r="15" spans="1:15" ht="16.5" customHeight="1" x14ac:dyDescent="0.25">
      <c r="A15" s="104" t="s">
        <v>2</v>
      </c>
      <c r="B15" s="104" t="s">
        <v>3</v>
      </c>
      <c r="C15" s="104" t="s">
        <v>4</v>
      </c>
      <c r="D15" s="104" t="s">
        <v>5</v>
      </c>
      <c r="E15" s="104" t="s">
        <v>6</v>
      </c>
      <c r="F15" s="101" t="s">
        <v>7</v>
      </c>
      <c r="G15" s="102"/>
      <c r="H15" s="102"/>
      <c r="I15" s="103"/>
      <c r="J15" s="104" t="s">
        <v>12</v>
      </c>
      <c r="K15" s="104" t="s">
        <v>13</v>
      </c>
      <c r="L15" s="101" t="s">
        <v>14</v>
      </c>
      <c r="M15" s="103"/>
      <c r="N15" s="101" t="s">
        <v>15</v>
      </c>
      <c r="O15" s="103"/>
    </row>
    <row r="16" spans="1:15" ht="27.6" x14ac:dyDescent="0.25">
      <c r="A16" s="105"/>
      <c r="B16" s="105"/>
      <c r="C16" s="105"/>
      <c r="D16" s="105"/>
      <c r="E16" s="105"/>
      <c r="F16" s="4" t="s">
        <v>8</v>
      </c>
      <c r="G16" s="4" t="s">
        <v>9</v>
      </c>
      <c r="H16" s="4" t="s">
        <v>10</v>
      </c>
      <c r="I16" s="4" t="s">
        <v>11</v>
      </c>
      <c r="J16" s="105"/>
      <c r="K16" s="105"/>
      <c r="L16" s="4" t="s">
        <v>16</v>
      </c>
      <c r="M16" s="4" t="s">
        <v>17</v>
      </c>
      <c r="N16" s="4" t="s">
        <v>16</v>
      </c>
      <c r="O16" s="4" t="s">
        <v>17</v>
      </c>
    </row>
    <row r="17" spans="1:15" x14ac:dyDescent="0.25">
      <c r="A17" s="4">
        <v>1</v>
      </c>
      <c r="B17" s="4">
        <v>2</v>
      </c>
      <c r="C17" s="4">
        <v>3</v>
      </c>
      <c r="D17" s="4">
        <v>4</v>
      </c>
      <c r="E17" s="4">
        <v>5</v>
      </c>
      <c r="F17" s="4">
        <v>6</v>
      </c>
      <c r="G17" s="4">
        <v>7</v>
      </c>
      <c r="H17" s="4">
        <v>8</v>
      </c>
      <c r="I17" s="4">
        <v>9</v>
      </c>
      <c r="J17" s="4">
        <v>10</v>
      </c>
      <c r="K17" s="4">
        <v>11</v>
      </c>
      <c r="L17" s="4">
        <v>12</v>
      </c>
      <c r="M17" s="4">
        <v>13</v>
      </c>
      <c r="N17" s="4">
        <v>14</v>
      </c>
      <c r="O17" s="4">
        <v>15</v>
      </c>
    </row>
    <row r="18" spans="1:15" x14ac:dyDescent="0.25">
      <c r="A18" s="106" t="s">
        <v>20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8"/>
    </row>
    <row r="19" spans="1:15" ht="32.25" customHeight="1" x14ac:dyDescent="0.25">
      <c r="A19" s="11" t="s">
        <v>80</v>
      </c>
      <c r="B19" s="12"/>
      <c r="C19" s="4"/>
      <c r="D19" s="4"/>
      <c r="E19" s="4"/>
      <c r="F19" s="4"/>
      <c r="G19" s="13"/>
      <c r="H19" s="13"/>
      <c r="I19" s="13"/>
      <c r="J19" s="14"/>
      <c r="K19" s="14"/>
      <c r="L19" s="14"/>
      <c r="M19" s="14"/>
      <c r="N19" s="14"/>
      <c r="O19" s="14"/>
    </row>
    <row r="20" spans="1:15" ht="42.75" customHeight="1" x14ac:dyDescent="0.25">
      <c r="A20" s="11" t="s">
        <v>269</v>
      </c>
      <c r="B20" s="4">
        <v>1</v>
      </c>
      <c r="C20" s="4" t="s">
        <v>27</v>
      </c>
      <c r="D20" s="5">
        <v>2.5</v>
      </c>
      <c r="E20" s="5">
        <v>5</v>
      </c>
      <c r="F20" s="15">
        <v>51</v>
      </c>
      <c r="G20" s="13">
        <v>10173.299999999997</v>
      </c>
      <c r="H20" s="13">
        <v>112.20000000000009</v>
      </c>
      <c r="I20" s="13">
        <v>10061.099999999999</v>
      </c>
      <c r="J20" s="13"/>
      <c r="K20" s="13">
        <f>+I20*(108.5/(100+E20))</f>
        <v>10396.469999999999</v>
      </c>
      <c r="L20" s="13"/>
      <c r="M20" s="13"/>
      <c r="N20" s="13"/>
      <c r="O20" s="13"/>
    </row>
    <row r="21" spans="1:15" ht="42.75" customHeight="1" x14ac:dyDescent="0.25">
      <c r="A21" s="11" t="s">
        <v>270</v>
      </c>
      <c r="B21" s="4">
        <v>1</v>
      </c>
      <c r="C21" s="4" t="s">
        <v>59</v>
      </c>
      <c r="D21" s="5">
        <v>3</v>
      </c>
      <c r="E21" s="5">
        <v>5</v>
      </c>
      <c r="F21" s="15">
        <v>45</v>
      </c>
      <c r="G21" s="13">
        <v>8887.4000000000015</v>
      </c>
      <c r="H21" s="13">
        <v>99.000000000000071</v>
      </c>
      <c r="I21" s="13">
        <v>8788.4000000000015</v>
      </c>
      <c r="J21" s="13"/>
      <c r="K21" s="13">
        <f>+I21*(108.5/(100+E21))</f>
        <v>9081.34666666667</v>
      </c>
      <c r="L21" s="13"/>
      <c r="M21" s="13"/>
      <c r="N21" s="13"/>
      <c r="O21" s="13"/>
    </row>
    <row r="22" spans="1:15" ht="30.75" customHeight="1" x14ac:dyDescent="0.25">
      <c r="A22" s="16" t="s">
        <v>21</v>
      </c>
      <c r="B22" s="4"/>
      <c r="C22" s="4"/>
      <c r="D22" s="4"/>
      <c r="E22" s="13"/>
      <c r="F22" s="17">
        <f>SUM(F20:F21)</f>
        <v>96</v>
      </c>
      <c r="G22" s="17">
        <f>SUM(G20:G21)</f>
        <v>19060.699999999997</v>
      </c>
      <c r="H22" s="17">
        <f>SUM(H20:H21)</f>
        <v>211.20000000000016</v>
      </c>
      <c r="I22" s="17">
        <f>SUM(I20:I21)</f>
        <v>18849.5</v>
      </c>
      <c r="J22" s="17"/>
      <c r="K22" s="17">
        <f>SUM(K20:K21)</f>
        <v>19477.816666666669</v>
      </c>
      <c r="L22" s="18"/>
      <c r="M22" s="13"/>
      <c r="N22" s="13"/>
      <c r="O22" s="13"/>
    </row>
    <row r="23" spans="1:15" ht="14.25" customHeight="1" x14ac:dyDescent="0.25">
      <c r="A23" s="19"/>
      <c r="B23" s="20"/>
      <c r="C23" s="20"/>
      <c r="D23" s="20"/>
      <c r="E23" s="21"/>
      <c r="F23" s="22"/>
      <c r="G23" s="22"/>
      <c r="H23" s="22"/>
      <c r="I23" s="22"/>
      <c r="J23" s="22"/>
      <c r="K23" s="22"/>
      <c r="L23" s="22"/>
      <c r="M23" s="21"/>
      <c r="N23" s="21"/>
      <c r="O23" s="21"/>
    </row>
    <row r="24" spans="1:15" ht="14.4" x14ac:dyDescent="0.3">
      <c r="A24" s="109" t="s">
        <v>56</v>
      </c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</row>
    <row r="25" spans="1:15" ht="11.25" customHeight="1" x14ac:dyDescent="0.25"/>
    <row r="26" spans="1:15" x14ac:dyDescent="0.25">
      <c r="A26" s="6" t="s">
        <v>22</v>
      </c>
      <c r="D26" s="24">
        <f>+I22</f>
        <v>18849.5</v>
      </c>
    </row>
    <row r="27" spans="1:15" x14ac:dyDescent="0.25">
      <c r="D27" s="25"/>
      <c r="G27" s="23"/>
      <c r="H27" s="23"/>
      <c r="I27" s="23"/>
      <c r="J27" s="23"/>
      <c r="K27" s="23"/>
    </row>
    <row r="28" spans="1:15" x14ac:dyDescent="0.25">
      <c r="A28" s="6" t="s">
        <v>23</v>
      </c>
      <c r="D28" s="24">
        <f>+G22</f>
        <v>19060.699999999997</v>
      </c>
    </row>
    <row r="29" spans="1:15" ht="11.25" customHeight="1" x14ac:dyDescent="0.25">
      <c r="D29" s="24"/>
    </row>
    <row r="30" spans="1:15" ht="10.5" customHeight="1" x14ac:dyDescent="0.25"/>
    <row r="31" spans="1:15" x14ac:dyDescent="0.25">
      <c r="A31" s="95" t="s">
        <v>25</v>
      </c>
      <c r="B31" s="95"/>
      <c r="C31" s="95"/>
      <c r="D31" s="95"/>
      <c r="E31" s="95"/>
      <c r="F31" s="95"/>
      <c r="G31" s="95"/>
    </row>
    <row r="32" spans="1:15" ht="9.75" customHeight="1" x14ac:dyDescent="0.25"/>
    <row r="33" spans="1:15" x14ac:dyDescent="0.25">
      <c r="A33" s="95" t="s">
        <v>82</v>
      </c>
      <c r="B33" s="95"/>
      <c r="C33" s="95"/>
      <c r="D33" s="95"/>
      <c r="E33" s="95"/>
      <c r="F33" s="95"/>
      <c r="G33" s="95"/>
    </row>
    <row r="34" spans="1:15" ht="12" customHeight="1" x14ac:dyDescent="0.25"/>
    <row r="35" spans="1:15" x14ac:dyDescent="0.25">
      <c r="A35" s="95" t="s">
        <v>26</v>
      </c>
      <c r="B35" s="95"/>
      <c r="C35" s="95"/>
      <c r="D35" s="95"/>
      <c r="E35" s="95"/>
      <c r="F35" s="95"/>
      <c r="G35" s="95"/>
      <c r="I35" s="95"/>
      <c r="J35" s="95"/>
      <c r="K35" s="95"/>
      <c r="L35" s="95"/>
      <c r="M35" s="95"/>
      <c r="N35" s="95"/>
      <c r="O35" s="95"/>
    </row>
    <row r="36" spans="1:15" ht="11.25" customHeight="1" x14ac:dyDescent="0.25"/>
    <row r="37" spans="1:15" x14ac:dyDescent="0.25">
      <c r="A37" s="110" t="s">
        <v>265</v>
      </c>
      <c r="B37" s="110"/>
      <c r="C37" s="110"/>
      <c r="D37" s="110"/>
      <c r="E37" s="110"/>
      <c r="F37" s="110"/>
      <c r="G37" s="110"/>
      <c r="I37" s="100" t="s">
        <v>46</v>
      </c>
      <c r="J37" s="100"/>
      <c r="K37" s="100"/>
      <c r="L37" s="100"/>
      <c r="M37" s="100"/>
      <c r="N37" s="100"/>
      <c r="O37" s="100"/>
    </row>
  </sheetData>
  <mergeCells count="23">
    <mergeCell ref="A31:G31"/>
    <mergeCell ref="A33:G33"/>
    <mergeCell ref="A1:O1"/>
    <mergeCell ref="A9:N9"/>
    <mergeCell ref="A11:N11"/>
    <mergeCell ref="A12:N12"/>
    <mergeCell ref="I13:K13"/>
    <mergeCell ref="A35:G35"/>
    <mergeCell ref="I35:O35"/>
    <mergeCell ref="A37:G37"/>
    <mergeCell ref="I37:O37"/>
    <mergeCell ref="F15:I15"/>
    <mergeCell ref="J15:J16"/>
    <mergeCell ref="K15:K16"/>
    <mergeCell ref="L15:M15"/>
    <mergeCell ref="N15:O15"/>
    <mergeCell ref="A18:O18"/>
    <mergeCell ref="A15:A16"/>
    <mergeCell ref="B15:B16"/>
    <mergeCell ref="C15:C16"/>
    <mergeCell ref="D15:D16"/>
    <mergeCell ref="E15:E16"/>
    <mergeCell ref="A24:O24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4">
    <tabColor rgb="FFFFFF00"/>
  </sheetPr>
  <dimension ref="A1:O37"/>
  <sheetViews>
    <sheetView workbookViewId="0">
      <selection activeCell="A20" sqref="A20:K21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274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5" x14ac:dyDescent="0.25">
      <c r="A3" s="7" t="s">
        <v>271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8" t="s">
        <v>41</v>
      </c>
      <c r="B4" s="8"/>
      <c r="C4" s="8"/>
      <c r="D4" s="8"/>
      <c r="E4" s="8"/>
      <c r="F4" s="8"/>
      <c r="G4" s="8"/>
      <c r="H4" s="8"/>
      <c r="I4" s="8"/>
      <c r="J4" s="1" t="s">
        <v>263</v>
      </c>
      <c r="K4" s="1"/>
      <c r="L4" s="2"/>
      <c r="M4" s="2"/>
      <c r="N4" s="2"/>
    </row>
    <row r="5" spans="1:15" x14ac:dyDescent="0.25">
      <c r="A5" s="6" t="s">
        <v>42</v>
      </c>
      <c r="F5" s="9"/>
      <c r="G5" s="9"/>
      <c r="H5" s="9"/>
      <c r="I5" s="9"/>
      <c r="J5" s="3"/>
      <c r="K5" s="64"/>
      <c r="L5" s="1"/>
      <c r="M5" s="1"/>
      <c r="N5" s="1"/>
    </row>
    <row r="6" spans="1:15" x14ac:dyDescent="0.25">
      <c r="A6" s="9" t="s">
        <v>68</v>
      </c>
      <c r="B6" s="9"/>
      <c r="C6" s="9"/>
      <c r="D6" s="9"/>
      <c r="E6" s="9"/>
      <c r="F6" s="9"/>
      <c r="G6" s="9"/>
      <c r="H6" s="9"/>
      <c r="I6" s="9"/>
      <c r="J6" s="1" t="s">
        <v>262</v>
      </c>
      <c r="K6" s="1"/>
      <c r="L6" s="1"/>
      <c r="M6" s="1"/>
      <c r="N6" s="1"/>
    </row>
    <row r="7" spans="1:15" x14ac:dyDescent="0.25">
      <c r="A7" s="9" t="s">
        <v>43</v>
      </c>
      <c r="B7" s="9"/>
      <c r="C7" s="9"/>
      <c r="D7" s="9"/>
      <c r="E7" s="9"/>
      <c r="F7" s="9"/>
      <c r="G7" s="9"/>
      <c r="H7" s="9"/>
      <c r="I7" s="9"/>
      <c r="J7" s="1" t="s">
        <v>264</v>
      </c>
      <c r="K7" s="1"/>
      <c r="L7" s="1"/>
      <c r="M7" s="1"/>
      <c r="N7" s="1"/>
    </row>
    <row r="8" spans="1:15" x14ac:dyDescent="0.25">
      <c r="A8" s="9" t="s">
        <v>1</v>
      </c>
      <c r="B8" s="9"/>
      <c r="C8" s="9"/>
      <c r="D8" s="9"/>
      <c r="E8" s="9"/>
      <c r="J8" s="3"/>
      <c r="K8" s="3"/>
      <c r="L8" s="3"/>
      <c r="M8" s="3"/>
      <c r="N8" s="3"/>
    </row>
    <row r="9" spans="1:15" x14ac:dyDescent="0.25">
      <c r="A9" s="97" t="s">
        <v>44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</row>
    <row r="10" spans="1:15" x14ac:dyDescent="0.25">
      <c r="A10" s="10" t="s">
        <v>45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</row>
    <row r="11" spans="1:15" x14ac:dyDescent="0.25">
      <c r="A11" s="98" t="s">
        <v>140</v>
      </c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</row>
    <row r="12" spans="1:15" x14ac:dyDescent="0.25">
      <c r="A12" s="98" t="s">
        <v>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I13" s="98" t="s">
        <v>18</v>
      </c>
      <c r="J13" s="98"/>
      <c r="K13" s="98"/>
    </row>
    <row r="14" spans="1:15" x14ac:dyDescent="0.25">
      <c r="A14" s="6" t="s">
        <v>267</v>
      </c>
      <c r="I14" s="6" t="s">
        <v>19</v>
      </c>
      <c r="L14" s="66">
        <v>4</v>
      </c>
    </row>
    <row r="15" spans="1:15" ht="16.5" customHeight="1" x14ac:dyDescent="0.25">
      <c r="A15" s="104" t="s">
        <v>2</v>
      </c>
      <c r="B15" s="104" t="s">
        <v>3</v>
      </c>
      <c r="C15" s="104" t="s">
        <v>4</v>
      </c>
      <c r="D15" s="104" t="s">
        <v>5</v>
      </c>
      <c r="E15" s="104" t="s">
        <v>6</v>
      </c>
      <c r="F15" s="101" t="s">
        <v>7</v>
      </c>
      <c r="G15" s="102"/>
      <c r="H15" s="102"/>
      <c r="I15" s="103"/>
      <c r="J15" s="104" t="s">
        <v>12</v>
      </c>
      <c r="K15" s="104" t="s">
        <v>13</v>
      </c>
      <c r="L15" s="101" t="s">
        <v>14</v>
      </c>
      <c r="M15" s="103"/>
      <c r="N15" s="101" t="s">
        <v>15</v>
      </c>
      <c r="O15" s="103"/>
    </row>
    <row r="16" spans="1:15" ht="27.6" x14ac:dyDescent="0.25">
      <c r="A16" s="105"/>
      <c r="B16" s="105"/>
      <c r="C16" s="105"/>
      <c r="D16" s="105"/>
      <c r="E16" s="105"/>
      <c r="F16" s="4" t="s">
        <v>8</v>
      </c>
      <c r="G16" s="4" t="s">
        <v>9</v>
      </c>
      <c r="H16" s="4" t="s">
        <v>10</v>
      </c>
      <c r="I16" s="4" t="s">
        <v>11</v>
      </c>
      <c r="J16" s="105"/>
      <c r="K16" s="105"/>
      <c r="L16" s="4" t="s">
        <v>16</v>
      </c>
      <c r="M16" s="4" t="s">
        <v>17</v>
      </c>
      <c r="N16" s="4" t="s">
        <v>16</v>
      </c>
      <c r="O16" s="4" t="s">
        <v>17</v>
      </c>
    </row>
    <row r="17" spans="1:15" x14ac:dyDescent="0.25">
      <c r="A17" s="4">
        <v>1</v>
      </c>
      <c r="B17" s="4">
        <v>2</v>
      </c>
      <c r="C17" s="4">
        <v>3</v>
      </c>
      <c r="D17" s="4">
        <v>4</v>
      </c>
      <c r="E17" s="4">
        <v>5</v>
      </c>
      <c r="F17" s="4">
        <v>6</v>
      </c>
      <c r="G17" s="4">
        <v>7</v>
      </c>
      <c r="H17" s="4">
        <v>8</v>
      </c>
      <c r="I17" s="4">
        <v>9</v>
      </c>
      <c r="J17" s="4">
        <v>10</v>
      </c>
      <c r="K17" s="4">
        <v>11</v>
      </c>
      <c r="L17" s="4">
        <v>12</v>
      </c>
      <c r="M17" s="4">
        <v>13</v>
      </c>
      <c r="N17" s="4">
        <v>14</v>
      </c>
      <c r="O17" s="4">
        <v>15</v>
      </c>
    </row>
    <row r="18" spans="1:15" x14ac:dyDescent="0.25">
      <c r="A18" s="106" t="s">
        <v>20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8"/>
    </row>
    <row r="19" spans="1:15" ht="32.25" customHeight="1" x14ac:dyDescent="0.25">
      <c r="A19" s="11" t="s">
        <v>80</v>
      </c>
      <c r="B19" s="12"/>
      <c r="C19" s="4"/>
      <c r="D19" s="4"/>
      <c r="E19" s="4"/>
      <c r="F19" s="4"/>
      <c r="G19" s="13"/>
      <c r="H19" s="13"/>
      <c r="I19" s="13"/>
      <c r="J19" s="14"/>
      <c r="K19" s="14"/>
      <c r="L19" s="14"/>
      <c r="M19" s="14"/>
      <c r="N19" s="14"/>
      <c r="O19" s="14"/>
    </row>
    <row r="20" spans="1:15" ht="42.75" customHeight="1" x14ac:dyDescent="0.25">
      <c r="A20" s="11" t="s">
        <v>282</v>
      </c>
      <c r="B20" s="4">
        <v>1</v>
      </c>
      <c r="C20" s="4" t="s">
        <v>27</v>
      </c>
      <c r="D20" s="5">
        <v>2.5</v>
      </c>
      <c r="E20" s="5">
        <v>5</v>
      </c>
      <c r="F20" s="15">
        <v>9</v>
      </c>
      <c r="G20" s="13">
        <v>1811.1000000000001</v>
      </c>
      <c r="H20" s="13">
        <v>19.799999999999997</v>
      </c>
      <c r="I20" s="13">
        <v>1791.3000000000002</v>
      </c>
      <c r="J20" s="13"/>
      <c r="K20" s="13">
        <f>+I20*(108.5/(100+E20))</f>
        <v>1851.0100000000004</v>
      </c>
      <c r="L20" s="13"/>
      <c r="M20" s="13"/>
      <c r="N20" s="13"/>
      <c r="O20" s="13"/>
    </row>
    <row r="21" spans="1:15" ht="42.75" customHeight="1" x14ac:dyDescent="0.25">
      <c r="A21" s="11" t="s">
        <v>272</v>
      </c>
      <c r="B21" s="4">
        <v>1</v>
      </c>
      <c r="C21" s="4" t="s">
        <v>59</v>
      </c>
      <c r="D21" s="5">
        <v>3</v>
      </c>
      <c r="E21" s="5">
        <v>5</v>
      </c>
      <c r="F21" s="15">
        <v>25</v>
      </c>
      <c r="G21" s="13">
        <v>5024.2</v>
      </c>
      <c r="H21" s="13">
        <v>55.000000000000021</v>
      </c>
      <c r="I21" s="13">
        <v>4969.1999999999989</v>
      </c>
      <c r="J21" s="13"/>
      <c r="K21" s="13">
        <f>+I21*(108.5/(100+E21))</f>
        <v>5134.8399999999992</v>
      </c>
      <c r="L21" s="13"/>
      <c r="M21" s="13"/>
      <c r="N21" s="13"/>
      <c r="O21" s="13"/>
    </row>
    <row r="22" spans="1:15" ht="30.75" customHeight="1" x14ac:dyDescent="0.25">
      <c r="A22" s="16" t="s">
        <v>21</v>
      </c>
      <c r="B22" s="4"/>
      <c r="C22" s="4"/>
      <c r="D22" s="4"/>
      <c r="E22" s="13"/>
      <c r="F22" s="17">
        <f>SUM(F20:F21)</f>
        <v>34</v>
      </c>
      <c r="G22" s="17">
        <f>SUM(G20:G21)</f>
        <v>6835.3</v>
      </c>
      <c r="H22" s="17">
        <f>SUM(H20:H21)</f>
        <v>74.800000000000011</v>
      </c>
      <c r="I22" s="17">
        <f>SUM(I20:I21)</f>
        <v>6760.4999999999991</v>
      </c>
      <c r="J22" s="17"/>
      <c r="K22" s="17">
        <f>SUM(K20:K21)</f>
        <v>6985.8499999999995</v>
      </c>
      <c r="L22" s="18"/>
      <c r="M22" s="13"/>
      <c r="N22" s="13"/>
      <c r="O22" s="13"/>
    </row>
    <row r="23" spans="1:15" ht="14.25" customHeight="1" x14ac:dyDescent="0.25">
      <c r="A23" s="19"/>
      <c r="B23" s="20"/>
      <c r="C23" s="20"/>
      <c r="D23" s="20"/>
      <c r="E23" s="21"/>
      <c r="F23" s="22"/>
      <c r="G23" s="22"/>
      <c r="H23" s="22"/>
      <c r="I23" s="22"/>
      <c r="J23" s="22"/>
      <c r="K23" s="22"/>
      <c r="L23" s="22"/>
      <c r="M23" s="21"/>
      <c r="N23" s="21"/>
      <c r="O23" s="21"/>
    </row>
    <row r="24" spans="1:15" ht="14.4" x14ac:dyDescent="0.3">
      <c r="A24" s="109" t="s">
        <v>273</v>
      </c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</row>
    <row r="25" spans="1:15" ht="11.25" customHeight="1" x14ac:dyDescent="0.25"/>
    <row r="26" spans="1:15" x14ac:dyDescent="0.25">
      <c r="A26" s="6" t="s">
        <v>22</v>
      </c>
      <c r="D26" s="24">
        <f>+I22</f>
        <v>6760.4999999999991</v>
      </c>
    </row>
    <row r="27" spans="1:15" x14ac:dyDescent="0.25">
      <c r="D27" s="25"/>
      <c r="G27" s="23"/>
      <c r="H27" s="23"/>
      <c r="I27" s="23"/>
      <c r="J27" s="23"/>
      <c r="K27" s="23"/>
    </row>
    <row r="28" spans="1:15" x14ac:dyDescent="0.25">
      <c r="A28" s="6" t="s">
        <v>23</v>
      </c>
      <c r="D28" s="24">
        <f>+G22</f>
        <v>6835.3</v>
      </c>
    </row>
    <row r="29" spans="1:15" ht="11.25" customHeight="1" x14ac:dyDescent="0.25">
      <c r="D29" s="24"/>
    </row>
    <row r="30" spans="1:15" ht="10.5" customHeight="1" x14ac:dyDescent="0.25"/>
    <row r="31" spans="1:15" x14ac:dyDescent="0.25">
      <c r="A31" s="95" t="s">
        <v>25</v>
      </c>
      <c r="B31" s="95"/>
      <c r="C31" s="95"/>
      <c r="D31" s="95"/>
      <c r="E31" s="95"/>
      <c r="F31" s="95"/>
      <c r="G31" s="95"/>
    </row>
    <row r="32" spans="1:15" ht="9.75" customHeight="1" x14ac:dyDescent="0.25"/>
    <row r="33" spans="1:15" x14ac:dyDescent="0.25">
      <c r="A33" s="95" t="s">
        <v>82</v>
      </c>
      <c r="B33" s="95"/>
      <c r="C33" s="95"/>
      <c r="D33" s="95"/>
      <c r="E33" s="95"/>
      <c r="F33" s="95"/>
      <c r="G33" s="95"/>
    </row>
    <row r="34" spans="1:15" ht="12" customHeight="1" x14ac:dyDescent="0.25"/>
    <row r="35" spans="1:15" x14ac:dyDescent="0.25">
      <c r="A35" s="95" t="s">
        <v>26</v>
      </c>
      <c r="B35" s="95"/>
      <c r="C35" s="95"/>
      <c r="D35" s="95"/>
      <c r="E35" s="95"/>
      <c r="F35" s="95"/>
      <c r="G35" s="95"/>
      <c r="I35" s="95"/>
      <c r="J35" s="95"/>
      <c r="K35" s="95"/>
      <c r="L35" s="95"/>
      <c r="M35" s="95"/>
      <c r="N35" s="95"/>
      <c r="O35" s="95"/>
    </row>
    <row r="36" spans="1:15" ht="11.25" customHeight="1" x14ac:dyDescent="0.25"/>
    <row r="37" spans="1:15" x14ac:dyDescent="0.25">
      <c r="A37" s="110" t="s">
        <v>265</v>
      </c>
      <c r="B37" s="110"/>
      <c r="C37" s="110"/>
      <c r="D37" s="110"/>
      <c r="E37" s="110"/>
      <c r="F37" s="110"/>
      <c r="G37" s="110"/>
      <c r="I37" s="100" t="s">
        <v>46</v>
      </c>
      <c r="J37" s="100"/>
      <c r="K37" s="100"/>
      <c r="L37" s="100"/>
      <c r="M37" s="100"/>
      <c r="N37" s="100"/>
      <c r="O37" s="100"/>
    </row>
  </sheetData>
  <mergeCells count="23">
    <mergeCell ref="A31:G31"/>
    <mergeCell ref="A33:G33"/>
    <mergeCell ref="A1:O1"/>
    <mergeCell ref="A9:N9"/>
    <mergeCell ref="A11:N11"/>
    <mergeCell ref="A12:N12"/>
    <mergeCell ref="I13:K13"/>
    <mergeCell ref="A35:G35"/>
    <mergeCell ref="I35:O35"/>
    <mergeCell ref="A37:G37"/>
    <mergeCell ref="I37:O37"/>
    <mergeCell ref="F15:I15"/>
    <mergeCell ref="J15:J16"/>
    <mergeCell ref="K15:K16"/>
    <mergeCell ref="L15:M15"/>
    <mergeCell ref="N15:O15"/>
    <mergeCell ref="A18:O18"/>
    <mergeCell ref="A15:A16"/>
    <mergeCell ref="B15:B16"/>
    <mergeCell ref="C15:C16"/>
    <mergeCell ref="D15:D16"/>
    <mergeCell ref="E15:E16"/>
    <mergeCell ref="A24:O24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5">
    <tabColor rgb="FFFFFF00"/>
  </sheetPr>
  <dimension ref="A1:O37"/>
  <sheetViews>
    <sheetView zoomScale="70" zoomScaleNormal="70" workbookViewId="0">
      <selection activeCell="A20" sqref="A20:K21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275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5" x14ac:dyDescent="0.25">
      <c r="A3" s="7" t="s">
        <v>271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8" t="s">
        <v>41</v>
      </c>
      <c r="B4" s="8"/>
      <c r="C4" s="8"/>
      <c r="D4" s="8"/>
      <c r="E4" s="8"/>
      <c r="F4" s="8"/>
      <c r="G4" s="8"/>
      <c r="H4" s="8"/>
      <c r="I4" s="8"/>
      <c r="J4" s="1" t="s">
        <v>263</v>
      </c>
      <c r="K4" s="2"/>
      <c r="L4" s="2"/>
      <c r="M4" s="2"/>
      <c r="N4" s="2"/>
    </row>
    <row r="5" spans="1:15" x14ac:dyDescent="0.25">
      <c r="A5" s="6" t="s">
        <v>42</v>
      </c>
      <c r="F5" s="9"/>
      <c r="G5" s="9"/>
      <c r="H5" s="9"/>
      <c r="I5" s="9"/>
      <c r="J5" s="3"/>
      <c r="K5" s="3"/>
      <c r="L5" s="1"/>
      <c r="M5" s="1"/>
      <c r="N5" s="1"/>
    </row>
    <row r="6" spans="1:15" x14ac:dyDescent="0.25">
      <c r="A6" s="9" t="s">
        <v>68</v>
      </c>
      <c r="B6" s="9"/>
      <c r="C6" s="9"/>
      <c r="D6" s="9"/>
      <c r="E6" s="9"/>
      <c r="F6" s="9"/>
      <c r="G6" s="9"/>
      <c r="H6" s="9"/>
      <c r="I6" s="9"/>
      <c r="J6" s="1" t="s">
        <v>262</v>
      </c>
      <c r="K6" s="1"/>
      <c r="L6" s="1"/>
      <c r="M6" s="1"/>
      <c r="N6" s="1"/>
    </row>
    <row r="7" spans="1:15" x14ac:dyDescent="0.25">
      <c r="A7" s="9" t="s">
        <v>43</v>
      </c>
      <c r="B7" s="9"/>
      <c r="C7" s="9"/>
      <c r="D7" s="9"/>
      <c r="E7" s="9"/>
      <c r="F7" s="9"/>
      <c r="G7" s="9"/>
      <c r="H7" s="9"/>
      <c r="I7" s="9"/>
      <c r="J7" s="1" t="s">
        <v>264</v>
      </c>
      <c r="K7" s="1"/>
      <c r="L7" s="1"/>
      <c r="M7" s="1"/>
      <c r="N7" s="1"/>
    </row>
    <row r="8" spans="1:15" x14ac:dyDescent="0.25">
      <c r="A8" s="9" t="s">
        <v>1</v>
      </c>
      <c r="B8" s="9"/>
      <c r="C8" s="9"/>
      <c r="D8" s="9"/>
      <c r="E8" s="9"/>
      <c r="J8" s="3"/>
      <c r="K8" s="3"/>
      <c r="L8" s="3"/>
      <c r="M8" s="3"/>
      <c r="N8" s="3"/>
    </row>
    <row r="9" spans="1:15" x14ac:dyDescent="0.25">
      <c r="A9" s="97" t="s">
        <v>44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</row>
    <row r="10" spans="1:15" x14ac:dyDescent="0.25">
      <c r="A10" s="10" t="s">
        <v>45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</row>
    <row r="11" spans="1:15" x14ac:dyDescent="0.25">
      <c r="A11" s="98" t="s">
        <v>140</v>
      </c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</row>
    <row r="12" spans="1:15" x14ac:dyDescent="0.25">
      <c r="A12" s="98" t="s">
        <v>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I13" s="98"/>
      <c r="J13" s="98"/>
      <c r="K13" s="98"/>
    </row>
    <row r="14" spans="1:15" x14ac:dyDescent="0.25">
      <c r="A14" s="6" t="s">
        <v>238</v>
      </c>
      <c r="L14" s="66"/>
    </row>
    <row r="15" spans="1:15" ht="16.5" customHeight="1" x14ac:dyDescent="0.25">
      <c r="A15" s="104" t="s">
        <v>2</v>
      </c>
      <c r="B15" s="104" t="s">
        <v>3</v>
      </c>
      <c r="C15" s="104" t="s">
        <v>4</v>
      </c>
      <c r="D15" s="104" t="s">
        <v>5</v>
      </c>
      <c r="E15" s="104" t="s">
        <v>6</v>
      </c>
      <c r="F15" s="101" t="s">
        <v>7</v>
      </c>
      <c r="G15" s="102"/>
      <c r="H15" s="102"/>
      <c r="I15" s="103"/>
      <c r="J15" s="104" t="s">
        <v>12</v>
      </c>
      <c r="K15" s="104" t="s">
        <v>13</v>
      </c>
      <c r="L15" s="101" t="s">
        <v>14</v>
      </c>
      <c r="M15" s="103"/>
      <c r="N15" s="101" t="s">
        <v>15</v>
      </c>
      <c r="O15" s="103"/>
    </row>
    <row r="16" spans="1:15" ht="27.6" x14ac:dyDescent="0.25">
      <c r="A16" s="105"/>
      <c r="B16" s="105"/>
      <c r="C16" s="105"/>
      <c r="D16" s="105"/>
      <c r="E16" s="105"/>
      <c r="F16" s="4" t="s">
        <v>8</v>
      </c>
      <c r="G16" s="4" t="s">
        <v>9</v>
      </c>
      <c r="H16" s="4" t="s">
        <v>10</v>
      </c>
      <c r="I16" s="4" t="s">
        <v>11</v>
      </c>
      <c r="J16" s="105"/>
      <c r="K16" s="105"/>
      <c r="L16" s="4" t="s">
        <v>16</v>
      </c>
      <c r="M16" s="4" t="s">
        <v>17</v>
      </c>
      <c r="N16" s="4" t="s">
        <v>16</v>
      </c>
      <c r="O16" s="4" t="s">
        <v>17</v>
      </c>
    </row>
    <row r="17" spans="1:15" x14ac:dyDescent="0.25">
      <c r="A17" s="4">
        <v>1</v>
      </c>
      <c r="B17" s="4">
        <v>2</v>
      </c>
      <c r="C17" s="4">
        <v>3</v>
      </c>
      <c r="D17" s="4">
        <v>4</v>
      </c>
      <c r="E17" s="4">
        <v>5</v>
      </c>
      <c r="F17" s="4">
        <v>6</v>
      </c>
      <c r="G17" s="4">
        <v>7</v>
      </c>
      <c r="H17" s="4">
        <v>8</v>
      </c>
      <c r="I17" s="4">
        <v>9</v>
      </c>
      <c r="J17" s="4">
        <v>10</v>
      </c>
      <c r="K17" s="4">
        <v>11</v>
      </c>
      <c r="L17" s="4">
        <v>12</v>
      </c>
      <c r="M17" s="4">
        <v>13</v>
      </c>
      <c r="N17" s="4">
        <v>14</v>
      </c>
      <c r="O17" s="4">
        <v>15</v>
      </c>
    </row>
    <row r="18" spans="1:15" x14ac:dyDescent="0.25">
      <c r="A18" s="106" t="s">
        <v>20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8"/>
    </row>
    <row r="19" spans="1:15" ht="32.25" customHeight="1" x14ac:dyDescent="0.25">
      <c r="A19" s="11" t="s">
        <v>80</v>
      </c>
      <c r="B19" s="12"/>
      <c r="C19" s="4"/>
      <c r="D19" s="4"/>
      <c r="E19" s="4"/>
      <c r="F19" s="4"/>
      <c r="G19" s="13"/>
      <c r="H19" s="13"/>
      <c r="I19" s="13"/>
      <c r="J19" s="14"/>
      <c r="K19" s="14"/>
      <c r="L19" s="14"/>
      <c r="M19" s="14"/>
      <c r="N19" s="14"/>
      <c r="O19" s="14"/>
    </row>
    <row r="20" spans="1:15" ht="45.75" customHeight="1" x14ac:dyDescent="0.25">
      <c r="A20" s="11" t="s">
        <v>276</v>
      </c>
      <c r="B20" s="4">
        <v>1</v>
      </c>
      <c r="C20" s="4" t="s">
        <v>27</v>
      </c>
      <c r="D20" s="5">
        <v>2.5</v>
      </c>
      <c r="E20" s="5">
        <v>5</v>
      </c>
      <c r="F20" s="15">
        <v>22</v>
      </c>
      <c r="G20" s="13">
        <v>4553.2000000000007</v>
      </c>
      <c r="H20" s="13">
        <v>52.799999999999983</v>
      </c>
      <c r="I20" s="13">
        <v>4500.4000000000005</v>
      </c>
      <c r="J20" s="13"/>
      <c r="K20" s="13">
        <f>+I20*(108.5/(100+E20))</f>
        <v>4650.4133333333348</v>
      </c>
      <c r="L20" s="13"/>
      <c r="M20" s="13"/>
      <c r="N20" s="13"/>
      <c r="O20" s="13"/>
    </row>
    <row r="21" spans="1:15" ht="45.75" customHeight="1" x14ac:dyDescent="0.25">
      <c r="A21" s="11" t="s">
        <v>277</v>
      </c>
      <c r="B21" s="4">
        <v>3</v>
      </c>
      <c r="C21" s="4" t="s">
        <v>59</v>
      </c>
      <c r="D21" s="5">
        <v>5.5</v>
      </c>
      <c r="E21" s="5">
        <v>5</v>
      </c>
      <c r="F21" s="15">
        <v>36</v>
      </c>
      <c r="G21" s="13">
        <v>8121.2</v>
      </c>
      <c r="H21" s="13">
        <v>86.400000000000034</v>
      </c>
      <c r="I21" s="13">
        <v>8034.7999999999975</v>
      </c>
      <c r="J21" s="13"/>
      <c r="K21" s="13">
        <f>+I21*(108.5/(100+E21))</f>
        <v>8302.6266666666652</v>
      </c>
      <c r="L21" s="13"/>
      <c r="M21" s="13"/>
      <c r="N21" s="13"/>
      <c r="O21" s="13"/>
    </row>
    <row r="22" spans="1:15" ht="30.75" customHeight="1" x14ac:dyDescent="0.25">
      <c r="A22" s="16" t="s">
        <v>21</v>
      </c>
      <c r="B22" s="4"/>
      <c r="C22" s="4"/>
      <c r="D22" s="4"/>
      <c r="E22" s="13"/>
      <c r="F22" s="17">
        <f>SUM(F20:F21)</f>
        <v>58</v>
      </c>
      <c r="G22" s="18">
        <f>SUM(G20:G21)</f>
        <v>12674.400000000001</v>
      </c>
      <c r="H22" s="18">
        <f>SUM(H20:H21)</f>
        <v>139.20000000000002</v>
      </c>
      <c r="I22" s="18">
        <f>SUM(I20:I21)</f>
        <v>12535.199999999997</v>
      </c>
      <c r="J22" s="18"/>
      <c r="K22" s="18">
        <f>SUM(K20:K21)</f>
        <v>12953.04</v>
      </c>
      <c r="L22" s="18"/>
      <c r="M22" s="13"/>
      <c r="N22" s="13"/>
      <c r="O22" s="13"/>
    </row>
    <row r="23" spans="1:15" ht="14.25" customHeight="1" x14ac:dyDescent="0.25">
      <c r="A23" s="19"/>
      <c r="B23" s="20"/>
      <c r="C23" s="20"/>
      <c r="D23" s="20"/>
      <c r="E23" s="21"/>
      <c r="F23" s="22"/>
      <c r="G23" s="22"/>
      <c r="H23" s="22"/>
      <c r="I23" s="22"/>
      <c r="J23" s="22"/>
      <c r="K23" s="22"/>
      <c r="L23" s="22"/>
      <c r="M23" s="21"/>
      <c r="N23" s="21"/>
      <c r="O23" s="21"/>
    </row>
    <row r="24" spans="1:15" ht="14.4" x14ac:dyDescent="0.3">
      <c r="A24" s="109" t="s">
        <v>278</v>
      </c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</row>
    <row r="25" spans="1:15" ht="11.25" customHeight="1" x14ac:dyDescent="0.25"/>
    <row r="26" spans="1:15" x14ac:dyDescent="0.25">
      <c r="A26" s="6" t="s">
        <v>22</v>
      </c>
      <c r="D26" s="24">
        <f>+I22</f>
        <v>12535.199999999997</v>
      </c>
    </row>
    <row r="27" spans="1:15" x14ac:dyDescent="0.25">
      <c r="D27" s="25"/>
      <c r="G27" s="23"/>
      <c r="H27" s="23"/>
      <c r="I27" s="23"/>
      <c r="J27" s="23"/>
      <c r="K27" s="23"/>
    </row>
    <row r="28" spans="1:15" x14ac:dyDescent="0.25">
      <c r="A28" s="6" t="s">
        <v>23</v>
      </c>
      <c r="D28" s="24">
        <f>+K22</f>
        <v>12953.04</v>
      </c>
    </row>
    <row r="29" spans="1:15" ht="11.25" customHeight="1" x14ac:dyDescent="0.25">
      <c r="D29" s="24"/>
    </row>
    <row r="30" spans="1:15" ht="10.5" customHeight="1" x14ac:dyDescent="0.25"/>
    <row r="31" spans="1:15" x14ac:dyDescent="0.25">
      <c r="A31" s="95" t="s">
        <v>25</v>
      </c>
      <c r="B31" s="95"/>
      <c r="C31" s="95"/>
      <c r="D31" s="95"/>
      <c r="E31" s="95"/>
      <c r="F31" s="95"/>
      <c r="G31" s="95"/>
    </row>
    <row r="32" spans="1:15" ht="9.75" customHeight="1" x14ac:dyDescent="0.25"/>
    <row r="33" spans="1:15" x14ac:dyDescent="0.25">
      <c r="A33" s="95" t="s">
        <v>82</v>
      </c>
      <c r="B33" s="95"/>
      <c r="C33" s="95"/>
      <c r="D33" s="95"/>
      <c r="E33" s="95"/>
      <c r="F33" s="95"/>
      <c r="G33" s="95"/>
    </row>
    <row r="34" spans="1:15" ht="12" customHeight="1" x14ac:dyDescent="0.25"/>
    <row r="35" spans="1:15" x14ac:dyDescent="0.25">
      <c r="A35" s="95" t="s">
        <v>26</v>
      </c>
      <c r="B35" s="95"/>
      <c r="C35" s="95"/>
      <c r="D35" s="95"/>
      <c r="E35" s="95"/>
      <c r="F35" s="95"/>
      <c r="G35" s="95"/>
      <c r="I35" s="95"/>
      <c r="J35" s="95"/>
      <c r="K35" s="95"/>
      <c r="L35" s="95"/>
      <c r="M35" s="95"/>
      <c r="N35" s="95"/>
      <c r="O35" s="95"/>
    </row>
    <row r="36" spans="1:15" ht="11.25" customHeight="1" x14ac:dyDescent="0.25"/>
    <row r="37" spans="1:15" x14ac:dyDescent="0.25">
      <c r="A37" s="110" t="s">
        <v>265</v>
      </c>
      <c r="B37" s="110"/>
      <c r="C37" s="110"/>
      <c r="D37" s="110"/>
      <c r="E37" s="110"/>
      <c r="F37" s="110"/>
      <c r="G37" s="110"/>
      <c r="I37" s="100" t="s">
        <v>46</v>
      </c>
      <c r="J37" s="100"/>
      <c r="K37" s="100"/>
      <c r="L37" s="100"/>
      <c r="M37" s="100"/>
      <c r="N37" s="100"/>
      <c r="O37" s="100"/>
    </row>
  </sheetData>
  <mergeCells count="23">
    <mergeCell ref="A31:G31"/>
    <mergeCell ref="A33:G33"/>
    <mergeCell ref="A1:O1"/>
    <mergeCell ref="A9:N9"/>
    <mergeCell ref="A11:N11"/>
    <mergeCell ref="A12:N12"/>
    <mergeCell ref="I13:K13"/>
    <mergeCell ref="A35:G35"/>
    <mergeCell ref="I35:O35"/>
    <mergeCell ref="A37:G37"/>
    <mergeCell ref="I37:O37"/>
    <mergeCell ref="F15:I15"/>
    <mergeCell ref="J15:J16"/>
    <mergeCell ref="K15:K16"/>
    <mergeCell ref="L15:M15"/>
    <mergeCell ref="N15:O15"/>
    <mergeCell ref="A18:O18"/>
    <mergeCell ref="A15:A16"/>
    <mergeCell ref="B15:B16"/>
    <mergeCell ref="C15:C16"/>
    <mergeCell ref="D15:D16"/>
    <mergeCell ref="E15:E16"/>
    <mergeCell ref="A24:O24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6">
    <tabColor rgb="FFFFFF00"/>
  </sheetPr>
  <dimension ref="A1:O37"/>
  <sheetViews>
    <sheetView zoomScale="70" zoomScaleNormal="70" workbookViewId="0">
      <selection activeCell="A20" sqref="A20:K21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279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5" x14ac:dyDescent="0.25">
      <c r="A3" s="7" t="s">
        <v>271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8" t="s">
        <v>41</v>
      </c>
      <c r="B4" s="8"/>
      <c r="C4" s="8"/>
      <c r="D4" s="8"/>
      <c r="E4" s="8"/>
      <c r="F4" s="8"/>
      <c r="G4" s="8"/>
      <c r="H4" s="8"/>
      <c r="I4" s="8"/>
      <c r="J4" s="1" t="s">
        <v>263</v>
      </c>
      <c r="K4" s="2"/>
      <c r="L4" s="2"/>
      <c r="M4" s="2"/>
      <c r="N4" s="2"/>
    </row>
    <row r="5" spans="1:15" x14ac:dyDescent="0.25">
      <c r="A5" s="6" t="s">
        <v>42</v>
      </c>
      <c r="F5" s="9"/>
      <c r="G5" s="9"/>
      <c r="H5" s="9"/>
      <c r="I5" s="9"/>
      <c r="J5" s="3"/>
      <c r="K5" s="3"/>
      <c r="L5" s="1"/>
      <c r="M5" s="1"/>
      <c r="N5" s="1"/>
    </row>
    <row r="6" spans="1:15" x14ac:dyDescent="0.25">
      <c r="A6" s="9" t="s">
        <v>68</v>
      </c>
      <c r="B6" s="9"/>
      <c r="C6" s="9"/>
      <c r="D6" s="9"/>
      <c r="E6" s="9"/>
      <c r="F6" s="9"/>
      <c r="G6" s="9"/>
      <c r="H6" s="9"/>
      <c r="I6" s="9"/>
      <c r="J6" s="1" t="s">
        <v>262</v>
      </c>
      <c r="K6" s="1"/>
      <c r="L6" s="1"/>
      <c r="M6" s="1"/>
      <c r="N6" s="1"/>
    </row>
    <row r="7" spans="1:15" x14ac:dyDescent="0.25">
      <c r="A7" s="9" t="s">
        <v>43</v>
      </c>
      <c r="B7" s="9"/>
      <c r="C7" s="9"/>
      <c r="D7" s="9"/>
      <c r="E7" s="9"/>
      <c r="F7" s="9"/>
      <c r="G7" s="9"/>
      <c r="H7" s="9"/>
      <c r="I7" s="9"/>
      <c r="J7" s="1" t="s">
        <v>264</v>
      </c>
      <c r="K7" s="1"/>
      <c r="L7" s="1"/>
      <c r="M7" s="1"/>
      <c r="N7" s="1"/>
    </row>
    <row r="8" spans="1:15" x14ac:dyDescent="0.25">
      <c r="A8" s="9" t="s">
        <v>1</v>
      </c>
      <c r="B8" s="9"/>
      <c r="C8" s="9"/>
      <c r="D8" s="9"/>
      <c r="E8" s="9"/>
      <c r="J8" s="3"/>
      <c r="K8" s="3"/>
      <c r="L8" s="3"/>
      <c r="M8" s="3"/>
      <c r="N8" s="3"/>
    </row>
    <row r="9" spans="1:15" x14ac:dyDescent="0.25">
      <c r="A9" s="97" t="s">
        <v>44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</row>
    <row r="10" spans="1:15" x14ac:dyDescent="0.25">
      <c r="A10" s="10" t="s">
        <v>45</v>
      </c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</row>
    <row r="11" spans="1:15" x14ac:dyDescent="0.25">
      <c r="A11" s="98" t="s">
        <v>140</v>
      </c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</row>
    <row r="12" spans="1:15" x14ac:dyDescent="0.25">
      <c r="A12" s="98" t="s">
        <v>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I13" s="98"/>
      <c r="J13" s="98"/>
      <c r="K13" s="98"/>
    </row>
    <row r="14" spans="1:15" x14ac:dyDescent="0.25">
      <c r="A14" s="6" t="s">
        <v>238</v>
      </c>
      <c r="L14" s="68"/>
    </row>
    <row r="15" spans="1:15" ht="16.5" customHeight="1" x14ac:dyDescent="0.25">
      <c r="A15" s="104" t="s">
        <v>2</v>
      </c>
      <c r="B15" s="104" t="s">
        <v>3</v>
      </c>
      <c r="C15" s="104" t="s">
        <v>4</v>
      </c>
      <c r="D15" s="104" t="s">
        <v>5</v>
      </c>
      <c r="E15" s="104" t="s">
        <v>6</v>
      </c>
      <c r="F15" s="101" t="s">
        <v>7</v>
      </c>
      <c r="G15" s="102"/>
      <c r="H15" s="102"/>
      <c r="I15" s="103"/>
      <c r="J15" s="104" t="s">
        <v>12</v>
      </c>
      <c r="K15" s="104" t="s">
        <v>13</v>
      </c>
      <c r="L15" s="101" t="s">
        <v>14</v>
      </c>
      <c r="M15" s="103"/>
      <c r="N15" s="101" t="s">
        <v>15</v>
      </c>
      <c r="O15" s="103"/>
    </row>
    <row r="16" spans="1:15" ht="27.6" x14ac:dyDescent="0.25">
      <c r="A16" s="105"/>
      <c r="B16" s="105"/>
      <c r="C16" s="105"/>
      <c r="D16" s="105"/>
      <c r="E16" s="105"/>
      <c r="F16" s="4" t="s">
        <v>8</v>
      </c>
      <c r="G16" s="4" t="s">
        <v>9</v>
      </c>
      <c r="H16" s="4" t="s">
        <v>10</v>
      </c>
      <c r="I16" s="4" t="s">
        <v>11</v>
      </c>
      <c r="J16" s="105"/>
      <c r="K16" s="105"/>
      <c r="L16" s="4" t="s">
        <v>16</v>
      </c>
      <c r="M16" s="4" t="s">
        <v>17</v>
      </c>
      <c r="N16" s="4" t="s">
        <v>16</v>
      </c>
      <c r="O16" s="4" t="s">
        <v>17</v>
      </c>
    </row>
    <row r="17" spans="1:15" x14ac:dyDescent="0.25">
      <c r="A17" s="4">
        <v>1</v>
      </c>
      <c r="B17" s="4">
        <v>2</v>
      </c>
      <c r="C17" s="4">
        <v>3</v>
      </c>
      <c r="D17" s="4">
        <v>4</v>
      </c>
      <c r="E17" s="4">
        <v>5</v>
      </c>
      <c r="F17" s="4">
        <v>6</v>
      </c>
      <c r="G17" s="4">
        <v>7</v>
      </c>
      <c r="H17" s="4">
        <v>8</v>
      </c>
      <c r="I17" s="4">
        <v>9</v>
      </c>
      <c r="J17" s="4">
        <v>10</v>
      </c>
      <c r="K17" s="4">
        <v>11</v>
      </c>
      <c r="L17" s="4">
        <v>12</v>
      </c>
      <c r="M17" s="4">
        <v>13</v>
      </c>
      <c r="N17" s="4">
        <v>14</v>
      </c>
      <c r="O17" s="4">
        <v>15</v>
      </c>
    </row>
    <row r="18" spans="1:15" x14ac:dyDescent="0.25">
      <c r="A18" s="106" t="s">
        <v>20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8"/>
    </row>
    <row r="19" spans="1:15" ht="32.25" customHeight="1" x14ac:dyDescent="0.25">
      <c r="A19" s="11" t="s">
        <v>80</v>
      </c>
      <c r="B19" s="12"/>
      <c r="C19" s="4"/>
      <c r="D19" s="4"/>
      <c r="E19" s="4"/>
      <c r="F19" s="4"/>
      <c r="G19" s="13"/>
      <c r="H19" s="13"/>
      <c r="I19" s="13"/>
      <c r="J19" s="14"/>
      <c r="K19" s="14"/>
      <c r="L19" s="14"/>
      <c r="M19" s="14"/>
      <c r="N19" s="14"/>
      <c r="O19" s="14"/>
    </row>
    <row r="20" spans="1:15" ht="45.75" customHeight="1" x14ac:dyDescent="0.25">
      <c r="A20" s="11" t="s">
        <v>280</v>
      </c>
      <c r="B20" s="4">
        <v>3</v>
      </c>
      <c r="C20" s="4" t="s">
        <v>27</v>
      </c>
      <c r="D20" s="5">
        <v>4</v>
      </c>
      <c r="E20" s="5">
        <v>5</v>
      </c>
      <c r="F20" s="15">
        <v>55</v>
      </c>
      <c r="G20" s="13">
        <v>12349.799999999996</v>
      </c>
      <c r="H20" s="13">
        <v>132.00000000000014</v>
      </c>
      <c r="I20" s="13">
        <v>12217.799999999997</v>
      </c>
      <c r="J20" s="13"/>
      <c r="K20" s="13">
        <f>+I20*(108.5/(100+E20))</f>
        <v>12625.06</v>
      </c>
      <c r="L20" s="13"/>
      <c r="M20" s="13"/>
      <c r="N20" s="13"/>
      <c r="O20" s="13"/>
    </row>
    <row r="21" spans="1:15" ht="45.75" customHeight="1" x14ac:dyDescent="0.25">
      <c r="A21" s="11" t="s">
        <v>281</v>
      </c>
      <c r="B21" s="4">
        <v>3</v>
      </c>
      <c r="C21" s="4" t="s">
        <v>59</v>
      </c>
      <c r="D21" s="5">
        <v>5.5</v>
      </c>
      <c r="E21" s="5">
        <v>5</v>
      </c>
      <c r="F21" s="15">
        <v>35</v>
      </c>
      <c r="G21" s="13">
        <v>7787.199999999998</v>
      </c>
      <c r="H21" s="13">
        <v>84.000000000000028</v>
      </c>
      <c r="I21" s="13">
        <v>7703.2000000000016</v>
      </c>
      <c r="J21" s="13"/>
      <c r="K21" s="13">
        <f>+I21*(108.5/(100+E21))</f>
        <v>7959.9733333333361</v>
      </c>
      <c r="L21" s="13"/>
      <c r="M21" s="13"/>
      <c r="N21" s="13"/>
      <c r="O21" s="13"/>
    </row>
    <row r="22" spans="1:15" ht="30.75" customHeight="1" x14ac:dyDescent="0.25">
      <c r="A22" s="16" t="s">
        <v>21</v>
      </c>
      <c r="B22" s="4"/>
      <c r="C22" s="4"/>
      <c r="D22" s="4"/>
      <c r="E22" s="13"/>
      <c r="F22" s="17">
        <f>SUM(F20:F21)</f>
        <v>90</v>
      </c>
      <c r="G22" s="18">
        <f>SUM(G20:G21)</f>
        <v>20136.999999999993</v>
      </c>
      <c r="H22" s="18">
        <f>SUM(H20:H21)</f>
        <v>216.00000000000017</v>
      </c>
      <c r="I22" s="18">
        <f>SUM(I20:I21)</f>
        <v>19921</v>
      </c>
      <c r="J22" s="18"/>
      <c r="K22" s="18">
        <f>SUM(K20:K21)</f>
        <v>20585.033333333336</v>
      </c>
      <c r="L22" s="18"/>
      <c r="M22" s="13"/>
      <c r="N22" s="13"/>
      <c r="O22" s="13"/>
    </row>
    <row r="23" spans="1:15" ht="14.25" customHeight="1" x14ac:dyDescent="0.25">
      <c r="A23" s="19"/>
      <c r="B23" s="20"/>
      <c r="C23" s="20"/>
      <c r="D23" s="20"/>
      <c r="E23" s="21"/>
      <c r="F23" s="22"/>
      <c r="G23" s="22"/>
      <c r="H23" s="22"/>
      <c r="I23" s="22"/>
      <c r="J23" s="22"/>
      <c r="K23" s="22"/>
      <c r="L23" s="22"/>
      <c r="M23" s="21"/>
      <c r="N23" s="21"/>
      <c r="O23" s="21"/>
    </row>
    <row r="24" spans="1:15" ht="14.4" x14ac:dyDescent="0.3">
      <c r="A24" s="109" t="s">
        <v>278</v>
      </c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</row>
    <row r="25" spans="1:15" ht="11.25" customHeight="1" x14ac:dyDescent="0.25"/>
    <row r="26" spans="1:15" x14ac:dyDescent="0.25">
      <c r="A26" s="6" t="s">
        <v>22</v>
      </c>
      <c r="D26" s="24">
        <f>+I22</f>
        <v>19921</v>
      </c>
    </row>
    <row r="27" spans="1:15" x14ac:dyDescent="0.25">
      <c r="D27" s="25"/>
      <c r="G27" s="23"/>
      <c r="H27" s="23"/>
      <c r="I27" s="23"/>
      <c r="J27" s="23"/>
      <c r="K27" s="23"/>
    </row>
    <row r="28" spans="1:15" x14ac:dyDescent="0.25">
      <c r="A28" s="6" t="s">
        <v>23</v>
      </c>
      <c r="D28" s="24">
        <f>+K22</f>
        <v>20585.033333333336</v>
      </c>
    </row>
    <row r="29" spans="1:15" ht="11.25" customHeight="1" x14ac:dyDescent="0.25">
      <c r="D29" s="24"/>
    </row>
    <row r="30" spans="1:15" ht="10.5" customHeight="1" x14ac:dyDescent="0.25"/>
    <row r="31" spans="1:15" x14ac:dyDescent="0.25">
      <c r="A31" s="95" t="s">
        <v>25</v>
      </c>
      <c r="B31" s="95"/>
      <c r="C31" s="95"/>
      <c r="D31" s="95"/>
      <c r="E31" s="95"/>
      <c r="F31" s="95"/>
      <c r="G31" s="95"/>
    </row>
    <row r="32" spans="1:15" ht="9.75" customHeight="1" x14ac:dyDescent="0.25"/>
    <row r="33" spans="1:15" x14ac:dyDescent="0.25">
      <c r="A33" s="95" t="s">
        <v>82</v>
      </c>
      <c r="B33" s="95"/>
      <c r="C33" s="95"/>
      <c r="D33" s="95"/>
      <c r="E33" s="95"/>
      <c r="F33" s="95"/>
      <c r="G33" s="95"/>
    </row>
    <row r="34" spans="1:15" ht="12" customHeight="1" x14ac:dyDescent="0.25"/>
    <row r="35" spans="1:15" x14ac:dyDescent="0.25">
      <c r="A35" s="95" t="s">
        <v>26</v>
      </c>
      <c r="B35" s="95"/>
      <c r="C35" s="95"/>
      <c r="D35" s="95"/>
      <c r="E35" s="95"/>
      <c r="F35" s="95"/>
      <c r="G35" s="95"/>
      <c r="I35" s="95"/>
      <c r="J35" s="95"/>
      <c r="K35" s="95"/>
      <c r="L35" s="95"/>
      <c r="M35" s="95"/>
      <c r="N35" s="95"/>
      <c r="O35" s="95"/>
    </row>
    <row r="36" spans="1:15" ht="11.25" customHeight="1" x14ac:dyDescent="0.25"/>
    <row r="37" spans="1:15" x14ac:dyDescent="0.25">
      <c r="A37" s="110" t="s">
        <v>265</v>
      </c>
      <c r="B37" s="110"/>
      <c r="C37" s="110"/>
      <c r="D37" s="110"/>
      <c r="E37" s="110"/>
      <c r="F37" s="110"/>
      <c r="G37" s="110"/>
      <c r="I37" s="100" t="s">
        <v>46</v>
      </c>
      <c r="J37" s="100"/>
      <c r="K37" s="100"/>
      <c r="L37" s="100"/>
      <c r="M37" s="100"/>
      <c r="N37" s="100"/>
      <c r="O37" s="100"/>
    </row>
  </sheetData>
  <mergeCells count="23">
    <mergeCell ref="A35:G35"/>
    <mergeCell ref="I35:O35"/>
    <mergeCell ref="A37:G37"/>
    <mergeCell ref="I37:O37"/>
    <mergeCell ref="F15:I15"/>
    <mergeCell ref="J15:J16"/>
    <mergeCell ref="K15:K16"/>
    <mergeCell ref="L15:M15"/>
    <mergeCell ref="N15:O15"/>
    <mergeCell ref="A18:O18"/>
    <mergeCell ref="A15:A16"/>
    <mergeCell ref="B15:B16"/>
    <mergeCell ref="C15:C16"/>
    <mergeCell ref="D15:D16"/>
    <mergeCell ref="E15:E16"/>
    <mergeCell ref="A24:O24"/>
    <mergeCell ref="A31:G31"/>
    <mergeCell ref="A33:G33"/>
    <mergeCell ref="A1:O1"/>
    <mergeCell ref="A9:N9"/>
    <mergeCell ref="A11:N11"/>
    <mergeCell ref="A12:N12"/>
    <mergeCell ref="I13:K13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7">
    <tabColor rgb="FFFFFF00"/>
  </sheetPr>
  <dimension ref="A1:O37"/>
  <sheetViews>
    <sheetView zoomScale="70" zoomScaleNormal="70" workbookViewId="0">
      <selection activeCell="A20" sqref="A20:K21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283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5" x14ac:dyDescent="0.25">
      <c r="A3" s="7" t="s">
        <v>284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8" t="s">
        <v>41</v>
      </c>
      <c r="B4" s="8"/>
      <c r="C4" s="8"/>
      <c r="D4" s="8"/>
      <c r="E4" s="8"/>
      <c r="F4" s="8"/>
      <c r="G4" s="8"/>
      <c r="H4" s="8"/>
      <c r="I4" s="8"/>
      <c r="J4" s="1" t="s">
        <v>263</v>
      </c>
      <c r="K4" s="2"/>
      <c r="L4" s="2"/>
      <c r="M4" s="2"/>
      <c r="N4" s="2"/>
    </row>
    <row r="5" spans="1:15" x14ac:dyDescent="0.25">
      <c r="A5" s="6" t="s">
        <v>42</v>
      </c>
      <c r="F5" s="9"/>
      <c r="G5" s="9"/>
      <c r="H5" s="9"/>
      <c r="I5" s="9"/>
      <c r="J5" s="3"/>
      <c r="K5" s="3"/>
      <c r="L5" s="1"/>
      <c r="M5" s="1"/>
      <c r="N5" s="1"/>
    </row>
    <row r="6" spans="1:15" x14ac:dyDescent="0.25">
      <c r="A6" s="9" t="s">
        <v>68</v>
      </c>
      <c r="B6" s="9"/>
      <c r="C6" s="9"/>
      <c r="D6" s="9"/>
      <c r="E6" s="9"/>
      <c r="F6" s="9"/>
      <c r="G6" s="9"/>
      <c r="H6" s="9"/>
      <c r="I6" s="9"/>
      <c r="J6" s="1" t="s">
        <v>262</v>
      </c>
      <c r="K6" s="1"/>
      <c r="L6" s="1"/>
      <c r="M6" s="1"/>
      <c r="N6" s="1"/>
    </row>
    <row r="7" spans="1:15" x14ac:dyDescent="0.25">
      <c r="A7" s="9" t="s">
        <v>43</v>
      </c>
      <c r="B7" s="9"/>
      <c r="C7" s="9"/>
      <c r="D7" s="9"/>
      <c r="E7" s="9"/>
      <c r="F7" s="9"/>
      <c r="G7" s="9"/>
      <c r="H7" s="9"/>
      <c r="I7" s="9"/>
      <c r="J7" s="1" t="s">
        <v>264</v>
      </c>
      <c r="K7" s="1"/>
      <c r="L7" s="1"/>
      <c r="M7" s="1"/>
      <c r="N7" s="1"/>
    </row>
    <row r="8" spans="1:15" x14ac:dyDescent="0.25">
      <c r="A8" s="9" t="s">
        <v>1</v>
      </c>
      <c r="B8" s="9"/>
      <c r="C8" s="9"/>
      <c r="D8" s="9"/>
      <c r="E8" s="9"/>
      <c r="J8" s="3"/>
      <c r="K8" s="3"/>
      <c r="L8" s="3"/>
      <c r="M8" s="3"/>
      <c r="N8" s="3"/>
    </row>
    <row r="9" spans="1:15" x14ac:dyDescent="0.25">
      <c r="A9" s="97" t="s">
        <v>44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</row>
    <row r="10" spans="1:15" x14ac:dyDescent="0.25">
      <c r="A10" s="10" t="s">
        <v>45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</row>
    <row r="11" spans="1:15" x14ac:dyDescent="0.25">
      <c r="A11" s="98" t="s">
        <v>140</v>
      </c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</row>
    <row r="12" spans="1:15" x14ac:dyDescent="0.25">
      <c r="A12" s="98" t="s">
        <v>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I13" s="98"/>
      <c r="J13" s="98"/>
      <c r="K13" s="98"/>
    </row>
    <row r="14" spans="1:15" x14ac:dyDescent="0.25">
      <c r="A14" s="6" t="s">
        <v>293</v>
      </c>
      <c r="L14" s="74"/>
    </row>
    <row r="15" spans="1:15" ht="16.5" customHeight="1" x14ac:dyDescent="0.25">
      <c r="A15" s="104" t="s">
        <v>2</v>
      </c>
      <c r="B15" s="104" t="s">
        <v>3</v>
      </c>
      <c r="C15" s="104" t="s">
        <v>4</v>
      </c>
      <c r="D15" s="104" t="s">
        <v>5</v>
      </c>
      <c r="E15" s="104" t="s">
        <v>6</v>
      </c>
      <c r="F15" s="101" t="s">
        <v>7</v>
      </c>
      <c r="G15" s="102"/>
      <c r="H15" s="102"/>
      <c r="I15" s="103"/>
      <c r="J15" s="104" t="s">
        <v>12</v>
      </c>
      <c r="K15" s="104" t="s">
        <v>13</v>
      </c>
      <c r="L15" s="101" t="s">
        <v>14</v>
      </c>
      <c r="M15" s="103"/>
      <c r="N15" s="101" t="s">
        <v>15</v>
      </c>
      <c r="O15" s="103"/>
    </row>
    <row r="16" spans="1:15" ht="27.6" x14ac:dyDescent="0.25">
      <c r="A16" s="105"/>
      <c r="B16" s="105"/>
      <c r="C16" s="105"/>
      <c r="D16" s="105"/>
      <c r="E16" s="105"/>
      <c r="F16" s="4" t="s">
        <v>8</v>
      </c>
      <c r="G16" s="4" t="s">
        <v>9</v>
      </c>
      <c r="H16" s="4" t="s">
        <v>10</v>
      </c>
      <c r="I16" s="4" t="s">
        <v>11</v>
      </c>
      <c r="J16" s="105"/>
      <c r="K16" s="105"/>
      <c r="L16" s="4" t="s">
        <v>16</v>
      </c>
      <c r="M16" s="4" t="s">
        <v>17</v>
      </c>
      <c r="N16" s="4" t="s">
        <v>16</v>
      </c>
      <c r="O16" s="4" t="s">
        <v>17</v>
      </c>
    </row>
    <row r="17" spans="1:15" x14ac:dyDescent="0.25">
      <c r="A17" s="4">
        <v>1</v>
      </c>
      <c r="B17" s="4">
        <v>2</v>
      </c>
      <c r="C17" s="4">
        <v>3</v>
      </c>
      <c r="D17" s="4">
        <v>4</v>
      </c>
      <c r="E17" s="4">
        <v>5</v>
      </c>
      <c r="F17" s="4">
        <v>6</v>
      </c>
      <c r="G17" s="4">
        <v>7</v>
      </c>
      <c r="H17" s="4">
        <v>8</v>
      </c>
      <c r="I17" s="4">
        <v>9</v>
      </c>
      <c r="J17" s="4">
        <v>10</v>
      </c>
      <c r="K17" s="4">
        <v>11</v>
      </c>
      <c r="L17" s="4">
        <v>12</v>
      </c>
      <c r="M17" s="4">
        <v>13</v>
      </c>
      <c r="N17" s="4">
        <v>14</v>
      </c>
      <c r="O17" s="4">
        <v>15</v>
      </c>
    </row>
    <row r="18" spans="1:15" x14ac:dyDescent="0.25">
      <c r="A18" s="106" t="s">
        <v>20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8"/>
    </row>
    <row r="19" spans="1:15" ht="32.25" customHeight="1" x14ac:dyDescent="0.25">
      <c r="A19" s="11" t="s">
        <v>80</v>
      </c>
      <c r="B19" s="12"/>
      <c r="C19" s="4"/>
      <c r="D19" s="4"/>
      <c r="E19" s="4"/>
      <c r="F19" s="4"/>
      <c r="G19" s="13"/>
      <c r="H19" s="13"/>
      <c r="I19" s="13"/>
      <c r="J19" s="14"/>
      <c r="K19" s="14"/>
      <c r="L19" s="14"/>
      <c r="M19" s="14"/>
      <c r="N19" s="14"/>
      <c r="O19" s="14"/>
    </row>
    <row r="20" spans="1:15" ht="45.75" customHeight="1" x14ac:dyDescent="0.25">
      <c r="A20" s="11" t="s">
        <v>290</v>
      </c>
      <c r="B20" s="4">
        <v>1</v>
      </c>
      <c r="C20" s="4" t="s">
        <v>161</v>
      </c>
      <c r="D20" s="5">
        <v>2</v>
      </c>
      <c r="E20" s="5">
        <v>5</v>
      </c>
      <c r="F20" s="15">
        <v>61</v>
      </c>
      <c r="G20" s="13">
        <v>12892.199999999999</v>
      </c>
      <c r="H20" s="13">
        <v>146.40000000000018</v>
      </c>
      <c r="I20" s="13">
        <v>12745.800000000003</v>
      </c>
      <c r="J20" s="13"/>
      <c r="K20" s="13">
        <f>+I20*(108.5/(100+E20))</f>
        <v>13170.660000000003</v>
      </c>
      <c r="L20" s="13"/>
      <c r="M20" s="13"/>
      <c r="N20" s="13"/>
      <c r="O20" s="13"/>
    </row>
    <row r="21" spans="1:15" ht="45.75" customHeight="1" x14ac:dyDescent="0.25">
      <c r="A21" s="11" t="s">
        <v>291</v>
      </c>
      <c r="B21" s="4">
        <v>1</v>
      </c>
      <c r="C21" s="4" t="s">
        <v>27</v>
      </c>
      <c r="D21" s="5">
        <v>2.5</v>
      </c>
      <c r="E21" s="5">
        <v>5</v>
      </c>
      <c r="F21" s="15">
        <v>29</v>
      </c>
      <c r="G21" s="13">
        <v>6224.9999999999991</v>
      </c>
      <c r="H21" s="13">
        <v>69.599999999999994</v>
      </c>
      <c r="I21" s="13">
        <v>6155.4000000000005</v>
      </c>
      <c r="J21" s="13"/>
      <c r="K21" s="13">
        <f>+I21*(108.5/(100+E21))</f>
        <v>6360.5800000000008</v>
      </c>
      <c r="L21" s="13"/>
      <c r="M21" s="13"/>
      <c r="N21" s="13"/>
      <c r="O21" s="13"/>
    </row>
    <row r="22" spans="1:15" ht="30.75" customHeight="1" x14ac:dyDescent="0.25">
      <c r="A22" s="16" t="s">
        <v>21</v>
      </c>
      <c r="B22" s="4"/>
      <c r="C22" s="4"/>
      <c r="D22" s="4"/>
      <c r="E22" s="13"/>
      <c r="F22" s="17">
        <f>SUM(F20:F21)</f>
        <v>90</v>
      </c>
      <c r="G22" s="18">
        <f>SUM(G20:G21)</f>
        <v>19117.199999999997</v>
      </c>
      <c r="H22" s="18">
        <f>SUM(H20:H21)</f>
        <v>216.00000000000017</v>
      </c>
      <c r="I22" s="18">
        <f>SUM(I20:I21)</f>
        <v>18901.200000000004</v>
      </c>
      <c r="J22" s="18"/>
      <c r="K22" s="18">
        <f>SUM(K20:K21)</f>
        <v>19531.240000000005</v>
      </c>
      <c r="L22" s="18"/>
      <c r="M22" s="13"/>
      <c r="N22" s="13"/>
      <c r="O22" s="13"/>
    </row>
    <row r="23" spans="1:15" ht="14.25" customHeight="1" x14ac:dyDescent="0.25">
      <c r="A23" s="19"/>
      <c r="B23" s="20"/>
      <c r="C23" s="20"/>
      <c r="D23" s="20"/>
      <c r="E23" s="21"/>
      <c r="F23" s="22"/>
      <c r="G23" s="22"/>
      <c r="H23" s="22"/>
      <c r="I23" s="22"/>
      <c r="J23" s="22"/>
      <c r="K23" s="22"/>
      <c r="L23" s="22"/>
      <c r="M23" s="21"/>
      <c r="N23" s="21"/>
      <c r="O23" s="21"/>
    </row>
    <row r="24" spans="1:15" ht="14.4" x14ac:dyDescent="0.3">
      <c r="A24" s="109" t="s">
        <v>192</v>
      </c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</row>
    <row r="25" spans="1:15" ht="11.25" customHeight="1" x14ac:dyDescent="0.25"/>
    <row r="26" spans="1:15" x14ac:dyDescent="0.25">
      <c r="A26" s="6" t="s">
        <v>22</v>
      </c>
      <c r="D26" s="24">
        <f>+I22</f>
        <v>18901.200000000004</v>
      </c>
    </row>
    <row r="27" spans="1:15" x14ac:dyDescent="0.25">
      <c r="D27" s="25"/>
      <c r="G27" s="23"/>
      <c r="H27" s="23"/>
      <c r="I27" s="23"/>
      <c r="J27" s="23"/>
      <c r="K27" s="23"/>
    </row>
    <row r="28" spans="1:15" x14ac:dyDescent="0.25">
      <c r="A28" s="6" t="s">
        <v>23</v>
      </c>
      <c r="D28" s="24">
        <f>+K22</f>
        <v>19531.240000000005</v>
      </c>
    </row>
    <row r="29" spans="1:15" ht="11.25" customHeight="1" x14ac:dyDescent="0.25">
      <c r="D29" s="24"/>
    </row>
    <row r="30" spans="1:15" ht="10.5" customHeight="1" x14ac:dyDescent="0.25"/>
    <row r="31" spans="1:15" x14ac:dyDescent="0.25">
      <c r="A31" s="95" t="s">
        <v>25</v>
      </c>
      <c r="B31" s="95"/>
      <c r="C31" s="95"/>
      <c r="D31" s="95"/>
      <c r="E31" s="95"/>
      <c r="F31" s="95"/>
      <c r="G31" s="95"/>
    </row>
    <row r="32" spans="1:15" ht="9.75" customHeight="1" x14ac:dyDescent="0.25"/>
    <row r="33" spans="1:15" x14ac:dyDescent="0.25">
      <c r="A33" s="95" t="s">
        <v>82</v>
      </c>
      <c r="B33" s="95"/>
      <c r="C33" s="95"/>
      <c r="D33" s="95"/>
      <c r="E33" s="95"/>
      <c r="F33" s="95"/>
      <c r="G33" s="95"/>
    </row>
    <row r="34" spans="1:15" ht="12" customHeight="1" x14ac:dyDescent="0.25"/>
    <row r="35" spans="1:15" x14ac:dyDescent="0.25">
      <c r="A35" s="95" t="s">
        <v>26</v>
      </c>
      <c r="B35" s="95"/>
      <c r="C35" s="95"/>
      <c r="D35" s="95"/>
      <c r="E35" s="95"/>
      <c r="F35" s="95"/>
      <c r="G35" s="95"/>
      <c r="I35" s="95"/>
      <c r="J35" s="95"/>
      <c r="K35" s="95"/>
      <c r="L35" s="95"/>
      <c r="M35" s="95"/>
      <c r="N35" s="95"/>
      <c r="O35" s="95"/>
    </row>
    <row r="36" spans="1:15" ht="11.25" customHeight="1" x14ac:dyDescent="0.25"/>
    <row r="37" spans="1:15" x14ac:dyDescent="0.25">
      <c r="A37" s="110" t="s">
        <v>265</v>
      </c>
      <c r="B37" s="110"/>
      <c r="C37" s="110"/>
      <c r="D37" s="110"/>
      <c r="E37" s="110"/>
      <c r="F37" s="110"/>
      <c r="G37" s="110"/>
      <c r="I37" s="100" t="s">
        <v>46</v>
      </c>
      <c r="J37" s="100"/>
      <c r="K37" s="100"/>
      <c r="L37" s="100"/>
      <c r="M37" s="100"/>
      <c r="N37" s="100"/>
      <c r="O37" s="100"/>
    </row>
  </sheetData>
  <mergeCells count="23">
    <mergeCell ref="A35:G35"/>
    <mergeCell ref="I35:O35"/>
    <mergeCell ref="A37:G37"/>
    <mergeCell ref="I37:O37"/>
    <mergeCell ref="F15:I15"/>
    <mergeCell ref="J15:J16"/>
    <mergeCell ref="K15:K16"/>
    <mergeCell ref="L15:M15"/>
    <mergeCell ref="N15:O15"/>
    <mergeCell ref="A18:O18"/>
    <mergeCell ref="A15:A16"/>
    <mergeCell ref="B15:B16"/>
    <mergeCell ref="C15:C16"/>
    <mergeCell ref="D15:D16"/>
    <mergeCell ref="E15:E16"/>
    <mergeCell ref="A24:O24"/>
    <mergeCell ref="A31:G31"/>
    <mergeCell ref="A33:G33"/>
    <mergeCell ref="A1:O1"/>
    <mergeCell ref="A9:N9"/>
    <mergeCell ref="A11:N11"/>
    <mergeCell ref="A12:N12"/>
    <mergeCell ref="I13:K13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8">
    <tabColor rgb="FFFFFF00"/>
  </sheetPr>
  <dimension ref="A1:O37"/>
  <sheetViews>
    <sheetView zoomScale="70" zoomScaleNormal="70" workbookViewId="0">
      <selection activeCell="J40" sqref="J40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285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5" x14ac:dyDescent="0.25">
      <c r="A3" s="7" t="s">
        <v>284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8" t="s">
        <v>41</v>
      </c>
      <c r="B4" s="8"/>
      <c r="C4" s="8"/>
      <c r="D4" s="8"/>
      <c r="E4" s="8"/>
      <c r="F4" s="8"/>
      <c r="G4" s="8"/>
      <c r="H4" s="8"/>
      <c r="I4" s="8"/>
      <c r="J4" s="1" t="s">
        <v>263</v>
      </c>
      <c r="K4" s="2"/>
      <c r="L4" s="2"/>
      <c r="M4" s="2"/>
      <c r="N4" s="2"/>
    </row>
    <row r="5" spans="1:15" x14ac:dyDescent="0.25">
      <c r="A5" s="6" t="s">
        <v>42</v>
      </c>
      <c r="F5" s="9"/>
      <c r="G5" s="9"/>
      <c r="H5" s="9"/>
      <c r="I5" s="9"/>
      <c r="J5" s="3"/>
      <c r="K5" s="3"/>
      <c r="L5" s="1"/>
      <c r="M5" s="1"/>
      <c r="N5" s="1"/>
    </row>
    <row r="6" spans="1:15" x14ac:dyDescent="0.25">
      <c r="A6" s="9" t="s">
        <v>68</v>
      </c>
      <c r="B6" s="9"/>
      <c r="C6" s="9"/>
      <c r="D6" s="9"/>
      <c r="E6" s="9"/>
      <c r="F6" s="9"/>
      <c r="G6" s="9"/>
      <c r="H6" s="9"/>
      <c r="I6" s="9"/>
      <c r="J6" s="1" t="s">
        <v>262</v>
      </c>
      <c r="K6" s="1"/>
      <c r="L6" s="1"/>
      <c r="M6" s="1"/>
      <c r="N6" s="1"/>
    </row>
    <row r="7" spans="1:15" x14ac:dyDescent="0.25">
      <c r="A7" s="9" t="s">
        <v>43</v>
      </c>
      <c r="B7" s="9"/>
      <c r="C7" s="9"/>
      <c r="D7" s="9"/>
      <c r="E7" s="9"/>
      <c r="F7" s="9"/>
      <c r="G7" s="9"/>
      <c r="H7" s="9"/>
      <c r="I7" s="9"/>
      <c r="J7" s="1" t="s">
        <v>264</v>
      </c>
      <c r="K7" s="1"/>
      <c r="L7" s="1"/>
      <c r="M7" s="1"/>
      <c r="N7" s="1"/>
    </row>
    <row r="8" spans="1:15" x14ac:dyDescent="0.25">
      <c r="A8" s="9" t="s">
        <v>1</v>
      </c>
      <c r="B8" s="9"/>
      <c r="C8" s="9"/>
      <c r="D8" s="9"/>
      <c r="E8" s="9"/>
      <c r="J8" s="3"/>
      <c r="K8" s="3"/>
      <c r="L8" s="3"/>
      <c r="M8" s="3"/>
      <c r="N8" s="3"/>
    </row>
    <row r="9" spans="1:15" x14ac:dyDescent="0.25">
      <c r="A9" s="97" t="s">
        <v>44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</row>
    <row r="10" spans="1:15" x14ac:dyDescent="0.25">
      <c r="A10" s="10" t="s">
        <v>45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</row>
    <row r="11" spans="1:15" x14ac:dyDescent="0.25">
      <c r="A11" s="98" t="s">
        <v>140</v>
      </c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</row>
    <row r="12" spans="1:15" x14ac:dyDescent="0.25">
      <c r="A12" s="98" t="s">
        <v>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I13" s="98"/>
      <c r="J13" s="98"/>
      <c r="K13" s="98"/>
    </row>
    <row r="14" spans="1:15" x14ac:dyDescent="0.25">
      <c r="A14" s="6" t="s">
        <v>288</v>
      </c>
      <c r="L14" s="70"/>
    </row>
    <row r="15" spans="1:15" ht="16.5" customHeight="1" x14ac:dyDescent="0.25">
      <c r="A15" s="104" t="s">
        <v>2</v>
      </c>
      <c r="B15" s="104" t="s">
        <v>3</v>
      </c>
      <c r="C15" s="104" t="s">
        <v>4</v>
      </c>
      <c r="D15" s="104" t="s">
        <v>5</v>
      </c>
      <c r="E15" s="104" t="s">
        <v>6</v>
      </c>
      <c r="F15" s="101" t="s">
        <v>7</v>
      </c>
      <c r="G15" s="102"/>
      <c r="H15" s="102"/>
      <c r="I15" s="103"/>
      <c r="J15" s="104" t="s">
        <v>12</v>
      </c>
      <c r="K15" s="104" t="s">
        <v>13</v>
      </c>
      <c r="L15" s="101" t="s">
        <v>14</v>
      </c>
      <c r="M15" s="103"/>
      <c r="N15" s="101" t="s">
        <v>15</v>
      </c>
      <c r="O15" s="103"/>
    </row>
    <row r="16" spans="1:15" ht="27.6" x14ac:dyDescent="0.25">
      <c r="A16" s="105"/>
      <c r="B16" s="105"/>
      <c r="C16" s="105"/>
      <c r="D16" s="105"/>
      <c r="E16" s="105"/>
      <c r="F16" s="4" t="s">
        <v>8</v>
      </c>
      <c r="G16" s="4" t="s">
        <v>9</v>
      </c>
      <c r="H16" s="4" t="s">
        <v>10</v>
      </c>
      <c r="I16" s="4" t="s">
        <v>11</v>
      </c>
      <c r="J16" s="105"/>
      <c r="K16" s="105"/>
      <c r="L16" s="4" t="s">
        <v>16</v>
      </c>
      <c r="M16" s="4" t="s">
        <v>17</v>
      </c>
      <c r="N16" s="4" t="s">
        <v>16</v>
      </c>
      <c r="O16" s="4" t="s">
        <v>17</v>
      </c>
    </row>
    <row r="17" spans="1:15" x14ac:dyDescent="0.25">
      <c r="A17" s="4">
        <v>1</v>
      </c>
      <c r="B17" s="4">
        <v>2</v>
      </c>
      <c r="C17" s="4">
        <v>3</v>
      </c>
      <c r="D17" s="4">
        <v>4</v>
      </c>
      <c r="E17" s="4">
        <v>5</v>
      </c>
      <c r="F17" s="4">
        <v>6</v>
      </c>
      <c r="G17" s="4">
        <v>7</v>
      </c>
      <c r="H17" s="4">
        <v>8</v>
      </c>
      <c r="I17" s="4">
        <v>9</v>
      </c>
      <c r="J17" s="4">
        <v>10</v>
      </c>
      <c r="K17" s="4">
        <v>11</v>
      </c>
      <c r="L17" s="4">
        <v>12</v>
      </c>
      <c r="M17" s="4">
        <v>13</v>
      </c>
      <c r="N17" s="4">
        <v>14</v>
      </c>
      <c r="O17" s="4">
        <v>15</v>
      </c>
    </row>
    <row r="18" spans="1:15" x14ac:dyDescent="0.25">
      <c r="A18" s="106" t="s">
        <v>20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8"/>
    </row>
    <row r="19" spans="1:15" ht="32.25" customHeight="1" x14ac:dyDescent="0.25">
      <c r="A19" s="11" t="s">
        <v>80</v>
      </c>
      <c r="B19" s="12"/>
      <c r="C19" s="4"/>
      <c r="D19" s="4"/>
      <c r="E19" s="4"/>
      <c r="F19" s="4"/>
      <c r="G19" s="13"/>
      <c r="H19" s="13"/>
      <c r="I19" s="13"/>
      <c r="J19" s="14"/>
      <c r="K19" s="14"/>
      <c r="L19" s="14"/>
      <c r="M19" s="14"/>
      <c r="N19" s="14"/>
      <c r="O19" s="14"/>
    </row>
    <row r="20" spans="1:15" ht="45.75" customHeight="1" x14ac:dyDescent="0.25">
      <c r="A20" s="11" t="s">
        <v>286</v>
      </c>
      <c r="B20" s="4">
        <v>3</v>
      </c>
      <c r="C20" s="4" t="s">
        <v>27</v>
      </c>
      <c r="D20" s="5">
        <v>4</v>
      </c>
      <c r="E20" s="5">
        <v>5</v>
      </c>
      <c r="F20" s="15">
        <v>10</v>
      </c>
      <c r="G20" s="13">
        <v>2199.4</v>
      </c>
      <c r="H20" s="13">
        <v>23.999999999999996</v>
      </c>
      <c r="I20" s="13">
        <v>2175.3999999999996</v>
      </c>
      <c r="J20" s="13"/>
      <c r="K20" s="13">
        <f>+I20*(108.5/(100+E20))</f>
        <v>2247.913333333333</v>
      </c>
      <c r="L20" s="13"/>
      <c r="M20" s="13"/>
      <c r="N20" s="13"/>
      <c r="O20" s="13"/>
    </row>
    <row r="21" spans="1:15" ht="45.75" customHeight="1" x14ac:dyDescent="0.25">
      <c r="A21" s="11" t="s">
        <v>287</v>
      </c>
      <c r="B21" s="4">
        <v>3</v>
      </c>
      <c r="C21" s="4" t="s">
        <v>59</v>
      </c>
      <c r="D21" s="5">
        <v>5.5</v>
      </c>
      <c r="E21" s="5">
        <v>5</v>
      </c>
      <c r="F21" s="15">
        <v>20</v>
      </c>
      <c r="G21" s="13">
        <v>4294.6000000000004</v>
      </c>
      <c r="H21" s="13">
        <v>47.999999999999986</v>
      </c>
      <c r="I21" s="13">
        <v>4246.6000000000004</v>
      </c>
      <c r="J21" s="13"/>
      <c r="K21" s="13">
        <f>+I21*(108.5/(100+E21))</f>
        <v>4388.1533333333346</v>
      </c>
      <c r="L21" s="13"/>
      <c r="M21" s="13"/>
      <c r="N21" s="13"/>
      <c r="O21" s="13"/>
    </row>
    <row r="22" spans="1:15" ht="30.75" customHeight="1" x14ac:dyDescent="0.25">
      <c r="A22" s="16" t="s">
        <v>21</v>
      </c>
      <c r="B22" s="4"/>
      <c r="C22" s="4"/>
      <c r="D22" s="4"/>
      <c r="E22" s="13"/>
      <c r="F22" s="17">
        <f>SUM(F20:F21)</f>
        <v>30</v>
      </c>
      <c r="G22" s="18">
        <f>SUM(G20:G21)</f>
        <v>6494</v>
      </c>
      <c r="H22" s="18">
        <f>SUM(H20:H21)</f>
        <v>71.999999999999986</v>
      </c>
      <c r="I22" s="18">
        <f>SUM(I20:I21)</f>
        <v>6422</v>
      </c>
      <c r="J22" s="18"/>
      <c r="K22" s="18">
        <f>SUM(K20:K21)</f>
        <v>6636.0666666666675</v>
      </c>
      <c r="L22" s="18"/>
      <c r="M22" s="13"/>
      <c r="N22" s="13"/>
      <c r="O22" s="13"/>
    </row>
    <row r="23" spans="1:15" ht="14.25" customHeight="1" x14ac:dyDescent="0.25">
      <c r="A23" s="19"/>
      <c r="B23" s="20"/>
      <c r="C23" s="20"/>
      <c r="D23" s="20"/>
      <c r="E23" s="21"/>
      <c r="F23" s="22"/>
      <c r="G23" s="22"/>
      <c r="H23" s="22"/>
      <c r="I23" s="22"/>
      <c r="J23" s="22"/>
      <c r="K23" s="22"/>
      <c r="L23" s="22"/>
      <c r="M23" s="21"/>
      <c r="N23" s="21"/>
      <c r="O23" s="21"/>
    </row>
    <row r="24" spans="1:15" ht="14.4" x14ac:dyDescent="0.3">
      <c r="A24" s="109" t="s">
        <v>278</v>
      </c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</row>
    <row r="25" spans="1:15" ht="11.25" customHeight="1" x14ac:dyDescent="0.25"/>
    <row r="26" spans="1:15" x14ac:dyDescent="0.25">
      <c r="A26" s="6" t="s">
        <v>22</v>
      </c>
      <c r="D26" s="24">
        <f>+I22</f>
        <v>6422</v>
      </c>
    </row>
    <row r="27" spans="1:15" x14ac:dyDescent="0.25">
      <c r="D27" s="25"/>
      <c r="G27" s="23"/>
      <c r="H27" s="23"/>
      <c r="I27" s="23"/>
      <c r="J27" s="23"/>
      <c r="K27" s="23"/>
    </row>
    <row r="28" spans="1:15" x14ac:dyDescent="0.25">
      <c r="A28" s="6" t="s">
        <v>23</v>
      </c>
      <c r="D28" s="24">
        <f>+K22</f>
        <v>6636.0666666666675</v>
      </c>
    </row>
    <row r="29" spans="1:15" ht="11.25" customHeight="1" x14ac:dyDescent="0.25">
      <c r="D29" s="24"/>
    </row>
    <row r="30" spans="1:15" ht="10.5" customHeight="1" x14ac:dyDescent="0.25"/>
    <row r="31" spans="1:15" x14ac:dyDescent="0.25">
      <c r="A31" s="95" t="s">
        <v>25</v>
      </c>
      <c r="B31" s="95"/>
      <c r="C31" s="95"/>
      <c r="D31" s="95"/>
      <c r="E31" s="95"/>
      <c r="F31" s="95"/>
      <c r="G31" s="95"/>
    </row>
    <row r="32" spans="1:15" ht="9.75" customHeight="1" x14ac:dyDescent="0.25"/>
    <row r="33" spans="1:15" x14ac:dyDescent="0.25">
      <c r="A33" s="95" t="s">
        <v>82</v>
      </c>
      <c r="B33" s="95"/>
      <c r="C33" s="95"/>
      <c r="D33" s="95"/>
      <c r="E33" s="95"/>
      <c r="F33" s="95"/>
      <c r="G33" s="95"/>
    </row>
    <row r="34" spans="1:15" ht="12" customHeight="1" x14ac:dyDescent="0.25"/>
    <row r="35" spans="1:15" x14ac:dyDescent="0.25">
      <c r="A35" s="95" t="s">
        <v>26</v>
      </c>
      <c r="B35" s="95"/>
      <c r="C35" s="95"/>
      <c r="D35" s="95"/>
      <c r="E35" s="95"/>
      <c r="F35" s="95"/>
      <c r="G35" s="95"/>
      <c r="I35" s="95"/>
      <c r="J35" s="95"/>
      <c r="K35" s="95"/>
      <c r="L35" s="95"/>
      <c r="M35" s="95"/>
      <c r="N35" s="95"/>
      <c r="O35" s="95"/>
    </row>
    <row r="36" spans="1:15" ht="11.25" customHeight="1" x14ac:dyDescent="0.25"/>
    <row r="37" spans="1:15" x14ac:dyDescent="0.25">
      <c r="A37" s="110" t="s">
        <v>265</v>
      </c>
      <c r="B37" s="110"/>
      <c r="C37" s="110"/>
      <c r="D37" s="110"/>
      <c r="E37" s="110"/>
      <c r="F37" s="110"/>
      <c r="G37" s="110"/>
      <c r="I37" s="100" t="s">
        <v>46</v>
      </c>
      <c r="J37" s="100"/>
      <c r="K37" s="100"/>
      <c r="L37" s="100"/>
      <c r="M37" s="100"/>
      <c r="N37" s="100"/>
      <c r="O37" s="100"/>
    </row>
  </sheetData>
  <mergeCells count="23">
    <mergeCell ref="A35:G35"/>
    <mergeCell ref="I35:O35"/>
    <mergeCell ref="A37:G37"/>
    <mergeCell ref="I37:O37"/>
    <mergeCell ref="F15:I15"/>
    <mergeCell ref="J15:J16"/>
    <mergeCell ref="K15:K16"/>
    <mergeCell ref="L15:M15"/>
    <mergeCell ref="N15:O15"/>
    <mergeCell ref="A18:O18"/>
    <mergeCell ref="A15:A16"/>
    <mergeCell ref="B15:B16"/>
    <mergeCell ref="C15:C16"/>
    <mergeCell ref="D15:D16"/>
    <mergeCell ref="E15:E16"/>
    <mergeCell ref="A24:O24"/>
    <mergeCell ref="A31:G31"/>
    <mergeCell ref="A33:G33"/>
    <mergeCell ref="A1:O1"/>
    <mergeCell ref="A9:N9"/>
    <mergeCell ref="A11:N11"/>
    <mergeCell ref="A12:N12"/>
    <mergeCell ref="I13:K13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9">
    <tabColor rgb="FFFFFF00"/>
  </sheetPr>
  <dimension ref="A1:O36"/>
  <sheetViews>
    <sheetView zoomScale="70" zoomScaleNormal="70" workbookViewId="0">
      <selection activeCell="A20" sqref="A20:K20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289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5" x14ac:dyDescent="0.25">
      <c r="A3" s="7" t="s">
        <v>284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8" t="s">
        <v>41</v>
      </c>
      <c r="B4" s="8"/>
      <c r="C4" s="8"/>
      <c r="D4" s="8"/>
      <c r="E4" s="8"/>
      <c r="F4" s="8"/>
      <c r="G4" s="8"/>
      <c r="H4" s="8"/>
      <c r="I4" s="8"/>
      <c r="J4" s="1" t="s">
        <v>263</v>
      </c>
      <c r="K4" s="2"/>
      <c r="L4" s="2"/>
      <c r="M4" s="2"/>
      <c r="N4" s="2"/>
    </row>
    <row r="5" spans="1:15" x14ac:dyDescent="0.25">
      <c r="A5" s="6" t="s">
        <v>42</v>
      </c>
      <c r="F5" s="9"/>
      <c r="G5" s="9"/>
      <c r="H5" s="9"/>
      <c r="I5" s="9"/>
      <c r="J5" s="3"/>
      <c r="K5" s="3"/>
      <c r="L5" s="1"/>
      <c r="M5" s="1"/>
      <c r="N5" s="1"/>
    </row>
    <row r="6" spans="1:15" x14ac:dyDescent="0.25">
      <c r="A6" s="9" t="s">
        <v>68</v>
      </c>
      <c r="B6" s="9"/>
      <c r="C6" s="9"/>
      <c r="D6" s="9"/>
      <c r="E6" s="9"/>
      <c r="F6" s="9"/>
      <c r="G6" s="9"/>
      <c r="H6" s="9"/>
      <c r="I6" s="9"/>
      <c r="J6" s="1" t="s">
        <v>262</v>
      </c>
      <c r="K6" s="1"/>
      <c r="L6" s="1"/>
      <c r="M6" s="1"/>
      <c r="N6" s="1"/>
    </row>
    <row r="7" spans="1:15" x14ac:dyDescent="0.25">
      <c r="A7" s="9" t="s">
        <v>43</v>
      </c>
      <c r="B7" s="9"/>
      <c r="C7" s="9"/>
      <c r="D7" s="9"/>
      <c r="E7" s="9"/>
      <c r="F7" s="9"/>
      <c r="G7" s="9"/>
      <c r="H7" s="9"/>
      <c r="I7" s="9"/>
      <c r="J7" s="1" t="s">
        <v>264</v>
      </c>
      <c r="K7" s="1"/>
      <c r="L7" s="1"/>
      <c r="M7" s="1"/>
      <c r="N7" s="1"/>
    </row>
    <row r="8" spans="1:15" x14ac:dyDescent="0.25">
      <c r="A8" s="9" t="s">
        <v>1</v>
      </c>
      <c r="B8" s="9"/>
      <c r="C8" s="9"/>
      <c r="D8" s="9"/>
      <c r="E8" s="9"/>
      <c r="J8" s="3"/>
      <c r="K8" s="3"/>
      <c r="L8" s="3"/>
      <c r="M8" s="3"/>
      <c r="N8" s="3"/>
    </row>
    <row r="9" spans="1:15" x14ac:dyDescent="0.25">
      <c r="A9" s="97" t="s">
        <v>44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</row>
    <row r="10" spans="1:15" x14ac:dyDescent="0.25">
      <c r="A10" s="10" t="s">
        <v>45</v>
      </c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</row>
    <row r="11" spans="1:15" x14ac:dyDescent="0.25">
      <c r="A11" s="98" t="s">
        <v>140</v>
      </c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</row>
    <row r="12" spans="1:15" x14ac:dyDescent="0.25">
      <c r="A12" s="98" t="s">
        <v>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I13" s="98"/>
      <c r="J13" s="98"/>
      <c r="K13" s="98"/>
    </row>
    <row r="14" spans="1:15" x14ac:dyDescent="0.25">
      <c r="A14" s="6" t="s">
        <v>294</v>
      </c>
      <c r="L14" s="72"/>
    </row>
    <row r="15" spans="1:15" ht="16.5" customHeight="1" x14ac:dyDescent="0.25">
      <c r="A15" s="104" t="s">
        <v>2</v>
      </c>
      <c r="B15" s="104" t="s">
        <v>3</v>
      </c>
      <c r="C15" s="104" t="s">
        <v>4</v>
      </c>
      <c r="D15" s="104" t="s">
        <v>5</v>
      </c>
      <c r="E15" s="104" t="s">
        <v>6</v>
      </c>
      <c r="F15" s="101" t="s">
        <v>7</v>
      </c>
      <c r="G15" s="102"/>
      <c r="H15" s="102"/>
      <c r="I15" s="103"/>
      <c r="J15" s="104" t="s">
        <v>12</v>
      </c>
      <c r="K15" s="104" t="s">
        <v>13</v>
      </c>
      <c r="L15" s="101" t="s">
        <v>14</v>
      </c>
      <c r="M15" s="103"/>
      <c r="N15" s="101" t="s">
        <v>15</v>
      </c>
      <c r="O15" s="103"/>
    </row>
    <row r="16" spans="1:15" ht="27.6" x14ac:dyDescent="0.25">
      <c r="A16" s="105"/>
      <c r="B16" s="105"/>
      <c r="C16" s="105"/>
      <c r="D16" s="105"/>
      <c r="E16" s="105"/>
      <c r="F16" s="4" t="s">
        <v>8</v>
      </c>
      <c r="G16" s="4" t="s">
        <v>9</v>
      </c>
      <c r="H16" s="4" t="s">
        <v>10</v>
      </c>
      <c r="I16" s="4" t="s">
        <v>11</v>
      </c>
      <c r="J16" s="105"/>
      <c r="K16" s="105"/>
      <c r="L16" s="4" t="s">
        <v>16</v>
      </c>
      <c r="M16" s="4" t="s">
        <v>17</v>
      </c>
      <c r="N16" s="4" t="s">
        <v>16</v>
      </c>
      <c r="O16" s="4" t="s">
        <v>17</v>
      </c>
    </row>
    <row r="17" spans="1:15" x14ac:dyDescent="0.25">
      <c r="A17" s="4">
        <v>1</v>
      </c>
      <c r="B17" s="4">
        <v>2</v>
      </c>
      <c r="C17" s="4">
        <v>3</v>
      </c>
      <c r="D17" s="4">
        <v>4</v>
      </c>
      <c r="E17" s="4">
        <v>5</v>
      </c>
      <c r="F17" s="4">
        <v>6</v>
      </c>
      <c r="G17" s="4">
        <v>7</v>
      </c>
      <c r="H17" s="4">
        <v>8</v>
      </c>
      <c r="I17" s="4">
        <v>9</v>
      </c>
      <c r="J17" s="4">
        <v>10</v>
      </c>
      <c r="K17" s="4">
        <v>11</v>
      </c>
      <c r="L17" s="4">
        <v>12</v>
      </c>
      <c r="M17" s="4">
        <v>13</v>
      </c>
      <c r="N17" s="4">
        <v>14</v>
      </c>
      <c r="O17" s="4">
        <v>15</v>
      </c>
    </row>
    <row r="18" spans="1:15" x14ac:dyDescent="0.25">
      <c r="A18" s="106" t="s">
        <v>20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8"/>
    </row>
    <row r="19" spans="1:15" ht="32.25" customHeight="1" x14ac:dyDescent="0.25">
      <c r="A19" s="11" t="s">
        <v>80</v>
      </c>
      <c r="B19" s="12"/>
      <c r="C19" s="4"/>
      <c r="D19" s="4"/>
      <c r="E19" s="4"/>
      <c r="F19" s="4"/>
      <c r="G19" s="13"/>
      <c r="H19" s="13"/>
      <c r="I19" s="13"/>
      <c r="J19" s="14"/>
      <c r="K19" s="14"/>
      <c r="L19" s="14"/>
      <c r="M19" s="14"/>
      <c r="N19" s="14"/>
      <c r="O19" s="14"/>
    </row>
    <row r="20" spans="1:15" ht="45.75" customHeight="1" x14ac:dyDescent="0.25">
      <c r="A20" s="11" t="s">
        <v>292</v>
      </c>
      <c r="B20" s="4">
        <v>1</v>
      </c>
      <c r="C20" s="4" t="s">
        <v>161</v>
      </c>
      <c r="D20" s="5">
        <v>2</v>
      </c>
      <c r="E20" s="5">
        <v>5</v>
      </c>
      <c r="F20" s="15">
        <v>90</v>
      </c>
      <c r="G20" s="13">
        <v>18957.999999999996</v>
      </c>
      <c r="H20" s="13">
        <v>216.00000000000034</v>
      </c>
      <c r="I20" s="13">
        <v>18742.000000000004</v>
      </c>
      <c r="J20" s="13"/>
      <c r="K20" s="13">
        <f>+I20*(108.5/(100+E20))</f>
        <v>19366.733333333341</v>
      </c>
      <c r="L20" s="13"/>
      <c r="M20" s="13"/>
      <c r="N20" s="13"/>
      <c r="O20" s="13"/>
    </row>
    <row r="21" spans="1:15" ht="30.75" customHeight="1" x14ac:dyDescent="0.25">
      <c r="A21" s="16" t="s">
        <v>21</v>
      </c>
      <c r="B21" s="4"/>
      <c r="C21" s="4"/>
      <c r="D21" s="4"/>
      <c r="E21" s="13"/>
      <c r="F21" s="17">
        <f>SUM(F20:F20)</f>
        <v>90</v>
      </c>
      <c r="G21" s="18">
        <f>SUM(G20:G20)</f>
        <v>18957.999999999996</v>
      </c>
      <c r="H21" s="18">
        <f>SUM(H20:H20)</f>
        <v>216.00000000000034</v>
      </c>
      <c r="I21" s="18">
        <f>SUM(I20:I20)</f>
        <v>18742.000000000004</v>
      </c>
      <c r="J21" s="18"/>
      <c r="K21" s="18">
        <f>SUM(K20:K20)</f>
        <v>19366.733333333341</v>
      </c>
      <c r="L21" s="18"/>
      <c r="M21" s="13"/>
      <c r="N21" s="13"/>
      <c r="O21" s="13"/>
    </row>
    <row r="22" spans="1:15" ht="14.25" customHeight="1" x14ac:dyDescent="0.25">
      <c r="A22" s="19"/>
      <c r="B22" s="20"/>
      <c r="C22" s="20"/>
      <c r="D22" s="20"/>
      <c r="E22" s="21"/>
      <c r="F22" s="22"/>
      <c r="G22" s="22"/>
      <c r="H22" s="22"/>
      <c r="I22" s="22"/>
      <c r="J22" s="22"/>
      <c r="K22" s="22"/>
      <c r="L22" s="22"/>
      <c r="M22" s="21"/>
      <c r="N22" s="21"/>
      <c r="O22" s="21"/>
    </row>
    <row r="23" spans="1:15" ht="14.4" x14ac:dyDescent="0.3">
      <c r="A23" s="109" t="s">
        <v>192</v>
      </c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</row>
    <row r="24" spans="1:15" ht="11.25" customHeight="1" x14ac:dyDescent="0.25"/>
    <row r="25" spans="1:15" x14ac:dyDescent="0.25">
      <c r="A25" s="6" t="s">
        <v>22</v>
      </c>
      <c r="D25" s="24">
        <f>+I21</f>
        <v>18742.000000000004</v>
      </c>
    </row>
    <row r="26" spans="1:15" x14ac:dyDescent="0.25">
      <c r="D26" s="25"/>
      <c r="G26" s="23"/>
      <c r="H26" s="23"/>
      <c r="I26" s="23"/>
      <c r="J26" s="23"/>
      <c r="K26" s="23"/>
    </row>
    <row r="27" spans="1:15" x14ac:dyDescent="0.25">
      <c r="A27" s="6" t="s">
        <v>23</v>
      </c>
      <c r="D27" s="24">
        <f>+K21</f>
        <v>19366.733333333341</v>
      </c>
    </row>
    <row r="28" spans="1:15" ht="11.25" customHeight="1" x14ac:dyDescent="0.25">
      <c r="D28" s="24"/>
    </row>
    <row r="29" spans="1:15" ht="10.5" customHeight="1" x14ac:dyDescent="0.25"/>
    <row r="30" spans="1:15" x14ac:dyDescent="0.25">
      <c r="A30" s="95" t="s">
        <v>25</v>
      </c>
      <c r="B30" s="95"/>
      <c r="C30" s="95"/>
      <c r="D30" s="95"/>
      <c r="E30" s="95"/>
      <c r="F30" s="95"/>
      <c r="G30" s="95"/>
    </row>
    <row r="31" spans="1:15" ht="9.75" customHeight="1" x14ac:dyDescent="0.25"/>
    <row r="32" spans="1:15" x14ac:dyDescent="0.25">
      <c r="A32" s="95" t="s">
        <v>82</v>
      </c>
      <c r="B32" s="95"/>
      <c r="C32" s="95"/>
      <c r="D32" s="95"/>
      <c r="E32" s="95"/>
      <c r="F32" s="95"/>
      <c r="G32" s="95"/>
    </row>
    <row r="33" spans="1:15" ht="12" customHeight="1" x14ac:dyDescent="0.25"/>
    <row r="34" spans="1:15" x14ac:dyDescent="0.25">
      <c r="A34" s="95" t="s">
        <v>26</v>
      </c>
      <c r="B34" s="95"/>
      <c r="C34" s="95"/>
      <c r="D34" s="95"/>
      <c r="E34" s="95"/>
      <c r="F34" s="95"/>
      <c r="G34" s="95"/>
      <c r="I34" s="95"/>
      <c r="J34" s="95"/>
      <c r="K34" s="95"/>
      <c r="L34" s="95"/>
      <c r="M34" s="95"/>
      <c r="N34" s="95"/>
      <c r="O34" s="95"/>
    </row>
    <row r="35" spans="1:15" ht="11.25" customHeight="1" x14ac:dyDescent="0.25"/>
    <row r="36" spans="1:15" x14ac:dyDescent="0.25">
      <c r="A36" s="110" t="s">
        <v>265</v>
      </c>
      <c r="B36" s="110"/>
      <c r="C36" s="110"/>
      <c r="D36" s="110"/>
      <c r="E36" s="110"/>
      <c r="F36" s="110"/>
      <c r="G36" s="110"/>
      <c r="I36" s="100" t="s">
        <v>46</v>
      </c>
      <c r="J36" s="100"/>
      <c r="K36" s="100"/>
      <c r="L36" s="100"/>
      <c r="M36" s="100"/>
      <c r="N36" s="100"/>
      <c r="O36" s="100"/>
    </row>
  </sheetData>
  <mergeCells count="23">
    <mergeCell ref="A30:G30"/>
    <mergeCell ref="A32:G32"/>
    <mergeCell ref="A1:O1"/>
    <mergeCell ref="A9:N9"/>
    <mergeCell ref="A11:N11"/>
    <mergeCell ref="A12:N12"/>
    <mergeCell ref="I13:K13"/>
    <mergeCell ref="A34:G34"/>
    <mergeCell ref="I34:O34"/>
    <mergeCell ref="A36:G36"/>
    <mergeCell ref="I36:O36"/>
    <mergeCell ref="F15:I15"/>
    <mergeCell ref="J15:J16"/>
    <mergeCell ref="K15:K16"/>
    <mergeCell ref="L15:M15"/>
    <mergeCell ref="N15:O15"/>
    <mergeCell ref="A18:O18"/>
    <mergeCell ref="A15:A16"/>
    <mergeCell ref="B15:B16"/>
    <mergeCell ref="C15:C16"/>
    <mergeCell ref="D15:D16"/>
    <mergeCell ref="E15:E16"/>
    <mergeCell ref="A23:O23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3">
    <tabColor rgb="FF00B050"/>
  </sheetPr>
  <dimension ref="A1:O40"/>
  <sheetViews>
    <sheetView zoomScale="55" zoomScaleNormal="55" workbookViewId="0">
      <selection activeCell="A23" sqref="A23:K24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295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96" t="s">
        <v>86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</row>
    <row r="3" spans="1:15" x14ac:dyDescent="0.25">
      <c r="A3" s="7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7" t="s">
        <v>296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5" x14ac:dyDescent="0.25">
      <c r="A5" s="8" t="s">
        <v>41</v>
      </c>
      <c r="B5" s="8"/>
      <c r="C5" s="8"/>
      <c r="D5" s="8"/>
      <c r="E5" s="8"/>
      <c r="F5" s="8"/>
      <c r="G5" s="8"/>
      <c r="H5" s="8"/>
      <c r="I5" s="8"/>
      <c r="J5" s="3" t="s">
        <v>48</v>
      </c>
      <c r="K5" s="2"/>
      <c r="L5" s="2"/>
      <c r="M5" s="2"/>
      <c r="N5" s="2"/>
    </row>
    <row r="6" spans="1:15" x14ac:dyDescent="0.25">
      <c r="A6" s="6" t="s">
        <v>42</v>
      </c>
      <c r="F6" s="9"/>
      <c r="G6" s="9"/>
      <c r="H6" s="9"/>
      <c r="I6" s="9"/>
      <c r="J6" s="3"/>
      <c r="K6" s="3"/>
      <c r="L6" s="1"/>
      <c r="M6" s="1"/>
      <c r="N6" s="1"/>
    </row>
    <row r="7" spans="1:15" x14ac:dyDescent="0.25">
      <c r="A7" s="9" t="s">
        <v>140</v>
      </c>
      <c r="B7" s="9"/>
      <c r="C7" s="9"/>
      <c r="D7" s="9"/>
      <c r="E7" s="9"/>
      <c r="F7" s="9"/>
      <c r="G7" s="9"/>
      <c r="H7" s="9"/>
      <c r="I7" s="9"/>
      <c r="J7" s="3" t="s">
        <v>51</v>
      </c>
      <c r="K7" s="1"/>
      <c r="L7" s="1"/>
      <c r="M7" s="1"/>
      <c r="N7" s="1"/>
    </row>
    <row r="8" spans="1:15" x14ac:dyDescent="0.25">
      <c r="A8" s="9" t="s">
        <v>43</v>
      </c>
      <c r="B8" s="9"/>
      <c r="C8" s="9"/>
      <c r="D8" s="9"/>
      <c r="E8" s="9"/>
      <c r="F8" s="9"/>
      <c r="G8" s="9"/>
      <c r="H8" s="9"/>
      <c r="I8" s="9"/>
      <c r="J8" s="3" t="s">
        <v>49</v>
      </c>
      <c r="K8" s="1"/>
      <c r="L8" s="1"/>
      <c r="M8" s="1"/>
      <c r="N8" s="1"/>
    </row>
    <row r="9" spans="1:15" x14ac:dyDescent="0.25">
      <c r="A9" s="9" t="s">
        <v>1</v>
      </c>
      <c r="B9" s="9"/>
      <c r="C9" s="9"/>
      <c r="D9" s="9"/>
      <c r="E9" s="9"/>
      <c r="J9" s="3"/>
      <c r="K9" s="3"/>
      <c r="L9" s="3"/>
      <c r="M9" s="3"/>
      <c r="N9" s="3"/>
    </row>
    <row r="10" spans="1:15" x14ac:dyDescent="0.25">
      <c r="A10" s="97" t="s">
        <v>69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</row>
    <row r="11" spans="1:15" x14ac:dyDescent="0.25">
      <c r="A11" s="10" t="s">
        <v>70</v>
      </c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</row>
    <row r="12" spans="1:15" x14ac:dyDescent="0.25">
      <c r="A12" s="98" t="s">
        <v>71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A13" s="6" t="s">
        <v>43</v>
      </c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</row>
    <row r="14" spans="1:15" x14ac:dyDescent="0.25">
      <c r="A14" s="98" t="s">
        <v>72</v>
      </c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</row>
    <row r="15" spans="1:15" x14ac:dyDescent="0.25">
      <c r="A15" s="80" t="s">
        <v>73</v>
      </c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</row>
    <row r="16" spans="1:15" x14ac:dyDescent="0.25">
      <c r="I16" s="98" t="s">
        <v>18</v>
      </c>
      <c r="J16" s="98"/>
      <c r="K16" s="98"/>
      <c r="L16" s="6" t="s">
        <v>24</v>
      </c>
    </row>
    <row r="17" spans="1:15" x14ac:dyDescent="0.25">
      <c r="A17" s="6" t="s">
        <v>299</v>
      </c>
      <c r="I17" s="6" t="s">
        <v>19</v>
      </c>
      <c r="L17" s="80">
        <v>4</v>
      </c>
    </row>
    <row r="18" spans="1:15" ht="16.5" customHeight="1" x14ac:dyDescent="0.25">
      <c r="A18" s="104" t="s">
        <v>2</v>
      </c>
      <c r="B18" s="104" t="s">
        <v>3</v>
      </c>
      <c r="C18" s="104" t="s">
        <v>4</v>
      </c>
      <c r="D18" s="104" t="s">
        <v>5</v>
      </c>
      <c r="E18" s="104" t="s">
        <v>6</v>
      </c>
      <c r="F18" s="101" t="s">
        <v>7</v>
      </c>
      <c r="G18" s="102"/>
      <c r="H18" s="102"/>
      <c r="I18" s="103"/>
      <c r="J18" s="104" t="s">
        <v>12</v>
      </c>
      <c r="K18" s="104" t="s">
        <v>13</v>
      </c>
      <c r="L18" s="101" t="s">
        <v>14</v>
      </c>
      <c r="M18" s="103"/>
      <c r="N18" s="101" t="s">
        <v>15</v>
      </c>
      <c r="O18" s="103"/>
    </row>
    <row r="19" spans="1:15" ht="27.6" x14ac:dyDescent="0.25">
      <c r="A19" s="105"/>
      <c r="B19" s="105"/>
      <c r="C19" s="105"/>
      <c r="D19" s="105"/>
      <c r="E19" s="105"/>
      <c r="F19" s="4" t="s">
        <v>8</v>
      </c>
      <c r="G19" s="4" t="s">
        <v>9</v>
      </c>
      <c r="H19" s="4" t="s">
        <v>10</v>
      </c>
      <c r="I19" s="4" t="s">
        <v>11</v>
      </c>
      <c r="J19" s="105"/>
      <c r="K19" s="105"/>
      <c r="L19" s="4" t="s">
        <v>16</v>
      </c>
      <c r="M19" s="4" t="s">
        <v>17</v>
      </c>
      <c r="N19" s="4" t="s">
        <v>16</v>
      </c>
      <c r="O19" s="4" t="s">
        <v>17</v>
      </c>
    </row>
    <row r="20" spans="1:15" x14ac:dyDescent="0.25">
      <c r="A20" s="4">
        <v>1</v>
      </c>
      <c r="B20" s="4">
        <v>2</v>
      </c>
      <c r="C20" s="4">
        <v>3</v>
      </c>
      <c r="D20" s="4">
        <v>4</v>
      </c>
      <c r="E20" s="4">
        <v>5</v>
      </c>
      <c r="F20" s="4">
        <v>6</v>
      </c>
      <c r="G20" s="4">
        <v>7</v>
      </c>
      <c r="H20" s="4">
        <v>8</v>
      </c>
      <c r="I20" s="4">
        <v>9</v>
      </c>
      <c r="J20" s="4">
        <v>10</v>
      </c>
      <c r="K20" s="4">
        <v>11</v>
      </c>
      <c r="L20" s="4">
        <v>12</v>
      </c>
      <c r="M20" s="4">
        <v>13</v>
      </c>
      <c r="N20" s="4">
        <v>14</v>
      </c>
      <c r="O20" s="4">
        <v>15</v>
      </c>
    </row>
    <row r="21" spans="1:15" x14ac:dyDescent="0.25">
      <c r="A21" s="106" t="s">
        <v>20</v>
      </c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8"/>
    </row>
    <row r="22" spans="1:15" ht="32.25" customHeight="1" x14ac:dyDescent="0.25">
      <c r="A22" s="11" t="s">
        <v>80</v>
      </c>
      <c r="B22" s="12"/>
      <c r="C22" s="4"/>
      <c r="D22" s="4"/>
      <c r="E22" s="4"/>
      <c r="F22" s="4"/>
      <c r="G22" s="13"/>
      <c r="H22" s="13"/>
      <c r="I22" s="13"/>
      <c r="J22" s="14"/>
      <c r="K22" s="14"/>
      <c r="L22" s="14"/>
      <c r="M22" s="14"/>
      <c r="N22" s="14"/>
      <c r="O22" s="14"/>
    </row>
    <row r="23" spans="1:15" ht="39" customHeight="1" x14ac:dyDescent="0.25">
      <c r="A23" s="11" t="s">
        <v>297</v>
      </c>
      <c r="B23" s="4">
        <v>1</v>
      </c>
      <c r="C23" s="4" t="s">
        <v>59</v>
      </c>
      <c r="D23" s="5">
        <v>3</v>
      </c>
      <c r="E23" s="5">
        <v>5</v>
      </c>
      <c r="F23" s="15">
        <v>54</v>
      </c>
      <c r="G23" s="13">
        <v>10966.999999999998</v>
      </c>
      <c r="H23" s="13">
        <v>118.8000000000001</v>
      </c>
      <c r="I23" s="13">
        <v>10848.2</v>
      </c>
      <c r="J23" s="13"/>
      <c r="K23" s="13">
        <f>+I23*(108.5/(100+E23))</f>
        <v>11209.806666666669</v>
      </c>
      <c r="L23" s="13"/>
      <c r="M23" s="13"/>
      <c r="N23" s="13"/>
      <c r="O23" s="13"/>
    </row>
    <row r="24" spans="1:15" ht="39" customHeight="1" x14ac:dyDescent="0.25">
      <c r="A24" s="11" t="s">
        <v>298</v>
      </c>
      <c r="B24" s="4">
        <v>1</v>
      </c>
      <c r="C24" s="4" t="s">
        <v>27</v>
      </c>
      <c r="D24" s="5">
        <v>2.5</v>
      </c>
      <c r="E24" s="5">
        <v>5</v>
      </c>
      <c r="F24" s="15">
        <v>42</v>
      </c>
      <c r="G24" s="13">
        <v>8597.4000000000015</v>
      </c>
      <c r="H24" s="13">
        <v>92.400000000000063</v>
      </c>
      <c r="I24" s="13">
        <v>8505</v>
      </c>
      <c r="J24" s="13"/>
      <c r="K24" s="13">
        <f>+I24*(108.5/(100+E24))</f>
        <v>8788.5</v>
      </c>
      <c r="L24" s="13"/>
      <c r="M24" s="13"/>
      <c r="N24" s="13"/>
      <c r="O24" s="13"/>
    </row>
    <row r="25" spans="1:15" ht="30.75" customHeight="1" x14ac:dyDescent="0.25">
      <c r="A25" s="16" t="s">
        <v>21</v>
      </c>
      <c r="B25" s="4"/>
      <c r="C25" s="4"/>
      <c r="D25" s="4"/>
      <c r="E25" s="13"/>
      <c r="F25" s="17">
        <f>SUM(F23:F24)</f>
        <v>96</v>
      </c>
      <c r="G25" s="17">
        <f>SUM(G23:G24)</f>
        <v>19564.400000000001</v>
      </c>
      <c r="H25" s="17">
        <f>SUM(H23:H24)</f>
        <v>211.20000000000016</v>
      </c>
      <c r="I25" s="17">
        <f>SUM(I23:I24)</f>
        <v>19353.2</v>
      </c>
      <c r="J25" s="17"/>
      <c r="K25" s="17">
        <f>SUM(K23:K24)</f>
        <v>19998.306666666671</v>
      </c>
      <c r="L25" s="18"/>
      <c r="M25" s="13"/>
      <c r="N25" s="13"/>
      <c r="O25" s="13"/>
    </row>
    <row r="26" spans="1:15" ht="14.25" customHeight="1" x14ac:dyDescent="0.25">
      <c r="A26" s="19"/>
      <c r="B26" s="20"/>
      <c r="C26" s="20"/>
      <c r="D26" s="20"/>
      <c r="E26" s="21"/>
      <c r="F26" s="22"/>
      <c r="G26" s="22"/>
      <c r="H26" s="22"/>
      <c r="I26" s="22"/>
      <c r="J26" s="22"/>
      <c r="K26" s="22"/>
      <c r="L26" s="22"/>
      <c r="M26" s="21"/>
      <c r="N26" s="21"/>
      <c r="O26" s="21"/>
    </row>
    <row r="27" spans="1:15" ht="14.4" x14ac:dyDescent="0.3">
      <c r="A27" s="109" t="s">
        <v>56</v>
      </c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</row>
    <row r="28" spans="1:15" ht="11.25" customHeight="1" x14ac:dyDescent="0.25"/>
    <row r="29" spans="1:15" x14ac:dyDescent="0.25">
      <c r="A29" s="6" t="s">
        <v>22</v>
      </c>
      <c r="D29" s="24">
        <f>+I25</f>
        <v>19353.2</v>
      </c>
    </row>
    <row r="30" spans="1:15" x14ac:dyDescent="0.25">
      <c r="D30" s="25"/>
      <c r="G30" s="23"/>
      <c r="H30" s="23"/>
      <c r="I30" s="23"/>
      <c r="J30" s="23"/>
      <c r="K30" s="23"/>
    </row>
    <row r="31" spans="1:15" x14ac:dyDescent="0.25">
      <c r="A31" s="6" t="s">
        <v>23</v>
      </c>
      <c r="D31" s="24">
        <f>+G25</f>
        <v>19564.400000000001</v>
      </c>
    </row>
    <row r="32" spans="1:15" ht="11.25" customHeight="1" x14ac:dyDescent="0.25">
      <c r="D32" s="24"/>
    </row>
    <row r="33" spans="1:15" ht="10.5" customHeight="1" x14ac:dyDescent="0.25"/>
    <row r="34" spans="1:15" x14ac:dyDescent="0.25">
      <c r="A34" s="95" t="s">
        <v>25</v>
      </c>
      <c r="B34" s="95"/>
      <c r="C34" s="95"/>
      <c r="D34" s="95"/>
      <c r="E34" s="95"/>
      <c r="F34" s="95"/>
      <c r="G34" s="95"/>
    </row>
    <row r="35" spans="1:15" ht="9.75" customHeight="1" x14ac:dyDescent="0.25"/>
    <row r="36" spans="1:15" x14ac:dyDescent="0.25">
      <c r="A36" s="95" t="s">
        <v>82</v>
      </c>
      <c r="B36" s="95"/>
      <c r="C36" s="95"/>
      <c r="D36" s="95"/>
      <c r="E36" s="95"/>
      <c r="F36" s="95"/>
      <c r="G36" s="95"/>
    </row>
    <row r="37" spans="1:15" ht="12" customHeight="1" x14ac:dyDescent="0.25"/>
    <row r="38" spans="1:15" x14ac:dyDescent="0.25">
      <c r="A38" s="95" t="s">
        <v>26</v>
      </c>
      <c r="B38" s="95"/>
      <c r="C38" s="95"/>
      <c r="D38" s="95"/>
      <c r="E38" s="95"/>
      <c r="F38" s="95"/>
      <c r="G38" s="95"/>
      <c r="I38" s="95"/>
      <c r="J38" s="95"/>
      <c r="K38" s="95"/>
      <c r="L38" s="95"/>
      <c r="M38" s="95"/>
      <c r="N38" s="95"/>
      <c r="O38" s="95"/>
    </row>
    <row r="39" spans="1:15" ht="11.25" customHeight="1" x14ac:dyDescent="0.25"/>
    <row r="40" spans="1:15" x14ac:dyDescent="0.25">
      <c r="A40" s="110" t="s">
        <v>312</v>
      </c>
      <c r="B40" s="110"/>
      <c r="C40" s="110"/>
      <c r="D40" s="110"/>
      <c r="E40" s="110"/>
      <c r="F40" s="110"/>
      <c r="G40" s="110"/>
      <c r="I40" s="100"/>
      <c r="J40" s="100"/>
      <c r="K40" s="100"/>
      <c r="L40" s="100"/>
      <c r="M40" s="100"/>
      <c r="N40" s="100"/>
      <c r="O40" s="100"/>
    </row>
  </sheetData>
  <mergeCells count="24">
    <mergeCell ref="A34:G34"/>
    <mergeCell ref="A36:G36"/>
    <mergeCell ref="A38:G38"/>
    <mergeCell ref="I38:O38"/>
    <mergeCell ref="A40:G40"/>
    <mergeCell ref="I40:O40"/>
    <mergeCell ref="A27:O27"/>
    <mergeCell ref="A18:A19"/>
    <mergeCell ref="B18:B19"/>
    <mergeCell ref="C18:C19"/>
    <mergeCell ref="D18:D19"/>
    <mergeCell ref="E18:E19"/>
    <mergeCell ref="F18:I18"/>
    <mergeCell ref="J18:J19"/>
    <mergeCell ref="K18:K19"/>
    <mergeCell ref="L18:M18"/>
    <mergeCell ref="N18:O18"/>
    <mergeCell ref="A21:O21"/>
    <mergeCell ref="I16:K16"/>
    <mergeCell ref="A1:O1"/>
    <mergeCell ref="A2:O2"/>
    <mergeCell ref="A10:N10"/>
    <mergeCell ref="A12:N12"/>
    <mergeCell ref="A14:N14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1">
    <tabColor rgb="FFFFFF00"/>
  </sheetPr>
  <dimension ref="A1:O36"/>
  <sheetViews>
    <sheetView zoomScale="70" zoomScaleNormal="70" workbookViewId="0">
      <selection activeCell="K20" sqref="A20:K20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303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5" x14ac:dyDescent="0.25">
      <c r="A3" s="7" t="s">
        <v>296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8" t="s">
        <v>41</v>
      </c>
      <c r="B4" s="8"/>
      <c r="C4" s="8"/>
      <c r="D4" s="8"/>
      <c r="E4" s="8"/>
      <c r="F4" s="8"/>
      <c r="G4" s="8"/>
      <c r="H4" s="8"/>
      <c r="I4" s="8"/>
      <c r="J4" s="3" t="s">
        <v>38</v>
      </c>
      <c r="K4" s="2"/>
      <c r="L4" s="2"/>
      <c r="M4" s="2"/>
      <c r="N4" s="2"/>
    </row>
    <row r="5" spans="1:15" x14ac:dyDescent="0.25">
      <c r="A5" s="6" t="s">
        <v>42</v>
      </c>
      <c r="F5" s="9"/>
      <c r="G5" s="9"/>
      <c r="H5" s="9"/>
      <c r="I5" s="9"/>
      <c r="J5" s="3"/>
      <c r="K5" s="3"/>
      <c r="L5" s="1"/>
      <c r="M5" s="1"/>
      <c r="N5" s="1"/>
    </row>
    <row r="6" spans="1:15" x14ac:dyDescent="0.25">
      <c r="A6" s="9" t="s">
        <v>68</v>
      </c>
      <c r="B6" s="9"/>
      <c r="C6" s="9"/>
      <c r="D6" s="9"/>
      <c r="E6" s="9"/>
      <c r="F6" s="9"/>
      <c r="G6" s="9"/>
      <c r="H6" s="9"/>
      <c r="I6" s="9"/>
      <c r="J6" s="3" t="s">
        <v>77</v>
      </c>
      <c r="K6" s="1"/>
      <c r="L6" s="1"/>
      <c r="M6" s="1"/>
      <c r="N6" s="1"/>
    </row>
    <row r="7" spans="1:15" x14ac:dyDescent="0.25">
      <c r="A7" s="9" t="s">
        <v>43</v>
      </c>
      <c r="B7" s="9"/>
      <c r="C7" s="9"/>
      <c r="D7" s="9"/>
      <c r="E7" s="9"/>
      <c r="F7" s="9"/>
      <c r="G7" s="9"/>
      <c r="H7" s="9"/>
      <c r="I7" s="9"/>
      <c r="J7" s="3" t="s">
        <v>39</v>
      </c>
      <c r="K7" s="1"/>
      <c r="L7" s="1"/>
      <c r="M7" s="1"/>
      <c r="N7" s="1"/>
    </row>
    <row r="8" spans="1:15" x14ac:dyDescent="0.25">
      <c r="A8" s="9" t="s">
        <v>1</v>
      </c>
      <c r="B8" s="9"/>
      <c r="C8" s="9"/>
      <c r="D8" s="9"/>
      <c r="E8" s="9"/>
      <c r="J8" s="3"/>
      <c r="K8" s="3"/>
      <c r="L8" s="3"/>
      <c r="M8" s="3"/>
      <c r="N8" s="3"/>
    </row>
    <row r="9" spans="1:15" x14ac:dyDescent="0.25">
      <c r="A9" s="97" t="s">
        <v>44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</row>
    <row r="10" spans="1:15" x14ac:dyDescent="0.25">
      <c r="A10" s="10" t="s">
        <v>45</v>
      </c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</row>
    <row r="11" spans="1:15" x14ac:dyDescent="0.25">
      <c r="A11" s="98" t="s">
        <v>140</v>
      </c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</row>
    <row r="12" spans="1:15" x14ac:dyDescent="0.25">
      <c r="A12" s="98" t="s">
        <v>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I13" s="98"/>
      <c r="J13" s="98"/>
      <c r="K13" s="98"/>
    </row>
    <row r="14" spans="1:15" x14ac:dyDescent="0.25">
      <c r="A14" s="6" t="s">
        <v>294</v>
      </c>
      <c r="L14" s="78"/>
    </row>
    <row r="15" spans="1:15" ht="16.5" customHeight="1" x14ac:dyDescent="0.25">
      <c r="A15" s="104" t="s">
        <v>2</v>
      </c>
      <c r="B15" s="104" t="s">
        <v>3</v>
      </c>
      <c r="C15" s="104" t="s">
        <v>4</v>
      </c>
      <c r="D15" s="104" t="s">
        <v>5</v>
      </c>
      <c r="E15" s="104" t="s">
        <v>6</v>
      </c>
      <c r="F15" s="101" t="s">
        <v>7</v>
      </c>
      <c r="G15" s="102"/>
      <c r="H15" s="102"/>
      <c r="I15" s="103"/>
      <c r="J15" s="104" t="s">
        <v>12</v>
      </c>
      <c r="K15" s="104" t="s">
        <v>13</v>
      </c>
      <c r="L15" s="101" t="s">
        <v>14</v>
      </c>
      <c r="M15" s="103"/>
      <c r="N15" s="101" t="s">
        <v>15</v>
      </c>
      <c r="O15" s="103"/>
    </row>
    <row r="16" spans="1:15" ht="27.6" x14ac:dyDescent="0.25">
      <c r="A16" s="105"/>
      <c r="B16" s="105"/>
      <c r="C16" s="105"/>
      <c r="D16" s="105"/>
      <c r="E16" s="105"/>
      <c r="F16" s="4" t="s">
        <v>8</v>
      </c>
      <c r="G16" s="4" t="s">
        <v>9</v>
      </c>
      <c r="H16" s="4" t="s">
        <v>10</v>
      </c>
      <c r="I16" s="4" t="s">
        <v>11</v>
      </c>
      <c r="J16" s="105"/>
      <c r="K16" s="105"/>
      <c r="L16" s="4" t="s">
        <v>16</v>
      </c>
      <c r="M16" s="4" t="s">
        <v>17</v>
      </c>
      <c r="N16" s="4" t="s">
        <v>16</v>
      </c>
      <c r="O16" s="4" t="s">
        <v>17</v>
      </c>
    </row>
    <row r="17" spans="1:15" x14ac:dyDescent="0.25">
      <c r="A17" s="4">
        <v>1</v>
      </c>
      <c r="B17" s="4">
        <v>2</v>
      </c>
      <c r="C17" s="4">
        <v>3</v>
      </c>
      <c r="D17" s="4">
        <v>4</v>
      </c>
      <c r="E17" s="4">
        <v>5</v>
      </c>
      <c r="F17" s="4">
        <v>6</v>
      </c>
      <c r="G17" s="4">
        <v>7</v>
      </c>
      <c r="H17" s="4">
        <v>8</v>
      </c>
      <c r="I17" s="4">
        <v>9</v>
      </c>
      <c r="J17" s="4">
        <v>10</v>
      </c>
      <c r="K17" s="4">
        <v>11</v>
      </c>
      <c r="L17" s="4">
        <v>12</v>
      </c>
      <c r="M17" s="4">
        <v>13</v>
      </c>
      <c r="N17" s="4">
        <v>14</v>
      </c>
      <c r="O17" s="4">
        <v>15</v>
      </c>
    </row>
    <row r="18" spans="1:15" x14ac:dyDescent="0.25">
      <c r="A18" s="106" t="s">
        <v>20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8"/>
    </row>
    <row r="19" spans="1:15" ht="32.25" customHeight="1" x14ac:dyDescent="0.25">
      <c r="A19" s="11" t="s">
        <v>80</v>
      </c>
      <c r="B19" s="12"/>
      <c r="C19" s="4"/>
      <c r="D19" s="4"/>
      <c r="E19" s="4"/>
      <c r="F19" s="4"/>
      <c r="G19" s="13"/>
      <c r="H19" s="13"/>
      <c r="I19" s="13"/>
      <c r="J19" s="14"/>
      <c r="K19" s="14"/>
      <c r="L19" s="14"/>
      <c r="M19" s="14"/>
      <c r="N19" s="14"/>
      <c r="O19" s="14"/>
    </row>
    <row r="20" spans="1:15" ht="45.75" customHeight="1" x14ac:dyDescent="0.25">
      <c r="A20" s="11" t="s">
        <v>301</v>
      </c>
      <c r="B20" s="4">
        <v>2</v>
      </c>
      <c r="C20" s="4" t="s">
        <v>66</v>
      </c>
      <c r="D20" s="5">
        <v>5.5</v>
      </c>
      <c r="E20" s="5">
        <v>5</v>
      </c>
      <c r="F20" s="15">
        <v>110</v>
      </c>
      <c r="G20" s="13">
        <v>24205.999999999993</v>
      </c>
      <c r="H20" s="13">
        <v>264.00000000000034</v>
      </c>
      <c r="I20" s="13">
        <v>23942</v>
      </c>
      <c r="J20" s="13"/>
      <c r="K20" s="13">
        <f>+I20*(108.5/(100+E20))</f>
        <v>24740.066666666669</v>
      </c>
      <c r="L20" s="13"/>
      <c r="M20" s="13"/>
      <c r="N20" s="13"/>
      <c r="O20" s="13"/>
    </row>
    <row r="21" spans="1:15" ht="30.75" customHeight="1" x14ac:dyDescent="0.25">
      <c r="A21" s="16" t="s">
        <v>21</v>
      </c>
      <c r="B21" s="4"/>
      <c r="C21" s="4"/>
      <c r="D21" s="4"/>
      <c r="E21" s="13"/>
      <c r="F21" s="17">
        <f>SUM(F20:F20)</f>
        <v>110</v>
      </c>
      <c r="G21" s="18">
        <f>SUM(G20:G20)</f>
        <v>24205.999999999993</v>
      </c>
      <c r="H21" s="18">
        <f>SUM(H20:H20)</f>
        <v>264.00000000000034</v>
      </c>
      <c r="I21" s="18">
        <f>SUM(I20:I20)</f>
        <v>23942</v>
      </c>
      <c r="J21" s="18"/>
      <c r="K21" s="18">
        <f>SUM(K20:K20)</f>
        <v>24740.066666666669</v>
      </c>
      <c r="L21" s="18"/>
      <c r="M21" s="13"/>
      <c r="N21" s="13"/>
      <c r="O21" s="13"/>
    </row>
    <row r="22" spans="1:15" ht="14.25" customHeight="1" x14ac:dyDescent="0.25">
      <c r="A22" s="19"/>
      <c r="B22" s="20"/>
      <c r="C22" s="20"/>
      <c r="D22" s="20"/>
      <c r="E22" s="21"/>
      <c r="F22" s="22"/>
      <c r="G22" s="22"/>
      <c r="H22" s="22"/>
      <c r="I22" s="22"/>
      <c r="J22" s="22"/>
      <c r="K22" s="22"/>
      <c r="L22" s="22"/>
      <c r="M22" s="21"/>
      <c r="N22" s="21"/>
      <c r="O22" s="21"/>
    </row>
    <row r="23" spans="1:15" ht="14.4" x14ac:dyDescent="0.3">
      <c r="A23" s="109" t="s">
        <v>302</v>
      </c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</row>
    <row r="24" spans="1:15" ht="11.25" customHeight="1" x14ac:dyDescent="0.25"/>
    <row r="25" spans="1:15" x14ac:dyDescent="0.25">
      <c r="A25" s="6" t="s">
        <v>22</v>
      </c>
      <c r="D25" s="24">
        <f>+I21</f>
        <v>23942</v>
      </c>
    </row>
    <row r="26" spans="1:15" x14ac:dyDescent="0.25">
      <c r="D26" s="25"/>
      <c r="G26" s="23"/>
      <c r="H26" s="23"/>
      <c r="I26" s="23"/>
      <c r="J26" s="23"/>
      <c r="K26" s="23"/>
    </row>
    <row r="27" spans="1:15" x14ac:dyDescent="0.25">
      <c r="A27" s="6" t="s">
        <v>23</v>
      </c>
      <c r="D27" s="24">
        <f>+K21</f>
        <v>24740.066666666669</v>
      </c>
    </row>
    <row r="28" spans="1:15" ht="11.25" customHeight="1" x14ac:dyDescent="0.25">
      <c r="D28" s="24"/>
    </row>
    <row r="29" spans="1:15" ht="10.5" customHeight="1" x14ac:dyDescent="0.25"/>
    <row r="30" spans="1:15" x14ac:dyDescent="0.25">
      <c r="A30" s="95" t="s">
        <v>25</v>
      </c>
      <c r="B30" s="95"/>
      <c r="C30" s="95"/>
      <c r="D30" s="95"/>
      <c r="E30" s="95"/>
      <c r="F30" s="95"/>
      <c r="G30" s="95"/>
    </row>
    <row r="31" spans="1:15" ht="9.75" customHeight="1" x14ac:dyDescent="0.25"/>
    <row r="32" spans="1:15" x14ac:dyDescent="0.25">
      <c r="A32" s="95" t="s">
        <v>82</v>
      </c>
      <c r="B32" s="95"/>
      <c r="C32" s="95"/>
      <c r="D32" s="95"/>
      <c r="E32" s="95"/>
      <c r="F32" s="95"/>
      <c r="G32" s="95"/>
    </row>
    <row r="33" spans="1:15" ht="12" customHeight="1" x14ac:dyDescent="0.25"/>
    <row r="34" spans="1:15" x14ac:dyDescent="0.25">
      <c r="A34" s="95" t="s">
        <v>26</v>
      </c>
      <c r="B34" s="95"/>
      <c r="C34" s="95"/>
      <c r="D34" s="95"/>
      <c r="E34" s="95"/>
      <c r="F34" s="95"/>
      <c r="G34" s="95"/>
      <c r="I34" s="95"/>
      <c r="J34" s="95"/>
      <c r="K34" s="95"/>
      <c r="L34" s="95"/>
      <c r="M34" s="95"/>
      <c r="N34" s="95"/>
      <c r="O34" s="95"/>
    </row>
    <row r="35" spans="1:15" ht="11.25" customHeight="1" x14ac:dyDescent="0.25"/>
    <row r="36" spans="1:15" x14ac:dyDescent="0.25">
      <c r="A36" s="110" t="s">
        <v>300</v>
      </c>
      <c r="B36" s="110"/>
      <c r="C36" s="110"/>
      <c r="D36" s="110"/>
      <c r="E36" s="110"/>
      <c r="F36" s="110"/>
      <c r="G36" s="110"/>
      <c r="I36" s="100" t="s">
        <v>46</v>
      </c>
      <c r="J36" s="100"/>
      <c r="K36" s="100"/>
      <c r="L36" s="100"/>
      <c r="M36" s="100"/>
      <c r="N36" s="100"/>
      <c r="O36" s="100"/>
    </row>
  </sheetData>
  <mergeCells count="23">
    <mergeCell ref="A30:G30"/>
    <mergeCell ref="A32:G32"/>
    <mergeCell ref="A1:O1"/>
    <mergeCell ref="A9:N9"/>
    <mergeCell ref="A11:N11"/>
    <mergeCell ref="A12:N12"/>
    <mergeCell ref="I13:K13"/>
    <mergeCell ref="A34:G34"/>
    <mergeCell ref="I34:O34"/>
    <mergeCell ref="A36:G36"/>
    <mergeCell ref="I36:O36"/>
    <mergeCell ref="F15:I15"/>
    <mergeCell ref="J15:J16"/>
    <mergeCell ref="K15:K16"/>
    <mergeCell ref="L15:M15"/>
    <mergeCell ref="N15:O15"/>
    <mergeCell ref="A18:O18"/>
    <mergeCell ref="A15:A16"/>
    <mergeCell ref="B15:B16"/>
    <mergeCell ref="C15:C16"/>
    <mergeCell ref="D15:D16"/>
    <mergeCell ref="E15:E16"/>
    <mergeCell ref="A23:O23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2">
    <tabColor rgb="FFFFFF00"/>
  </sheetPr>
  <dimension ref="A1:O37"/>
  <sheetViews>
    <sheetView zoomScale="70" zoomScaleNormal="70" workbookViewId="0">
      <selection activeCell="E40" sqref="E40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306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5" x14ac:dyDescent="0.25">
      <c r="A3" s="7" t="s">
        <v>305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8" t="s">
        <v>41</v>
      </c>
      <c r="B4" s="8"/>
      <c r="C4" s="8"/>
      <c r="D4" s="8"/>
      <c r="E4" s="8"/>
      <c r="F4" s="8"/>
      <c r="G4" s="8"/>
      <c r="H4" s="8"/>
      <c r="I4" s="8"/>
      <c r="J4" s="1" t="s">
        <v>263</v>
      </c>
      <c r="K4" s="2"/>
      <c r="L4" s="2"/>
      <c r="M4" s="2"/>
      <c r="N4" s="2"/>
    </row>
    <row r="5" spans="1:15" x14ac:dyDescent="0.25">
      <c r="A5" s="6" t="s">
        <v>42</v>
      </c>
      <c r="F5" s="9"/>
      <c r="G5" s="9"/>
      <c r="H5" s="9"/>
      <c r="I5" s="9"/>
      <c r="J5" s="3"/>
      <c r="K5" s="3"/>
      <c r="L5" s="1"/>
      <c r="M5" s="1"/>
      <c r="N5" s="1"/>
    </row>
    <row r="6" spans="1:15" x14ac:dyDescent="0.25">
      <c r="A6" s="9" t="s">
        <v>68</v>
      </c>
      <c r="B6" s="9"/>
      <c r="C6" s="9"/>
      <c r="D6" s="9"/>
      <c r="E6" s="9"/>
      <c r="F6" s="9"/>
      <c r="G6" s="9"/>
      <c r="H6" s="9"/>
      <c r="I6" s="9"/>
      <c r="J6" s="1" t="s">
        <v>262</v>
      </c>
      <c r="K6" s="1"/>
      <c r="L6" s="1"/>
      <c r="M6" s="1"/>
      <c r="N6" s="1"/>
    </row>
    <row r="7" spans="1:15" x14ac:dyDescent="0.25">
      <c r="A7" s="9" t="s">
        <v>43</v>
      </c>
      <c r="B7" s="9"/>
      <c r="C7" s="9"/>
      <c r="D7" s="9"/>
      <c r="E7" s="9"/>
      <c r="F7" s="9"/>
      <c r="G7" s="9"/>
      <c r="H7" s="9"/>
      <c r="I7" s="9"/>
      <c r="J7" s="1" t="s">
        <v>264</v>
      </c>
      <c r="K7" s="1"/>
      <c r="L7" s="1"/>
      <c r="M7" s="1"/>
      <c r="N7" s="1"/>
    </row>
    <row r="8" spans="1:15" x14ac:dyDescent="0.25">
      <c r="A8" s="9" t="s">
        <v>1</v>
      </c>
      <c r="B8" s="9"/>
      <c r="C8" s="9"/>
      <c r="D8" s="9"/>
      <c r="E8" s="9"/>
      <c r="J8" s="3"/>
      <c r="K8" s="3"/>
      <c r="L8" s="3"/>
      <c r="M8" s="3"/>
      <c r="N8" s="3"/>
    </row>
    <row r="9" spans="1:15" x14ac:dyDescent="0.25">
      <c r="A9" s="97" t="s">
        <v>44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</row>
    <row r="10" spans="1:15" x14ac:dyDescent="0.25">
      <c r="A10" s="10" t="s">
        <v>45</v>
      </c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</row>
    <row r="11" spans="1:15" x14ac:dyDescent="0.25">
      <c r="A11" s="98" t="s">
        <v>140</v>
      </c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</row>
    <row r="12" spans="1:15" x14ac:dyDescent="0.25">
      <c r="A12" s="98" t="s">
        <v>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I13" s="98"/>
      <c r="J13" s="98"/>
      <c r="K13" s="98"/>
    </row>
    <row r="14" spans="1:15" x14ac:dyDescent="0.25">
      <c r="A14" s="6" t="s">
        <v>294</v>
      </c>
      <c r="L14" s="80"/>
    </row>
    <row r="15" spans="1:15" ht="16.5" customHeight="1" x14ac:dyDescent="0.25">
      <c r="A15" s="104" t="s">
        <v>2</v>
      </c>
      <c r="B15" s="104" t="s">
        <v>3</v>
      </c>
      <c r="C15" s="104" t="s">
        <v>4</v>
      </c>
      <c r="D15" s="104" t="s">
        <v>5</v>
      </c>
      <c r="E15" s="104" t="s">
        <v>6</v>
      </c>
      <c r="F15" s="101" t="s">
        <v>7</v>
      </c>
      <c r="G15" s="102"/>
      <c r="H15" s="102"/>
      <c r="I15" s="103"/>
      <c r="J15" s="104" t="s">
        <v>12</v>
      </c>
      <c r="K15" s="104" t="s">
        <v>13</v>
      </c>
      <c r="L15" s="101" t="s">
        <v>14</v>
      </c>
      <c r="M15" s="103"/>
      <c r="N15" s="101" t="s">
        <v>15</v>
      </c>
      <c r="O15" s="103"/>
    </row>
    <row r="16" spans="1:15" ht="27.6" x14ac:dyDescent="0.25">
      <c r="A16" s="105"/>
      <c r="B16" s="105"/>
      <c r="C16" s="105"/>
      <c r="D16" s="105"/>
      <c r="E16" s="105"/>
      <c r="F16" s="4" t="s">
        <v>8</v>
      </c>
      <c r="G16" s="4" t="s">
        <v>9</v>
      </c>
      <c r="H16" s="4" t="s">
        <v>10</v>
      </c>
      <c r="I16" s="4" t="s">
        <v>11</v>
      </c>
      <c r="J16" s="105"/>
      <c r="K16" s="105"/>
      <c r="L16" s="4" t="s">
        <v>16</v>
      </c>
      <c r="M16" s="4" t="s">
        <v>17</v>
      </c>
      <c r="N16" s="4" t="s">
        <v>16</v>
      </c>
      <c r="O16" s="4" t="s">
        <v>17</v>
      </c>
    </row>
    <row r="17" spans="1:15" x14ac:dyDescent="0.25">
      <c r="A17" s="4">
        <v>1</v>
      </c>
      <c r="B17" s="4">
        <v>2</v>
      </c>
      <c r="C17" s="4">
        <v>3</v>
      </c>
      <c r="D17" s="4">
        <v>4</v>
      </c>
      <c r="E17" s="4">
        <v>5</v>
      </c>
      <c r="F17" s="4">
        <v>6</v>
      </c>
      <c r="G17" s="4">
        <v>7</v>
      </c>
      <c r="H17" s="4">
        <v>8</v>
      </c>
      <c r="I17" s="4">
        <v>9</v>
      </c>
      <c r="J17" s="4">
        <v>10</v>
      </c>
      <c r="K17" s="4">
        <v>11</v>
      </c>
      <c r="L17" s="4">
        <v>12</v>
      </c>
      <c r="M17" s="4">
        <v>13</v>
      </c>
      <c r="N17" s="4">
        <v>14</v>
      </c>
      <c r="O17" s="4">
        <v>15</v>
      </c>
    </row>
    <row r="18" spans="1:15" x14ac:dyDescent="0.25">
      <c r="A18" s="106" t="s">
        <v>20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8"/>
    </row>
    <row r="19" spans="1:15" ht="32.25" customHeight="1" x14ac:dyDescent="0.25">
      <c r="A19" s="11" t="s">
        <v>80</v>
      </c>
      <c r="B19" s="12"/>
      <c r="C19" s="4"/>
      <c r="D19" s="4"/>
      <c r="E19" s="4"/>
      <c r="F19" s="4"/>
      <c r="G19" s="13"/>
      <c r="H19" s="13"/>
      <c r="I19" s="13"/>
      <c r="J19" s="14"/>
      <c r="K19" s="14"/>
      <c r="L19" s="14"/>
      <c r="M19" s="14"/>
      <c r="N19" s="14"/>
      <c r="O19" s="14"/>
    </row>
    <row r="20" spans="1:15" ht="45.75" customHeight="1" x14ac:dyDescent="0.25">
      <c r="A20" s="11" t="s">
        <v>307</v>
      </c>
      <c r="B20" s="4">
        <v>2</v>
      </c>
      <c r="C20" s="4" t="s">
        <v>59</v>
      </c>
      <c r="D20" s="5">
        <v>4.5</v>
      </c>
      <c r="E20" s="5">
        <v>5</v>
      </c>
      <c r="F20" s="15">
        <v>39</v>
      </c>
      <c r="G20" s="13">
        <v>8446</v>
      </c>
      <c r="H20" s="13">
        <v>93.600000000000051</v>
      </c>
      <c r="I20" s="13">
        <v>8352.4</v>
      </c>
      <c r="J20" s="13"/>
      <c r="K20" s="13">
        <f>+I20*(108.5/(100+E20))</f>
        <v>8630.8133333333335</v>
      </c>
      <c r="L20" s="13"/>
      <c r="M20" s="13"/>
      <c r="N20" s="13"/>
      <c r="O20" s="13"/>
    </row>
    <row r="21" spans="1:15" ht="45.75" customHeight="1" x14ac:dyDescent="0.25">
      <c r="A21" s="11" t="s">
        <v>308</v>
      </c>
      <c r="B21" s="4">
        <v>2</v>
      </c>
      <c r="C21" s="4" t="s">
        <v>66</v>
      </c>
      <c r="D21" s="5">
        <v>5.5</v>
      </c>
      <c r="E21" s="5">
        <v>5</v>
      </c>
      <c r="F21" s="15">
        <v>71</v>
      </c>
      <c r="G21" s="13">
        <v>15639.2</v>
      </c>
      <c r="H21" s="13">
        <v>170.40000000000023</v>
      </c>
      <c r="I21" s="13">
        <v>15468.800000000001</v>
      </c>
      <c r="J21" s="13"/>
      <c r="K21" s="13">
        <f>+I21*(108.5/(100+E21))</f>
        <v>15984.42666666667</v>
      </c>
      <c r="L21" s="13"/>
      <c r="M21" s="13"/>
      <c r="N21" s="13"/>
      <c r="O21" s="13"/>
    </row>
    <row r="22" spans="1:15" ht="30.75" customHeight="1" x14ac:dyDescent="0.25">
      <c r="A22" s="16" t="s">
        <v>21</v>
      </c>
      <c r="B22" s="4"/>
      <c r="C22" s="4"/>
      <c r="D22" s="4"/>
      <c r="E22" s="13"/>
      <c r="F22" s="17">
        <f>SUM(F20:F21)</f>
        <v>110</v>
      </c>
      <c r="G22" s="17">
        <f>SUM(G20:G21)</f>
        <v>24085.200000000001</v>
      </c>
      <c r="H22" s="17">
        <f>SUM(H20:H21)</f>
        <v>264.00000000000028</v>
      </c>
      <c r="I22" s="17">
        <f>SUM(I20:I21)</f>
        <v>23821.200000000001</v>
      </c>
      <c r="J22" s="17"/>
      <c r="K22" s="17">
        <f>SUM(K20:K21)</f>
        <v>24615.240000000005</v>
      </c>
      <c r="L22" s="18"/>
      <c r="M22" s="13"/>
      <c r="N22" s="13"/>
      <c r="O22" s="13"/>
    </row>
    <row r="23" spans="1:15" ht="14.25" customHeight="1" x14ac:dyDescent="0.25">
      <c r="A23" s="19"/>
      <c r="B23" s="20"/>
      <c r="C23" s="20"/>
      <c r="D23" s="20"/>
      <c r="E23" s="21"/>
      <c r="F23" s="22"/>
      <c r="G23" s="22"/>
      <c r="H23" s="22"/>
      <c r="I23" s="22"/>
      <c r="J23" s="22"/>
      <c r="K23" s="22"/>
      <c r="L23" s="22"/>
      <c r="M23" s="21"/>
      <c r="N23" s="21"/>
      <c r="O23" s="21"/>
    </row>
    <row r="24" spans="1:15" ht="14.4" x14ac:dyDescent="0.3">
      <c r="A24" s="109" t="s">
        <v>302</v>
      </c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</row>
    <row r="25" spans="1:15" ht="11.25" customHeight="1" x14ac:dyDescent="0.25"/>
    <row r="26" spans="1:15" x14ac:dyDescent="0.25">
      <c r="A26" s="6" t="s">
        <v>22</v>
      </c>
      <c r="D26" s="24">
        <f>+I22</f>
        <v>23821.200000000001</v>
      </c>
    </row>
    <row r="27" spans="1:15" x14ac:dyDescent="0.25">
      <c r="D27" s="25"/>
      <c r="G27" s="23"/>
      <c r="H27" s="23"/>
      <c r="I27" s="23"/>
      <c r="J27" s="23"/>
      <c r="K27" s="23"/>
    </row>
    <row r="28" spans="1:15" x14ac:dyDescent="0.25">
      <c r="A28" s="6" t="s">
        <v>23</v>
      </c>
      <c r="D28" s="24">
        <f>+K22</f>
        <v>24615.240000000005</v>
      </c>
    </row>
    <row r="29" spans="1:15" ht="11.25" customHeight="1" x14ac:dyDescent="0.25">
      <c r="D29" s="24"/>
    </row>
    <row r="30" spans="1:15" ht="10.5" customHeight="1" x14ac:dyDescent="0.25"/>
    <row r="31" spans="1:15" x14ac:dyDescent="0.25">
      <c r="A31" s="95" t="s">
        <v>25</v>
      </c>
      <c r="B31" s="95"/>
      <c r="C31" s="95"/>
      <c r="D31" s="95"/>
      <c r="E31" s="95"/>
      <c r="F31" s="95"/>
      <c r="G31" s="95"/>
    </row>
    <row r="32" spans="1:15" ht="9.75" customHeight="1" x14ac:dyDescent="0.25"/>
    <row r="33" spans="1:15" x14ac:dyDescent="0.25">
      <c r="A33" s="95" t="s">
        <v>82</v>
      </c>
      <c r="B33" s="95"/>
      <c r="C33" s="95"/>
      <c r="D33" s="95"/>
      <c r="E33" s="95"/>
      <c r="F33" s="95"/>
      <c r="G33" s="95"/>
    </row>
    <row r="34" spans="1:15" ht="12" customHeight="1" x14ac:dyDescent="0.25"/>
    <row r="35" spans="1:15" x14ac:dyDescent="0.25">
      <c r="A35" s="95" t="s">
        <v>26</v>
      </c>
      <c r="B35" s="95"/>
      <c r="C35" s="95"/>
      <c r="D35" s="95"/>
      <c r="E35" s="95"/>
      <c r="F35" s="95"/>
      <c r="G35" s="95"/>
      <c r="I35" s="95"/>
      <c r="J35" s="95"/>
      <c r="K35" s="95"/>
      <c r="L35" s="95"/>
      <c r="M35" s="95"/>
      <c r="N35" s="95"/>
      <c r="O35" s="95"/>
    </row>
    <row r="36" spans="1:15" ht="11.25" customHeight="1" x14ac:dyDescent="0.25"/>
    <row r="37" spans="1:15" x14ac:dyDescent="0.25">
      <c r="A37" s="110" t="s">
        <v>265</v>
      </c>
      <c r="B37" s="110"/>
      <c r="C37" s="110"/>
      <c r="D37" s="110"/>
      <c r="E37" s="110"/>
      <c r="F37" s="110"/>
      <c r="G37" s="110"/>
      <c r="I37" s="100" t="s">
        <v>46</v>
      </c>
      <c r="J37" s="100"/>
      <c r="K37" s="100"/>
      <c r="L37" s="100"/>
      <c r="M37" s="100"/>
      <c r="N37" s="100"/>
      <c r="O37" s="100"/>
    </row>
  </sheetData>
  <mergeCells count="23">
    <mergeCell ref="A35:G35"/>
    <mergeCell ref="I35:O35"/>
    <mergeCell ref="A37:G37"/>
    <mergeCell ref="I37:O37"/>
    <mergeCell ref="F15:I15"/>
    <mergeCell ref="J15:J16"/>
    <mergeCell ref="K15:K16"/>
    <mergeCell ref="L15:M15"/>
    <mergeCell ref="N15:O15"/>
    <mergeCell ref="A18:O18"/>
    <mergeCell ref="A15:A16"/>
    <mergeCell ref="B15:B16"/>
    <mergeCell ref="C15:C16"/>
    <mergeCell ref="D15:D16"/>
    <mergeCell ref="E15:E16"/>
    <mergeCell ref="A24:O24"/>
    <mergeCell ref="A31:G31"/>
    <mergeCell ref="A33:G33"/>
    <mergeCell ref="A1:O1"/>
    <mergeCell ref="A9:N9"/>
    <mergeCell ref="A11:N11"/>
    <mergeCell ref="A12:N12"/>
    <mergeCell ref="I13:K13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0">
    <tabColor rgb="FF00B050"/>
  </sheetPr>
  <dimension ref="A1:O39"/>
  <sheetViews>
    <sheetView zoomScale="55" zoomScaleNormal="55" workbookViewId="0">
      <selection activeCell="J5" sqref="J5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309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96" t="s">
        <v>86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</row>
    <row r="3" spans="1:15" x14ac:dyDescent="0.25">
      <c r="A3" s="7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7" t="s">
        <v>305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5" x14ac:dyDescent="0.25">
      <c r="A5" s="8" t="s">
        <v>41</v>
      </c>
      <c r="B5" s="8"/>
      <c r="C5" s="8"/>
      <c r="D5" s="8"/>
      <c r="E5" s="8"/>
      <c r="F5" s="8"/>
      <c r="G5" s="8"/>
      <c r="H5" s="8"/>
      <c r="I5" s="8"/>
      <c r="J5" s="3" t="s">
        <v>94</v>
      </c>
      <c r="K5" s="2"/>
      <c r="L5" s="2"/>
      <c r="M5" s="2"/>
      <c r="N5" s="2"/>
    </row>
    <row r="6" spans="1:15" x14ac:dyDescent="0.25">
      <c r="A6" s="6" t="s">
        <v>42</v>
      </c>
      <c r="F6" s="9"/>
      <c r="G6" s="9"/>
      <c r="H6" s="9"/>
      <c r="I6" s="9"/>
      <c r="J6" s="3"/>
      <c r="K6" s="3"/>
      <c r="L6" s="1"/>
      <c r="M6" s="1"/>
      <c r="N6" s="1"/>
    </row>
    <row r="7" spans="1:15" x14ac:dyDescent="0.25">
      <c r="A7" s="9" t="s">
        <v>140</v>
      </c>
      <c r="B7" s="9"/>
      <c r="C7" s="9"/>
      <c r="D7" s="9"/>
      <c r="E7" s="9"/>
      <c r="F7" s="9"/>
      <c r="G7" s="9"/>
      <c r="H7" s="9"/>
      <c r="I7" s="9"/>
      <c r="J7" s="3" t="s">
        <v>187</v>
      </c>
      <c r="K7" s="1"/>
      <c r="L7" s="1"/>
      <c r="M7" s="1"/>
      <c r="N7" s="1"/>
    </row>
    <row r="8" spans="1:15" x14ac:dyDescent="0.25">
      <c r="A8" s="9" t="s">
        <v>43</v>
      </c>
      <c r="B8" s="9"/>
      <c r="C8" s="9"/>
      <c r="D8" s="9"/>
      <c r="E8" s="9"/>
      <c r="F8" s="9"/>
      <c r="G8" s="9"/>
      <c r="H8" s="9"/>
      <c r="I8" s="9"/>
      <c r="J8" s="3" t="s">
        <v>96</v>
      </c>
      <c r="K8" s="1"/>
      <c r="L8" s="1"/>
      <c r="M8" s="1"/>
      <c r="N8" s="1"/>
    </row>
    <row r="9" spans="1:15" x14ac:dyDescent="0.25">
      <c r="A9" s="9" t="s">
        <v>1</v>
      </c>
      <c r="B9" s="9"/>
      <c r="C9" s="9"/>
      <c r="D9" s="9"/>
      <c r="E9" s="9"/>
      <c r="J9" s="3"/>
      <c r="K9" s="3"/>
      <c r="L9" s="3"/>
      <c r="M9" s="3"/>
      <c r="N9" s="3"/>
    </row>
    <row r="10" spans="1:15" x14ac:dyDescent="0.25">
      <c r="A10" s="97" t="s">
        <v>69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</row>
    <row r="11" spans="1:15" x14ac:dyDescent="0.25">
      <c r="A11" s="10" t="s">
        <v>70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</row>
    <row r="12" spans="1:15" x14ac:dyDescent="0.25">
      <c r="A12" s="98" t="s">
        <v>71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A13" s="6" t="s">
        <v>43</v>
      </c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</row>
    <row r="14" spans="1:15" x14ac:dyDescent="0.25">
      <c r="A14" s="98" t="s">
        <v>72</v>
      </c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</row>
    <row r="15" spans="1:15" x14ac:dyDescent="0.25">
      <c r="A15" s="76" t="s">
        <v>73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</row>
    <row r="16" spans="1:15" x14ac:dyDescent="0.25">
      <c r="I16" s="98" t="s">
        <v>18</v>
      </c>
      <c r="J16" s="98"/>
      <c r="K16" s="98"/>
      <c r="L16" s="6" t="s">
        <v>24</v>
      </c>
    </row>
    <row r="17" spans="1:15" x14ac:dyDescent="0.25">
      <c r="A17" s="6" t="s">
        <v>299</v>
      </c>
      <c r="I17" s="6" t="s">
        <v>19</v>
      </c>
      <c r="L17" s="76">
        <v>4</v>
      </c>
    </row>
    <row r="18" spans="1:15" ht="16.5" customHeight="1" x14ac:dyDescent="0.25">
      <c r="A18" s="104" t="s">
        <v>2</v>
      </c>
      <c r="B18" s="104" t="s">
        <v>3</v>
      </c>
      <c r="C18" s="104" t="s">
        <v>4</v>
      </c>
      <c r="D18" s="104" t="s">
        <v>5</v>
      </c>
      <c r="E18" s="104" t="s">
        <v>6</v>
      </c>
      <c r="F18" s="101" t="s">
        <v>7</v>
      </c>
      <c r="G18" s="102"/>
      <c r="H18" s="102"/>
      <c r="I18" s="103"/>
      <c r="J18" s="104" t="s">
        <v>12</v>
      </c>
      <c r="K18" s="104" t="s">
        <v>13</v>
      </c>
      <c r="L18" s="101" t="s">
        <v>14</v>
      </c>
      <c r="M18" s="103"/>
      <c r="N18" s="101" t="s">
        <v>15</v>
      </c>
      <c r="O18" s="103"/>
    </row>
    <row r="19" spans="1:15" ht="27.6" x14ac:dyDescent="0.25">
      <c r="A19" s="105"/>
      <c r="B19" s="105"/>
      <c r="C19" s="105"/>
      <c r="D19" s="105"/>
      <c r="E19" s="105"/>
      <c r="F19" s="4" t="s">
        <v>8</v>
      </c>
      <c r="G19" s="4" t="s">
        <v>9</v>
      </c>
      <c r="H19" s="4" t="s">
        <v>10</v>
      </c>
      <c r="I19" s="4" t="s">
        <v>11</v>
      </c>
      <c r="J19" s="105"/>
      <c r="K19" s="105"/>
      <c r="L19" s="4" t="s">
        <v>16</v>
      </c>
      <c r="M19" s="4" t="s">
        <v>17</v>
      </c>
      <c r="N19" s="4" t="s">
        <v>16</v>
      </c>
      <c r="O19" s="4" t="s">
        <v>17</v>
      </c>
    </row>
    <row r="20" spans="1:15" x14ac:dyDescent="0.25">
      <c r="A20" s="4">
        <v>1</v>
      </c>
      <c r="B20" s="4">
        <v>2</v>
      </c>
      <c r="C20" s="4">
        <v>3</v>
      </c>
      <c r="D20" s="4">
        <v>4</v>
      </c>
      <c r="E20" s="4">
        <v>5</v>
      </c>
      <c r="F20" s="4">
        <v>6</v>
      </c>
      <c r="G20" s="4">
        <v>7</v>
      </c>
      <c r="H20" s="4">
        <v>8</v>
      </c>
      <c r="I20" s="4">
        <v>9</v>
      </c>
      <c r="J20" s="4">
        <v>10</v>
      </c>
      <c r="K20" s="4">
        <v>11</v>
      </c>
      <c r="L20" s="4">
        <v>12</v>
      </c>
      <c r="M20" s="4">
        <v>13</v>
      </c>
      <c r="N20" s="4">
        <v>14</v>
      </c>
      <c r="O20" s="4">
        <v>15</v>
      </c>
    </row>
    <row r="21" spans="1:15" x14ac:dyDescent="0.25">
      <c r="A21" s="106" t="s">
        <v>20</v>
      </c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8"/>
    </row>
    <row r="22" spans="1:15" ht="32.25" customHeight="1" x14ac:dyDescent="0.25">
      <c r="A22" s="11" t="s">
        <v>80</v>
      </c>
      <c r="B22" s="12"/>
      <c r="C22" s="4"/>
      <c r="D22" s="4"/>
      <c r="E22" s="4"/>
      <c r="F22" s="4"/>
      <c r="G22" s="13"/>
      <c r="H22" s="13"/>
      <c r="I22" s="13"/>
      <c r="J22" s="14"/>
      <c r="K22" s="14"/>
      <c r="L22" s="14"/>
      <c r="M22" s="14"/>
      <c r="N22" s="14"/>
      <c r="O22" s="14"/>
    </row>
    <row r="23" spans="1:15" ht="39" customHeight="1" x14ac:dyDescent="0.25">
      <c r="A23" s="11" t="s">
        <v>310</v>
      </c>
      <c r="B23" s="4">
        <v>1</v>
      </c>
      <c r="C23" s="4" t="s">
        <v>59</v>
      </c>
      <c r="D23" s="5">
        <v>3</v>
      </c>
      <c r="E23" s="5">
        <v>5</v>
      </c>
      <c r="F23" s="15">
        <v>56</v>
      </c>
      <c r="G23" s="13">
        <v>11132.600000000002</v>
      </c>
      <c r="H23" s="13">
        <v>123.2000000000001</v>
      </c>
      <c r="I23" s="13">
        <v>11009.400000000001</v>
      </c>
      <c r="J23" s="13"/>
      <c r="K23" s="13">
        <f>+I23*(108.5/(100+E23))</f>
        <v>11376.380000000003</v>
      </c>
      <c r="L23" s="13"/>
      <c r="M23" s="13"/>
      <c r="N23" s="13"/>
      <c r="O23" s="13"/>
    </row>
    <row r="24" spans="1:15" ht="30.75" customHeight="1" x14ac:dyDescent="0.25">
      <c r="A24" s="16" t="s">
        <v>21</v>
      </c>
      <c r="B24" s="4"/>
      <c r="C24" s="4"/>
      <c r="D24" s="4"/>
      <c r="E24" s="13"/>
      <c r="F24" s="17">
        <f>SUM(F23:F23)</f>
        <v>56</v>
      </c>
      <c r="G24" s="17">
        <f>SUM(G23:G23)</f>
        <v>11132.600000000002</v>
      </c>
      <c r="H24" s="17">
        <f>SUM(H23:H23)</f>
        <v>123.2000000000001</v>
      </c>
      <c r="I24" s="17">
        <f>SUM(I23:I23)</f>
        <v>11009.400000000001</v>
      </c>
      <c r="J24" s="17"/>
      <c r="K24" s="17">
        <f>SUM(K23:K23)</f>
        <v>11376.380000000003</v>
      </c>
      <c r="L24" s="18"/>
      <c r="M24" s="13"/>
      <c r="N24" s="13"/>
      <c r="O24" s="13"/>
    </row>
    <row r="25" spans="1:15" ht="14.25" customHeight="1" x14ac:dyDescent="0.25">
      <c r="A25" s="19"/>
      <c r="B25" s="20"/>
      <c r="C25" s="20"/>
      <c r="D25" s="20"/>
      <c r="E25" s="21"/>
      <c r="F25" s="22"/>
      <c r="G25" s="22"/>
      <c r="H25" s="22"/>
      <c r="I25" s="22"/>
      <c r="J25" s="22"/>
      <c r="K25" s="22"/>
      <c r="L25" s="22"/>
      <c r="M25" s="21"/>
      <c r="N25" s="21"/>
      <c r="O25" s="21"/>
    </row>
    <row r="26" spans="1:15" ht="14.4" x14ac:dyDescent="0.3">
      <c r="A26" s="109" t="s">
        <v>56</v>
      </c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</row>
    <row r="27" spans="1:15" ht="11.25" customHeight="1" x14ac:dyDescent="0.25"/>
    <row r="28" spans="1:15" x14ac:dyDescent="0.25">
      <c r="A28" s="6" t="s">
        <v>22</v>
      </c>
      <c r="D28" s="24">
        <f>+I24</f>
        <v>11009.400000000001</v>
      </c>
    </row>
    <row r="29" spans="1:15" x14ac:dyDescent="0.25">
      <c r="D29" s="25"/>
      <c r="G29" s="23"/>
      <c r="H29" s="23"/>
      <c r="I29" s="23"/>
      <c r="J29" s="23"/>
      <c r="K29" s="23"/>
    </row>
    <row r="30" spans="1:15" x14ac:dyDescent="0.25">
      <c r="A30" s="6" t="s">
        <v>23</v>
      </c>
      <c r="D30" s="24">
        <f>+G24</f>
        <v>11132.600000000002</v>
      </c>
    </row>
    <row r="31" spans="1:15" ht="11.25" customHeight="1" x14ac:dyDescent="0.25">
      <c r="D31" s="24"/>
    </row>
    <row r="32" spans="1:15" ht="10.5" customHeight="1" x14ac:dyDescent="0.25"/>
    <row r="33" spans="1:15" x14ac:dyDescent="0.25">
      <c r="A33" s="95" t="s">
        <v>25</v>
      </c>
      <c r="B33" s="95"/>
      <c r="C33" s="95"/>
      <c r="D33" s="95"/>
      <c r="E33" s="95"/>
      <c r="F33" s="95"/>
      <c r="G33" s="95"/>
    </row>
    <row r="34" spans="1:15" ht="9.75" customHeight="1" x14ac:dyDescent="0.25"/>
    <row r="35" spans="1:15" x14ac:dyDescent="0.25">
      <c r="A35" s="95" t="s">
        <v>82</v>
      </c>
      <c r="B35" s="95"/>
      <c r="C35" s="95"/>
      <c r="D35" s="95"/>
      <c r="E35" s="95"/>
      <c r="F35" s="95"/>
      <c r="G35" s="95"/>
    </row>
    <row r="36" spans="1:15" ht="12" customHeight="1" x14ac:dyDescent="0.25"/>
    <row r="37" spans="1:15" x14ac:dyDescent="0.25">
      <c r="A37" s="95" t="s">
        <v>26</v>
      </c>
      <c r="B37" s="95"/>
      <c r="C37" s="95"/>
      <c r="D37" s="95"/>
      <c r="E37" s="95"/>
      <c r="F37" s="95"/>
      <c r="G37" s="95"/>
      <c r="I37" s="95"/>
      <c r="J37" s="95"/>
      <c r="K37" s="95"/>
      <c r="L37" s="95"/>
      <c r="M37" s="95"/>
      <c r="N37" s="95"/>
      <c r="O37" s="95"/>
    </row>
    <row r="38" spans="1:15" ht="11.25" customHeight="1" x14ac:dyDescent="0.25"/>
    <row r="39" spans="1:15" x14ac:dyDescent="0.25">
      <c r="A39" s="110" t="s">
        <v>311</v>
      </c>
      <c r="B39" s="110"/>
      <c r="C39" s="110"/>
      <c r="D39" s="110"/>
      <c r="E39" s="110"/>
      <c r="F39" s="110"/>
      <c r="G39" s="110"/>
      <c r="I39" s="100"/>
      <c r="J39" s="100"/>
      <c r="K39" s="100"/>
      <c r="L39" s="100"/>
      <c r="M39" s="100"/>
      <c r="N39" s="100"/>
      <c r="O39" s="100"/>
    </row>
  </sheetData>
  <mergeCells count="24">
    <mergeCell ref="I16:K16"/>
    <mergeCell ref="A1:O1"/>
    <mergeCell ref="A2:O2"/>
    <mergeCell ref="A10:N10"/>
    <mergeCell ref="A12:N12"/>
    <mergeCell ref="A14:N14"/>
    <mergeCell ref="A26:O26"/>
    <mergeCell ref="A18:A19"/>
    <mergeCell ref="B18:B19"/>
    <mergeCell ref="C18:C19"/>
    <mergeCell ref="D18:D19"/>
    <mergeCell ref="E18:E19"/>
    <mergeCell ref="F18:I18"/>
    <mergeCell ref="J18:J19"/>
    <mergeCell ref="K18:K19"/>
    <mergeCell ref="L18:M18"/>
    <mergeCell ref="N18:O18"/>
    <mergeCell ref="A21:O21"/>
    <mergeCell ref="A33:G33"/>
    <mergeCell ref="A35:G35"/>
    <mergeCell ref="A37:G37"/>
    <mergeCell ref="I37:O37"/>
    <mergeCell ref="A39:G39"/>
    <mergeCell ref="I39:O39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O41"/>
  <sheetViews>
    <sheetView zoomScale="55" zoomScaleNormal="55" workbookViewId="0">
      <selection activeCell="A25" sqref="A25:XFD25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316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96" t="s">
        <v>86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</row>
    <row r="3" spans="1:15" x14ac:dyDescent="0.25">
      <c r="A3" s="7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7" t="s">
        <v>305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5" x14ac:dyDescent="0.25">
      <c r="A5" s="8" t="s">
        <v>41</v>
      </c>
      <c r="B5" s="8"/>
      <c r="C5" s="8"/>
      <c r="D5" s="8"/>
      <c r="E5" s="8"/>
      <c r="F5" s="8"/>
      <c r="G5" s="8"/>
      <c r="H5" s="8"/>
      <c r="I5" s="8"/>
      <c r="J5" s="3" t="s">
        <v>105</v>
      </c>
      <c r="K5" s="2"/>
      <c r="L5" s="2"/>
      <c r="M5" s="2"/>
      <c r="N5" s="2"/>
    </row>
    <row r="6" spans="1:15" x14ac:dyDescent="0.25">
      <c r="A6" s="6" t="s">
        <v>42</v>
      </c>
      <c r="F6" s="9"/>
      <c r="G6" s="9"/>
      <c r="H6" s="9"/>
      <c r="I6" s="9"/>
      <c r="J6" s="3"/>
      <c r="K6" s="3"/>
      <c r="L6" s="1"/>
      <c r="M6" s="1"/>
      <c r="N6" s="1"/>
    </row>
    <row r="7" spans="1:15" x14ac:dyDescent="0.25">
      <c r="A7" s="9" t="s">
        <v>140</v>
      </c>
      <c r="B7" s="9"/>
      <c r="C7" s="9"/>
      <c r="D7" s="9"/>
      <c r="E7" s="9"/>
      <c r="F7" s="9"/>
      <c r="G7" s="9"/>
      <c r="H7" s="9"/>
      <c r="I7" s="9"/>
      <c r="J7" s="3" t="s">
        <v>64</v>
      </c>
      <c r="K7" s="1"/>
      <c r="L7" s="1"/>
      <c r="M7" s="1"/>
      <c r="N7" s="1"/>
    </row>
    <row r="8" spans="1:15" x14ac:dyDescent="0.25">
      <c r="A8" s="9" t="s">
        <v>43</v>
      </c>
      <c r="B8" s="9"/>
      <c r="C8" s="9"/>
      <c r="D8" s="9"/>
      <c r="E8" s="9"/>
      <c r="F8" s="9"/>
      <c r="G8" s="9"/>
      <c r="H8" s="9"/>
      <c r="I8" s="9"/>
      <c r="J8" s="3" t="s">
        <v>106</v>
      </c>
      <c r="K8" s="1"/>
      <c r="L8" s="1"/>
      <c r="M8" s="1"/>
      <c r="N8" s="1"/>
    </row>
    <row r="9" spans="1:15" x14ac:dyDescent="0.25">
      <c r="A9" s="9" t="s">
        <v>1</v>
      </c>
      <c r="B9" s="9"/>
      <c r="C9" s="9"/>
      <c r="D9" s="9"/>
      <c r="E9" s="9"/>
      <c r="J9" s="3"/>
      <c r="K9" s="3"/>
      <c r="L9" s="3"/>
      <c r="M9" s="3"/>
      <c r="N9" s="3"/>
    </row>
    <row r="10" spans="1:15" x14ac:dyDescent="0.25">
      <c r="A10" s="97" t="s">
        <v>69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</row>
    <row r="11" spans="1:15" x14ac:dyDescent="0.25">
      <c r="A11" s="10" t="s">
        <v>70</v>
      </c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</row>
    <row r="12" spans="1:15" x14ac:dyDescent="0.25">
      <c r="A12" s="98" t="s">
        <v>71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A13" s="6" t="s">
        <v>43</v>
      </c>
      <c r="B13" s="82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</row>
    <row r="14" spans="1:15" x14ac:dyDescent="0.25">
      <c r="A14" s="98" t="s">
        <v>72</v>
      </c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</row>
    <row r="15" spans="1:15" x14ac:dyDescent="0.25">
      <c r="A15" s="82" t="s">
        <v>73</v>
      </c>
      <c r="B15" s="82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</row>
    <row r="16" spans="1:15" x14ac:dyDescent="0.25">
      <c r="I16" s="98" t="s">
        <v>18</v>
      </c>
      <c r="J16" s="98"/>
      <c r="K16" s="98"/>
      <c r="L16" s="6" t="s">
        <v>24</v>
      </c>
    </row>
    <row r="17" spans="1:15" x14ac:dyDescent="0.25">
      <c r="A17" s="6" t="s">
        <v>299</v>
      </c>
      <c r="I17" s="6" t="s">
        <v>19</v>
      </c>
      <c r="L17" s="82">
        <v>4</v>
      </c>
    </row>
    <row r="18" spans="1:15" ht="16.5" customHeight="1" x14ac:dyDescent="0.25">
      <c r="A18" s="104" t="s">
        <v>2</v>
      </c>
      <c r="B18" s="104" t="s">
        <v>3</v>
      </c>
      <c r="C18" s="104" t="s">
        <v>4</v>
      </c>
      <c r="D18" s="104" t="s">
        <v>5</v>
      </c>
      <c r="E18" s="104" t="s">
        <v>6</v>
      </c>
      <c r="F18" s="101" t="s">
        <v>7</v>
      </c>
      <c r="G18" s="102"/>
      <c r="H18" s="102"/>
      <c r="I18" s="103"/>
      <c r="J18" s="104" t="s">
        <v>12</v>
      </c>
      <c r="K18" s="104" t="s">
        <v>13</v>
      </c>
      <c r="L18" s="101" t="s">
        <v>14</v>
      </c>
      <c r="M18" s="103"/>
      <c r="N18" s="101" t="s">
        <v>15</v>
      </c>
      <c r="O18" s="103"/>
    </row>
    <row r="19" spans="1:15" ht="27.6" x14ac:dyDescent="0.25">
      <c r="A19" s="105"/>
      <c r="B19" s="105"/>
      <c r="C19" s="105"/>
      <c r="D19" s="105"/>
      <c r="E19" s="105"/>
      <c r="F19" s="4" t="s">
        <v>8</v>
      </c>
      <c r="G19" s="4" t="s">
        <v>9</v>
      </c>
      <c r="H19" s="4" t="s">
        <v>10</v>
      </c>
      <c r="I19" s="4" t="s">
        <v>11</v>
      </c>
      <c r="J19" s="105"/>
      <c r="K19" s="105"/>
      <c r="L19" s="4" t="s">
        <v>16</v>
      </c>
      <c r="M19" s="4" t="s">
        <v>17</v>
      </c>
      <c r="N19" s="4" t="s">
        <v>16</v>
      </c>
      <c r="O19" s="4" t="s">
        <v>17</v>
      </c>
    </row>
    <row r="20" spans="1:15" x14ac:dyDescent="0.25">
      <c r="A20" s="4">
        <v>1</v>
      </c>
      <c r="B20" s="4">
        <v>2</v>
      </c>
      <c r="C20" s="4">
        <v>3</v>
      </c>
      <c r="D20" s="4">
        <v>4</v>
      </c>
      <c r="E20" s="4">
        <v>5</v>
      </c>
      <c r="F20" s="4">
        <v>6</v>
      </c>
      <c r="G20" s="4">
        <v>7</v>
      </c>
      <c r="H20" s="4">
        <v>8</v>
      </c>
      <c r="I20" s="4">
        <v>9</v>
      </c>
      <c r="J20" s="4">
        <v>10</v>
      </c>
      <c r="K20" s="4">
        <v>11</v>
      </c>
      <c r="L20" s="4">
        <v>12</v>
      </c>
      <c r="M20" s="4">
        <v>13</v>
      </c>
      <c r="N20" s="4">
        <v>14</v>
      </c>
      <c r="O20" s="4">
        <v>15</v>
      </c>
    </row>
    <row r="21" spans="1:15" x14ac:dyDescent="0.25">
      <c r="A21" s="106" t="s">
        <v>20</v>
      </c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8"/>
    </row>
    <row r="22" spans="1:15" ht="32.25" customHeight="1" x14ac:dyDescent="0.25">
      <c r="A22" s="11" t="s">
        <v>80</v>
      </c>
      <c r="B22" s="12"/>
      <c r="C22" s="4"/>
      <c r="D22" s="4"/>
      <c r="E22" s="4"/>
      <c r="F22" s="4"/>
      <c r="G22" s="13"/>
      <c r="H22" s="13"/>
      <c r="I22" s="13"/>
      <c r="J22" s="14"/>
      <c r="K22" s="14"/>
      <c r="L22" s="14"/>
      <c r="M22" s="14"/>
      <c r="N22" s="14"/>
      <c r="O22" s="14"/>
    </row>
    <row r="23" spans="1:15" ht="39" customHeight="1" x14ac:dyDescent="0.25">
      <c r="A23" s="11" t="s">
        <v>313</v>
      </c>
      <c r="B23" s="4">
        <v>1</v>
      </c>
      <c r="C23" s="4" t="s">
        <v>27</v>
      </c>
      <c r="D23" s="5">
        <v>2.5</v>
      </c>
      <c r="E23" s="5">
        <v>5</v>
      </c>
      <c r="F23" s="15">
        <v>37</v>
      </c>
      <c r="G23" s="13">
        <v>7110.6</v>
      </c>
      <c r="H23" s="13">
        <v>81.400000000000048</v>
      </c>
      <c r="I23" s="13">
        <v>7029.2000000000007</v>
      </c>
      <c r="J23" s="13"/>
      <c r="K23" s="13">
        <f>+I23*(108.5/(100+E23))</f>
        <v>7263.506666666668</v>
      </c>
      <c r="L23" s="13"/>
      <c r="M23" s="13"/>
      <c r="N23" s="13"/>
      <c r="O23" s="13"/>
    </row>
    <row r="24" spans="1:15" ht="39" customHeight="1" x14ac:dyDescent="0.25">
      <c r="A24" s="11" t="s">
        <v>314</v>
      </c>
      <c r="B24" s="4">
        <v>1</v>
      </c>
      <c r="C24" s="4" t="s">
        <v>59</v>
      </c>
      <c r="D24" s="5">
        <v>3</v>
      </c>
      <c r="E24" s="5">
        <v>5</v>
      </c>
      <c r="F24" s="15">
        <v>31</v>
      </c>
      <c r="G24" s="13">
        <v>6210.8000000000011</v>
      </c>
      <c r="H24" s="13">
        <v>68.200000000000031</v>
      </c>
      <c r="I24" s="13">
        <v>6142.6000000000013</v>
      </c>
      <c r="J24" s="13"/>
      <c r="K24" s="13">
        <f>+I24*(108.5/(100+E24))</f>
        <v>6347.3533333333353</v>
      </c>
      <c r="L24" s="13"/>
      <c r="M24" s="13"/>
      <c r="N24" s="13"/>
      <c r="O24" s="13"/>
    </row>
    <row r="25" spans="1:15" ht="39" customHeight="1" x14ac:dyDescent="0.25">
      <c r="A25" s="11" t="s">
        <v>315</v>
      </c>
      <c r="B25" s="4">
        <v>1</v>
      </c>
      <c r="C25" s="4" t="s">
        <v>59</v>
      </c>
      <c r="D25" s="5">
        <v>3</v>
      </c>
      <c r="E25" s="5">
        <v>5</v>
      </c>
      <c r="F25" s="15">
        <v>28</v>
      </c>
      <c r="G25" s="13">
        <v>5775.2999999999984</v>
      </c>
      <c r="H25" s="13">
        <v>61.60000000000003</v>
      </c>
      <c r="I25" s="13">
        <v>5713.7</v>
      </c>
      <c r="J25" s="13"/>
      <c r="K25" s="13">
        <f>+I25*(108.5/(100+E25))</f>
        <v>5904.1566666666668</v>
      </c>
      <c r="L25" s="13"/>
      <c r="M25" s="13"/>
      <c r="N25" s="13"/>
      <c r="O25" s="13"/>
    </row>
    <row r="26" spans="1:15" ht="30.75" customHeight="1" x14ac:dyDescent="0.25">
      <c r="A26" s="16" t="s">
        <v>21</v>
      </c>
      <c r="B26" s="4"/>
      <c r="C26" s="4"/>
      <c r="D26" s="4"/>
      <c r="E26" s="13"/>
      <c r="F26" s="17">
        <f>SUM(F23:F25)</f>
        <v>96</v>
      </c>
      <c r="G26" s="17">
        <f>SUM(G23:G25)</f>
        <v>19096.7</v>
      </c>
      <c r="H26" s="17">
        <f>SUM(H23:H25)</f>
        <v>211.2000000000001</v>
      </c>
      <c r="I26" s="17">
        <f>SUM(I23:I25)</f>
        <v>18885.500000000004</v>
      </c>
      <c r="J26" s="17"/>
      <c r="K26" s="17">
        <f>SUM(K23:K25)</f>
        <v>19515.01666666667</v>
      </c>
      <c r="L26" s="18"/>
      <c r="M26" s="13"/>
      <c r="N26" s="13"/>
      <c r="O26" s="13"/>
    </row>
    <row r="27" spans="1:15" ht="14.25" customHeight="1" x14ac:dyDescent="0.25">
      <c r="A27" s="19"/>
      <c r="B27" s="20"/>
      <c r="C27" s="20"/>
      <c r="D27" s="20"/>
      <c r="E27" s="21"/>
      <c r="F27" s="22"/>
      <c r="G27" s="22"/>
      <c r="H27" s="22"/>
      <c r="I27" s="22"/>
      <c r="J27" s="22"/>
      <c r="K27" s="22"/>
      <c r="L27" s="22"/>
      <c r="M27" s="21"/>
      <c r="N27" s="21"/>
      <c r="O27" s="21"/>
    </row>
    <row r="28" spans="1:15" ht="14.4" x14ac:dyDescent="0.3">
      <c r="A28" s="109" t="s">
        <v>56</v>
      </c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</row>
    <row r="29" spans="1:15" ht="11.25" customHeight="1" x14ac:dyDescent="0.25"/>
    <row r="30" spans="1:15" x14ac:dyDescent="0.25">
      <c r="A30" s="6" t="s">
        <v>22</v>
      </c>
      <c r="D30" s="24">
        <f>+I26</f>
        <v>18885.500000000004</v>
      </c>
    </row>
    <row r="31" spans="1:15" x14ac:dyDescent="0.25">
      <c r="D31" s="25"/>
      <c r="G31" s="23"/>
      <c r="H31" s="23"/>
      <c r="I31" s="23"/>
      <c r="J31" s="23"/>
      <c r="K31" s="23"/>
    </row>
    <row r="32" spans="1:15" x14ac:dyDescent="0.25">
      <c r="A32" s="6" t="s">
        <v>23</v>
      </c>
      <c r="D32" s="24">
        <f>+G26</f>
        <v>19096.7</v>
      </c>
    </row>
    <row r="33" spans="1:15" ht="11.25" customHeight="1" x14ac:dyDescent="0.25">
      <c r="D33" s="24"/>
    </row>
    <row r="34" spans="1:15" ht="10.5" customHeight="1" x14ac:dyDescent="0.25"/>
    <row r="35" spans="1:15" x14ac:dyDescent="0.25">
      <c r="A35" s="95" t="s">
        <v>25</v>
      </c>
      <c r="B35" s="95"/>
      <c r="C35" s="95"/>
      <c r="D35" s="95"/>
      <c r="E35" s="95"/>
      <c r="F35" s="95"/>
      <c r="G35" s="95"/>
    </row>
    <row r="36" spans="1:15" ht="9.75" customHeight="1" x14ac:dyDescent="0.25"/>
    <row r="37" spans="1:15" x14ac:dyDescent="0.25">
      <c r="A37" s="95" t="s">
        <v>82</v>
      </c>
      <c r="B37" s="95"/>
      <c r="C37" s="95"/>
      <c r="D37" s="95"/>
      <c r="E37" s="95"/>
      <c r="F37" s="95"/>
      <c r="G37" s="95"/>
    </row>
    <row r="38" spans="1:15" ht="12" customHeight="1" x14ac:dyDescent="0.25"/>
    <row r="39" spans="1:15" x14ac:dyDescent="0.25">
      <c r="A39" s="95" t="s">
        <v>26</v>
      </c>
      <c r="B39" s="95"/>
      <c r="C39" s="95"/>
      <c r="D39" s="95"/>
      <c r="E39" s="95"/>
      <c r="F39" s="95"/>
      <c r="G39" s="95"/>
      <c r="I39" s="95"/>
      <c r="J39" s="95"/>
      <c r="K39" s="95"/>
      <c r="L39" s="95"/>
      <c r="M39" s="95"/>
      <c r="N39" s="95"/>
      <c r="O39" s="95"/>
    </row>
    <row r="40" spans="1:15" ht="11.25" customHeight="1" x14ac:dyDescent="0.25"/>
    <row r="41" spans="1:15" x14ac:dyDescent="0.25">
      <c r="A41" s="110" t="s">
        <v>317</v>
      </c>
      <c r="B41" s="110"/>
      <c r="C41" s="110"/>
      <c r="D41" s="110"/>
      <c r="E41" s="110"/>
      <c r="F41" s="110"/>
      <c r="G41" s="110"/>
      <c r="I41" s="100"/>
      <c r="J41" s="100"/>
      <c r="K41" s="100"/>
      <c r="L41" s="100"/>
      <c r="M41" s="100"/>
      <c r="N41" s="100"/>
      <c r="O41" s="100"/>
    </row>
  </sheetData>
  <mergeCells count="24">
    <mergeCell ref="I16:K16"/>
    <mergeCell ref="A1:O1"/>
    <mergeCell ref="A2:O2"/>
    <mergeCell ref="A10:N10"/>
    <mergeCell ref="A12:N12"/>
    <mergeCell ref="A14:N14"/>
    <mergeCell ref="A28:O28"/>
    <mergeCell ref="A18:A19"/>
    <mergeCell ref="B18:B19"/>
    <mergeCell ref="C18:C19"/>
    <mergeCell ref="D18:D19"/>
    <mergeCell ref="E18:E19"/>
    <mergeCell ref="F18:I18"/>
    <mergeCell ref="J18:J19"/>
    <mergeCell ref="K18:K19"/>
    <mergeCell ref="L18:M18"/>
    <mergeCell ref="N18:O18"/>
    <mergeCell ref="A21:O21"/>
    <mergeCell ref="A35:G35"/>
    <mergeCell ref="A37:G37"/>
    <mergeCell ref="A39:G39"/>
    <mergeCell ref="I39:O39"/>
    <mergeCell ref="A41:G41"/>
    <mergeCell ref="I41:O41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O37"/>
  <sheetViews>
    <sheetView zoomScale="55" zoomScaleNormal="55" workbookViewId="0">
      <selection activeCell="F27" sqref="F27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318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5" x14ac:dyDescent="0.25">
      <c r="A3" s="7" t="s">
        <v>305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8" t="s">
        <v>41</v>
      </c>
      <c r="B4" s="8"/>
      <c r="C4" s="8"/>
      <c r="D4" s="8"/>
      <c r="E4" s="8"/>
      <c r="F4" s="8"/>
      <c r="G4" s="8"/>
      <c r="H4" s="8"/>
      <c r="I4" s="8"/>
      <c r="J4" s="1" t="s">
        <v>263</v>
      </c>
      <c r="K4" s="2"/>
      <c r="L4" s="2"/>
      <c r="M4" s="2"/>
      <c r="N4" s="2"/>
    </row>
    <row r="5" spans="1:15" x14ac:dyDescent="0.25">
      <c r="A5" s="6" t="s">
        <v>42</v>
      </c>
      <c r="F5" s="9"/>
      <c r="G5" s="9"/>
      <c r="H5" s="9"/>
      <c r="I5" s="9"/>
      <c r="J5" s="3"/>
      <c r="K5" s="3"/>
      <c r="L5" s="1"/>
      <c r="M5" s="1"/>
      <c r="N5" s="1"/>
    </row>
    <row r="6" spans="1:15" x14ac:dyDescent="0.25">
      <c r="A6" s="9" t="s">
        <v>68</v>
      </c>
      <c r="B6" s="9"/>
      <c r="C6" s="9"/>
      <c r="D6" s="9"/>
      <c r="E6" s="9"/>
      <c r="F6" s="9"/>
      <c r="G6" s="9"/>
      <c r="H6" s="9"/>
      <c r="I6" s="9"/>
      <c r="J6" s="1" t="s">
        <v>262</v>
      </c>
      <c r="K6" s="1"/>
      <c r="L6" s="1"/>
      <c r="M6" s="1"/>
      <c r="N6" s="1"/>
    </row>
    <row r="7" spans="1:15" x14ac:dyDescent="0.25">
      <c r="A7" s="9" t="s">
        <v>43</v>
      </c>
      <c r="B7" s="9"/>
      <c r="C7" s="9"/>
      <c r="D7" s="9"/>
      <c r="E7" s="9"/>
      <c r="F7" s="9"/>
      <c r="G7" s="9"/>
      <c r="H7" s="9"/>
      <c r="I7" s="9"/>
      <c r="J7" s="1" t="s">
        <v>264</v>
      </c>
      <c r="K7" s="1"/>
      <c r="L7" s="1"/>
      <c r="M7" s="1"/>
      <c r="N7" s="1"/>
    </row>
    <row r="8" spans="1:15" x14ac:dyDescent="0.25">
      <c r="A8" s="9" t="s">
        <v>1</v>
      </c>
      <c r="B8" s="9"/>
      <c r="C8" s="9"/>
      <c r="D8" s="9"/>
      <c r="E8" s="9"/>
      <c r="J8" s="3"/>
      <c r="K8" s="3"/>
      <c r="L8" s="3"/>
      <c r="M8" s="3"/>
      <c r="N8" s="3"/>
    </row>
    <row r="9" spans="1:15" x14ac:dyDescent="0.25">
      <c r="A9" s="97" t="s">
        <v>44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</row>
    <row r="10" spans="1:15" x14ac:dyDescent="0.25">
      <c r="A10" s="10" t="s">
        <v>45</v>
      </c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</row>
    <row r="11" spans="1:15" x14ac:dyDescent="0.25">
      <c r="A11" s="98" t="s">
        <v>140</v>
      </c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</row>
    <row r="12" spans="1:15" x14ac:dyDescent="0.25">
      <c r="A12" s="98" t="s">
        <v>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I13" s="98"/>
      <c r="J13" s="98"/>
      <c r="K13" s="98"/>
    </row>
    <row r="14" spans="1:15" x14ac:dyDescent="0.25">
      <c r="A14" s="6" t="s">
        <v>294</v>
      </c>
      <c r="L14" s="84"/>
    </row>
    <row r="15" spans="1:15" ht="16.5" customHeight="1" x14ac:dyDescent="0.25">
      <c r="A15" s="104" t="s">
        <v>2</v>
      </c>
      <c r="B15" s="104" t="s">
        <v>3</v>
      </c>
      <c r="C15" s="104" t="s">
        <v>4</v>
      </c>
      <c r="D15" s="104" t="s">
        <v>5</v>
      </c>
      <c r="E15" s="104" t="s">
        <v>6</v>
      </c>
      <c r="F15" s="101" t="s">
        <v>7</v>
      </c>
      <c r="G15" s="102"/>
      <c r="H15" s="102"/>
      <c r="I15" s="103"/>
      <c r="J15" s="104" t="s">
        <v>12</v>
      </c>
      <c r="K15" s="104" t="s">
        <v>13</v>
      </c>
      <c r="L15" s="101" t="s">
        <v>14</v>
      </c>
      <c r="M15" s="103"/>
      <c r="N15" s="101" t="s">
        <v>15</v>
      </c>
      <c r="O15" s="103"/>
    </row>
    <row r="16" spans="1:15" ht="27.6" x14ac:dyDescent="0.25">
      <c r="A16" s="105"/>
      <c r="B16" s="105"/>
      <c r="C16" s="105"/>
      <c r="D16" s="105"/>
      <c r="E16" s="105"/>
      <c r="F16" s="4" t="s">
        <v>8</v>
      </c>
      <c r="G16" s="4" t="s">
        <v>9</v>
      </c>
      <c r="H16" s="4" t="s">
        <v>10</v>
      </c>
      <c r="I16" s="4" t="s">
        <v>11</v>
      </c>
      <c r="J16" s="105"/>
      <c r="K16" s="105"/>
      <c r="L16" s="4" t="s">
        <v>16</v>
      </c>
      <c r="M16" s="4" t="s">
        <v>17</v>
      </c>
      <c r="N16" s="4" t="s">
        <v>16</v>
      </c>
      <c r="O16" s="4" t="s">
        <v>17</v>
      </c>
    </row>
    <row r="17" spans="1:15" x14ac:dyDescent="0.25">
      <c r="A17" s="4">
        <v>1</v>
      </c>
      <c r="B17" s="4">
        <v>2</v>
      </c>
      <c r="C17" s="4">
        <v>3</v>
      </c>
      <c r="D17" s="4">
        <v>4</v>
      </c>
      <c r="E17" s="4">
        <v>5</v>
      </c>
      <c r="F17" s="4">
        <v>6</v>
      </c>
      <c r="G17" s="4">
        <v>7</v>
      </c>
      <c r="H17" s="4">
        <v>8</v>
      </c>
      <c r="I17" s="4">
        <v>9</v>
      </c>
      <c r="J17" s="4">
        <v>10</v>
      </c>
      <c r="K17" s="4">
        <v>11</v>
      </c>
      <c r="L17" s="4">
        <v>12</v>
      </c>
      <c r="M17" s="4">
        <v>13</v>
      </c>
      <c r="N17" s="4">
        <v>14</v>
      </c>
      <c r="O17" s="4">
        <v>15</v>
      </c>
    </row>
    <row r="18" spans="1:15" x14ac:dyDescent="0.25">
      <c r="A18" s="106" t="s">
        <v>20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8"/>
    </row>
    <row r="19" spans="1:15" ht="32.25" customHeight="1" x14ac:dyDescent="0.25">
      <c r="A19" s="11" t="s">
        <v>80</v>
      </c>
      <c r="B19" s="12"/>
      <c r="C19" s="4"/>
      <c r="D19" s="4"/>
      <c r="E19" s="4"/>
      <c r="F19" s="4"/>
      <c r="G19" s="13"/>
      <c r="H19" s="13"/>
      <c r="I19" s="13"/>
      <c r="J19" s="14"/>
      <c r="K19" s="14"/>
      <c r="L19" s="14"/>
      <c r="M19" s="14"/>
      <c r="N19" s="14"/>
      <c r="O19" s="14"/>
    </row>
    <row r="20" spans="1:15" ht="45.75" customHeight="1" x14ac:dyDescent="0.25">
      <c r="A20" s="11" t="s">
        <v>330</v>
      </c>
      <c r="B20" s="4">
        <v>3</v>
      </c>
      <c r="C20" s="4" t="s">
        <v>59</v>
      </c>
      <c r="D20" s="5">
        <v>5.5</v>
      </c>
      <c r="E20" s="5">
        <v>5</v>
      </c>
      <c r="F20" s="15">
        <v>99</v>
      </c>
      <c r="G20" s="13">
        <v>21418.800000000014</v>
      </c>
      <c r="H20" s="13">
        <v>237.60000000000039</v>
      </c>
      <c r="I20" s="13">
        <v>21181.199999999993</v>
      </c>
      <c r="J20" s="13"/>
      <c r="K20" s="13">
        <f>+I20*(108.5/(100+E20))</f>
        <v>21887.239999999994</v>
      </c>
      <c r="L20" s="13"/>
      <c r="M20" s="13"/>
      <c r="N20" s="13"/>
      <c r="O20" s="13"/>
    </row>
    <row r="21" spans="1:15" ht="45.75" customHeight="1" x14ac:dyDescent="0.25">
      <c r="A21" s="11" t="s">
        <v>319</v>
      </c>
      <c r="B21" s="4">
        <v>4</v>
      </c>
      <c r="C21" s="4" t="s">
        <v>27</v>
      </c>
      <c r="D21" s="5">
        <v>6</v>
      </c>
      <c r="E21" s="5">
        <v>5</v>
      </c>
      <c r="F21" s="15">
        <v>11</v>
      </c>
      <c r="G21" s="13">
        <v>2307</v>
      </c>
      <c r="H21" s="13">
        <v>26.399999999999995</v>
      </c>
      <c r="I21" s="13">
        <v>2280.6000000000004</v>
      </c>
      <c r="J21" s="13"/>
      <c r="K21" s="13">
        <f>+I21*(108.5/(100+E21))</f>
        <v>2356.6200000000008</v>
      </c>
      <c r="L21" s="13"/>
      <c r="M21" s="13"/>
      <c r="N21" s="13"/>
      <c r="O21" s="13"/>
    </row>
    <row r="22" spans="1:15" ht="30.75" customHeight="1" x14ac:dyDescent="0.25">
      <c r="A22" s="16" t="s">
        <v>21</v>
      </c>
      <c r="B22" s="4"/>
      <c r="C22" s="4"/>
      <c r="D22" s="4"/>
      <c r="E22" s="13"/>
      <c r="F22" s="17">
        <f>SUM(F20:F21)</f>
        <v>110</v>
      </c>
      <c r="G22" s="17">
        <f>SUM(G20:G21)</f>
        <v>23725.800000000014</v>
      </c>
      <c r="H22" s="17">
        <f>SUM(H20:H21)</f>
        <v>264.0000000000004</v>
      </c>
      <c r="I22" s="17">
        <f>SUM(I20:I21)</f>
        <v>23461.799999999996</v>
      </c>
      <c r="J22" s="17"/>
      <c r="K22" s="17">
        <f>SUM(K20:K21)</f>
        <v>24243.859999999993</v>
      </c>
      <c r="L22" s="18"/>
      <c r="M22" s="13"/>
      <c r="N22" s="13"/>
      <c r="O22" s="13"/>
    </row>
    <row r="23" spans="1:15" ht="14.25" customHeight="1" x14ac:dyDescent="0.25">
      <c r="A23" s="19"/>
      <c r="B23" s="20"/>
      <c r="C23" s="20"/>
      <c r="D23" s="20"/>
      <c r="E23" s="21"/>
      <c r="F23" s="22"/>
      <c r="G23" s="22"/>
      <c r="H23" s="22"/>
      <c r="I23" s="22"/>
      <c r="J23" s="22"/>
      <c r="K23" s="22"/>
      <c r="L23" s="22"/>
      <c r="M23" s="21"/>
      <c r="N23" s="21"/>
      <c r="O23" s="21"/>
    </row>
    <row r="24" spans="1:15" ht="14.4" x14ac:dyDescent="0.3">
      <c r="A24" s="109" t="s">
        <v>302</v>
      </c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</row>
    <row r="25" spans="1:15" ht="11.25" customHeight="1" x14ac:dyDescent="0.25"/>
    <row r="26" spans="1:15" x14ac:dyDescent="0.25">
      <c r="A26" s="6" t="s">
        <v>22</v>
      </c>
      <c r="D26" s="24">
        <f>+I22</f>
        <v>23461.799999999996</v>
      </c>
    </row>
    <row r="27" spans="1:15" x14ac:dyDescent="0.25">
      <c r="D27" s="25"/>
      <c r="G27" s="23"/>
      <c r="H27" s="23"/>
      <c r="I27" s="23"/>
      <c r="J27" s="23"/>
      <c r="K27" s="23"/>
    </row>
    <row r="28" spans="1:15" x14ac:dyDescent="0.25">
      <c r="A28" s="6" t="s">
        <v>23</v>
      </c>
      <c r="D28" s="24">
        <f>+K22</f>
        <v>24243.859999999993</v>
      </c>
    </row>
    <row r="29" spans="1:15" ht="11.25" customHeight="1" x14ac:dyDescent="0.25">
      <c r="D29" s="24"/>
    </row>
    <row r="30" spans="1:15" ht="10.5" customHeight="1" x14ac:dyDescent="0.25"/>
    <row r="31" spans="1:15" x14ac:dyDescent="0.25">
      <c r="A31" s="95" t="s">
        <v>25</v>
      </c>
      <c r="B31" s="95"/>
      <c r="C31" s="95"/>
      <c r="D31" s="95"/>
      <c r="E31" s="95"/>
      <c r="F31" s="95"/>
      <c r="G31" s="95"/>
    </row>
    <row r="32" spans="1:15" ht="9.75" customHeight="1" x14ac:dyDescent="0.25"/>
    <row r="33" spans="1:15" x14ac:dyDescent="0.25">
      <c r="A33" s="95" t="s">
        <v>82</v>
      </c>
      <c r="B33" s="95"/>
      <c r="C33" s="95"/>
      <c r="D33" s="95"/>
      <c r="E33" s="95"/>
      <c r="F33" s="95"/>
      <c r="G33" s="95"/>
    </row>
    <row r="34" spans="1:15" ht="12" customHeight="1" x14ac:dyDescent="0.25"/>
    <row r="35" spans="1:15" x14ac:dyDescent="0.25">
      <c r="A35" s="95" t="s">
        <v>26</v>
      </c>
      <c r="B35" s="95"/>
      <c r="C35" s="95"/>
      <c r="D35" s="95"/>
      <c r="E35" s="95"/>
      <c r="F35" s="95"/>
      <c r="G35" s="95"/>
      <c r="I35" s="95"/>
      <c r="J35" s="95"/>
      <c r="K35" s="95"/>
      <c r="L35" s="95"/>
      <c r="M35" s="95"/>
      <c r="N35" s="95"/>
      <c r="O35" s="95"/>
    </row>
    <row r="36" spans="1:15" ht="11.25" customHeight="1" x14ac:dyDescent="0.25"/>
    <row r="37" spans="1:15" x14ac:dyDescent="0.25">
      <c r="A37" s="110" t="s">
        <v>265</v>
      </c>
      <c r="B37" s="110"/>
      <c r="C37" s="110"/>
      <c r="D37" s="110"/>
      <c r="E37" s="110"/>
      <c r="F37" s="110"/>
      <c r="G37" s="110"/>
      <c r="I37" s="100" t="s">
        <v>46</v>
      </c>
      <c r="J37" s="100"/>
      <c r="K37" s="100"/>
      <c r="L37" s="100"/>
      <c r="M37" s="100"/>
      <c r="N37" s="100"/>
      <c r="O37" s="100"/>
    </row>
  </sheetData>
  <mergeCells count="23">
    <mergeCell ref="A35:G35"/>
    <mergeCell ref="I35:O35"/>
    <mergeCell ref="A37:G37"/>
    <mergeCell ref="I37:O37"/>
    <mergeCell ref="F15:I15"/>
    <mergeCell ref="J15:J16"/>
    <mergeCell ref="K15:K16"/>
    <mergeCell ref="L15:M15"/>
    <mergeCell ref="N15:O15"/>
    <mergeCell ref="A18:O18"/>
    <mergeCell ref="A15:A16"/>
    <mergeCell ref="B15:B16"/>
    <mergeCell ref="C15:C16"/>
    <mergeCell ref="D15:D16"/>
    <mergeCell ref="E15:E16"/>
    <mergeCell ref="A24:O24"/>
    <mergeCell ref="A31:G31"/>
    <mergeCell ref="A33:G33"/>
    <mergeCell ref="A1:O1"/>
    <mergeCell ref="A9:N9"/>
    <mergeCell ref="A11:N11"/>
    <mergeCell ref="A12:N12"/>
    <mergeCell ref="I13:K13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O37"/>
  <sheetViews>
    <sheetView topLeftCell="A13" zoomScale="70" zoomScaleNormal="70" workbookViewId="0">
      <selection activeCell="A37" sqref="A37:G37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322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5" x14ac:dyDescent="0.25">
      <c r="A3" s="7" t="s">
        <v>305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8" t="s">
        <v>41</v>
      </c>
      <c r="B4" s="8"/>
      <c r="C4" s="8"/>
      <c r="D4" s="8"/>
      <c r="E4" s="8"/>
      <c r="F4" s="8"/>
      <c r="G4" s="8"/>
      <c r="H4" s="8"/>
      <c r="I4" s="8"/>
      <c r="J4" s="3" t="s">
        <v>48</v>
      </c>
      <c r="K4" s="2"/>
      <c r="L4" s="2"/>
      <c r="M4" s="2"/>
      <c r="N4" s="2"/>
    </row>
    <row r="5" spans="1:15" x14ac:dyDescent="0.25">
      <c r="A5" s="6" t="s">
        <v>42</v>
      </c>
      <c r="F5" s="9"/>
      <c r="G5" s="9"/>
      <c r="H5" s="9"/>
      <c r="I5" s="9"/>
      <c r="J5" s="3"/>
      <c r="K5" s="3"/>
      <c r="L5" s="1"/>
      <c r="M5" s="1"/>
      <c r="N5" s="1"/>
    </row>
    <row r="6" spans="1:15" x14ac:dyDescent="0.25">
      <c r="A6" s="9" t="s">
        <v>68</v>
      </c>
      <c r="B6" s="9"/>
      <c r="C6" s="9"/>
      <c r="D6" s="9"/>
      <c r="E6" s="9"/>
      <c r="F6" s="9"/>
      <c r="G6" s="9"/>
      <c r="H6" s="9"/>
      <c r="I6" s="9"/>
      <c r="J6" s="3" t="s">
        <v>51</v>
      </c>
      <c r="K6" s="1"/>
      <c r="L6" s="1"/>
      <c r="M6" s="1"/>
      <c r="N6" s="1"/>
    </row>
    <row r="7" spans="1:15" x14ac:dyDescent="0.25">
      <c r="A7" s="9" t="s">
        <v>43</v>
      </c>
      <c r="B7" s="9"/>
      <c r="C7" s="9"/>
      <c r="D7" s="9"/>
      <c r="E7" s="9"/>
      <c r="F7" s="9"/>
      <c r="G7" s="9"/>
      <c r="H7" s="9"/>
      <c r="I7" s="9"/>
      <c r="J7" s="3" t="s">
        <v>49</v>
      </c>
      <c r="K7" s="1"/>
      <c r="L7" s="1"/>
      <c r="M7" s="1"/>
      <c r="N7" s="1"/>
    </row>
    <row r="8" spans="1:15" x14ac:dyDescent="0.25">
      <c r="A8" s="9" t="s">
        <v>1</v>
      </c>
      <c r="B8" s="9"/>
      <c r="C8" s="9"/>
      <c r="D8" s="9"/>
      <c r="E8" s="9"/>
      <c r="J8" s="3"/>
      <c r="K8" s="3"/>
      <c r="L8" s="3"/>
      <c r="M8" s="3"/>
      <c r="N8" s="3"/>
    </row>
    <row r="9" spans="1:15" x14ac:dyDescent="0.25">
      <c r="A9" s="97" t="s">
        <v>44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</row>
    <row r="10" spans="1:15" x14ac:dyDescent="0.25">
      <c r="A10" s="10" t="s">
        <v>45</v>
      </c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</row>
    <row r="11" spans="1:15" x14ac:dyDescent="0.25">
      <c r="A11" s="98" t="s">
        <v>140</v>
      </c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</row>
    <row r="12" spans="1:15" x14ac:dyDescent="0.25">
      <c r="A12" s="98" t="s">
        <v>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I13" s="98"/>
      <c r="J13" s="98"/>
      <c r="K13" s="98"/>
    </row>
    <row r="14" spans="1:15" x14ac:dyDescent="0.25">
      <c r="A14" s="6" t="s">
        <v>294</v>
      </c>
      <c r="L14" s="86"/>
    </row>
    <row r="15" spans="1:15" ht="16.5" customHeight="1" x14ac:dyDescent="0.25">
      <c r="A15" s="104" t="s">
        <v>2</v>
      </c>
      <c r="B15" s="104" t="s">
        <v>3</v>
      </c>
      <c r="C15" s="104" t="s">
        <v>4</v>
      </c>
      <c r="D15" s="104" t="s">
        <v>5</v>
      </c>
      <c r="E15" s="104" t="s">
        <v>6</v>
      </c>
      <c r="F15" s="101" t="s">
        <v>7</v>
      </c>
      <c r="G15" s="102"/>
      <c r="H15" s="102"/>
      <c r="I15" s="103"/>
      <c r="J15" s="104" t="s">
        <v>12</v>
      </c>
      <c r="K15" s="104" t="s">
        <v>13</v>
      </c>
      <c r="L15" s="101" t="s">
        <v>14</v>
      </c>
      <c r="M15" s="103"/>
      <c r="N15" s="101" t="s">
        <v>15</v>
      </c>
      <c r="O15" s="103"/>
    </row>
    <row r="16" spans="1:15" ht="27.6" x14ac:dyDescent="0.25">
      <c r="A16" s="105"/>
      <c r="B16" s="105"/>
      <c r="C16" s="105"/>
      <c r="D16" s="105"/>
      <c r="E16" s="105"/>
      <c r="F16" s="4" t="s">
        <v>8</v>
      </c>
      <c r="G16" s="4" t="s">
        <v>9</v>
      </c>
      <c r="H16" s="4" t="s">
        <v>10</v>
      </c>
      <c r="I16" s="4" t="s">
        <v>11</v>
      </c>
      <c r="J16" s="105"/>
      <c r="K16" s="105"/>
      <c r="L16" s="4" t="s">
        <v>16</v>
      </c>
      <c r="M16" s="4" t="s">
        <v>17</v>
      </c>
      <c r="N16" s="4" t="s">
        <v>16</v>
      </c>
      <c r="O16" s="4" t="s">
        <v>17</v>
      </c>
    </row>
    <row r="17" spans="1:15" x14ac:dyDescent="0.25">
      <c r="A17" s="4">
        <v>1</v>
      </c>
      <c r="B17" s="4">
        <v>2</v>
      </c>
      <c r="C17" s="4">
        <v>3</v>
      </c>
      <c r="D17" s="4">
        <v>4</v>
      </c>
      <c r="E17" s="4">
        <v>5</v>
      </c>
      <c r="F17" s="4">
        <v>6</v>
      </c>
      <c r="G17" s="4">
        <v>7</v>
      </c>
      <c r="H17" s="4">
        <v>8</v>
      </c>
      <c r="I17" s="4">
        <v>9</v>
      </c>
      <c r="J17" s="4">
        <v>10</v>
      </c>
      <c r="K17" s="4">
        <v>11</v>
      </c>
      <c r="L17" s="4">
        <v>12</v>
      </c>
      <c r="M17" s="4">
        <v>13</v>
      </c>
      <c r="N17" s="4">
        <v>14</v>
      </c>
      <c r="O17" s="4">
        <v>15</v>
      </c>
    </row>
    <row r="18" spans="1:15" x14ac:dyDescent="0.25">
      <c r="A18" s="106" t="s">
        <v>20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8"/>
    </row>
    <row r="19" spans="1:15" ht="32.25" customHeight="1" x14ac:dyDescent="0.25">
      <c r="A19" s="11" t="s">
        <v>80</v>
      </c>
      <c r="B19" s="12"/>
      <c r="C19" s="4"/>
      <c r="D19" s="4"/>
      <c r="E19" s="4"/>
      <c r="F19" s="4"/>
      <c r="G19" s="13"/>
      <c r="H19" s="13"/>
      <c r="I19" s="13"/>
      <c r="J19" s="14"/>
      <c r="K19" s="14"/>
      <c r="L19" s="14"/>
      <c r="M19" s="14"/>
      <c r="N19" s="14"/>
      <c r="O19" s="14"/>
    </row>
    <row r="20" spans="1:15" ht="45.75" customHeight="1" x14ac:dyDescent="0.25">
      <c r="A20" s="11" t="s">
        <v>320</v>
      </c>
      <c r="B20" s="4">
        <v>3</v>
      </c>
      <c r="C20" s="4" t="s">
        <v>59</v>
      </c>
      <c r="D20" s="5">
        <v>5.5</v>
      </c>
      <c r="E20" s="5">
        <v>5</v>
      </c>
      <c r="F20" s="15">
        <v>90</v>
      </c>
      <c r="G20" s="13">
        <v>19710.199999999993</v>
      </c>
      <c r="H20" s="13">
        <v>216.00000000000034</v>
      </c>
      <c r="I20" s="13">
        <v>19494.2</v>
      </c>
      <c r="J20" s="13"/>
      <c r="K20" s="13">
        <f>+I20*(108.5/(100+E20))</f>
        <v>20144.006666666668</v>
      </c>
      <c r="L20" s="13"/>
      <c r="M20" s="13"/>
      <c r="N20" s="13"/>
      <c r="O20" s="13"/>
    </row>
    <row r="21" spans="1:15" ht="45.75" customHeight="1" x14ac:dyDescent="0.25">
      <c r="A21" s="11" t="s">
        <v>321</v>
      </c>
      <c r="B21" s="4">
        <v>4</v>
      </c>
      <c r="C21" s="4" t="s">
        <v>27</v>
      </c>
      <c r="D21" s="5">
        <v>6</v>
      </c>
      <c r="E21" s="5">
        <v>5</v>
      </c>
      <c r="F21" s="15">
        <v>20</v>
      </c>
      <c r="G21" s="13">
        <v>4373.2</v>
      </c>
      <c r="H21" s="13">
        <v>47.999999999999986</v>
      </c>
      <c r="I21" s="13">
        <v>4325.2</v>
      </c>
      <c r="J21" s="13"/>
      <c r="K21" s="13">
        <f>+I21*(108.5/(100+E21))</f>
        <v>4469.3733333333339</v>
      </c>
      <c r="L21" s="13"/>
      <c r="M21" s="13"/>
      <c r="N21" s="13"/>
      <c r="O21" s="13"/>
    </row>
    <row r="22" spans="1:15" ht="30.75" customHeight="1" x14ac:dyDescent="0.25">
      <c r="A22" s="16" t="s">
        <v>21</v>
      </c>
      <c r="B22" s="4"/>
      <c r="C22" s="4"/>
      <c r="D22" s="4"/>
      <c r="E22" s="13"/>
      <c r="F22" s="17">
        <f>SUM(F20:F21)</f>
        <v>110</v>
      </c>
      <c r="G22" s="17">
        <f>SUM(G20:G21)</f>
        <v>24083.399999999994</v>
      </c>
      <c r="H22" s="17">
        <f t="shared" ref="H22:I22" si="0">SUM(H20:H21)</f>
        <v>264.00000000000034</v>
      </c>
      <c r="I22" s="17">
        <f t="shared" si="0"/>
        <v>23819.4</v>
      </c>
      <c r="J22" s="17"/>
      <c r="K22" s="17">
        <f>SUM(K20:K21)</f>
        <v>24613.38</v>
      </c>
      <c r="L22" s="18"/>
      <c r="M22" s="13"/>
      <c r="N22" s="13"/>
      <c r="O22" s="13"/>
    </row>
    <row r="23" spans="1:15" ht="14.25" customHeight="1" x14ac:dyDescent="0.25">
      <c r="A23" s="19"/>
      <c r="B23" s="20"/>
      <c r="C23" s="20"/>
      <c r="D23" s="20"/>
      <c r="E23" s="21"/>
      <c r="F23" s="22"/>
      <c r="G23" s="22"/>
      <c r="H23" s="22"/>
      <c r="I23" s="22"/>
      <c r="J23" s="22"/>
      <c r="K23" s="22"/>
      <c r="L23" s="22"/>
      <c r="M23" s="21"/>
      <c r="N23" s="21"/>
      <c r="O23" s="21"/>
    </row>
    <row r="24" spans="1:15" ht="14.4" x14ac:dyDescent="0.3">
      <c r="A24" s="109" t="s">
        <v>302</v>
      </c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</row>
    <row r="25" spans="1:15" ht="11.25" customHeight="1" x14ac:dyDescent="0.25"/>
    <row r="26" spans="1:15" x14ac:dyDescent="0.25">
      <c r="A26" s="6" t="s">
        <v>22</v>
      </c>
      <c r="D26" s="24">
        <f>+I22</f>
        <v>23819.4</v>
      </c>
    </row>
    <row r="27" spans="1:15" x14ac:dyDescent="0.25">
      <c r="D27" s="25"/>
      <c r="G27" s="23"/>
      <c r="H27" s="23"/>
      <c r="I27" s="23"/>
      <c r="J27" s="23"/>
      <c r="K27" s="23"/>
    </row>
    <row r="28" spans="1:15" x14ac:dyDescent="0.25">
      <c r="A28" s="6" t="s">
        <v>23</v>
      </c>
      <c r="D28" s="24">
        <f>+K22</f>
        <v>24613.38</v>
      </c>
    </row>
    <row r="29" spans="1:15" ht="11.25" customHeight="1" x14ac:dyDescent="0.25">
      <c r="D29" s="24"/>
    </row>
    <row r="30" spans="1:15" ht="10.5" customHeight="1" x14ac:dyDescent="0.25"/>
    <row r="31" spans="1:15" x14ac:dyDescent="0.25">
      <c r="A31" s="95" t="s">
        <v>25</v>
      </c>
      <c r="B31" s="95"/>
      <c r="C31" s="95"/>
      <c r="D31" s="95"/>
      <c r="E31" s="95"/>
      <c r="F31" s="95"/>
      <c r="G31" s="95"/>
    </row>
    <row r="32" spans="1:15" ht="9.75" customHeight="1" x14ac:dyDescent="0.25"/>
    <row r="33" spans="1:15" x14ac:dyDescent="0.25">
      <c r="A33" s="95" t="s">
        <v>82</v>
      </c>
      <c r="B33" s="95"/>
      <c r="C33" s="95"/>
      <c r="D33" s="95"/>
      <c r="E33" s="95"/>
      <c r="F33" s="95"/>
      <c r="G33" s="95"/>
    </row>
    <row r="34" spans="1:15" ht="12" customHeight="1" x14ac:dyDescent="0.25"/>
    <row r="35" spans="1:15" x14ac:dyDescent="0.25">
      <c r="A35" s="95" t="s">
        <v>26</v>
      </c>
      <c r="B35" s="95"/>
      <c r="C35" s="95"/>
      <c r="D35" s="95"/>
      <c r="E35" s="95"/>
      <c r="F35" s="95"/>
      <c r="G35" s="95"/>
      <c r="I35" s="95"/>
      <c r="J35" s="95"/>
      <c r="K35" s="95"/>
      <c r="L35" s="95"/>
      <c r="M35" s="95"/>
      <c r="N35" s="95"/>
      <c r="O35" s="95"/>
    </row>
    <row r="36" spans="1:15" ht="11.25" customHeight="1" x14ac:dyDescent="0.25"/>
    <row r="37" spans="1:15" x14ac:dyDescent="0.25">
      <c r="A37" s="110" t="s">
        <v>312</v>
      </c>
      <c r="B37" s="110"/>
      <c r="C37" s="110"/>
      <c r="D37" s="110"/>
      <c r="E37" s="110"/>
      <c r="F37" s="110"/>
      <c r="G37" s="110"/>
      <c r="I37" s="100" t="s">
        <v>46</v>
      </c>
      <c r="J37" s="100"/>
      <c r="K37" s="100"/>
      <c r="L37" s="100"/>
      <c r="M37" s="100"/>
      <c r="N37" s="100"/>
      <c r="O37" s="100"/>
    </row>
  </sheetData>
  <mergeCells count="23">
    <mergeCell ref="A31:G31"/>
    <mergeCell ref="A33:G33"/>
    <mergeCell ref="A1:O1"/>
    <mergeCell ref="A9:N9"/>
    <mergeCell ref="A11:N11"/>
    <mergeCell ref="A12:N12"/>
    <mergeCell ref="I13:K13"/>
    <mergeCell ref="A35:G35"/>
    <mergeCell ref="I35:O35"/>
    <mergeCell ref="A37:G37"/>
    <mergeCell ref="I37:O37"/>
    <mergeCell ref="F15:I15"/>
    <mergeCell ref="J15:J16"/>
    <mergeCell ref="K15:K16"/>
    <mergeCell ref="L15:M15"/>
    <mergeCell ref="N15:O15"/>
    <mergeCell ref="A18:O18"/>
    <mergeCell ref="A15:A16"/>
    <mergeCell ref="B15:B16"/>
    <mergeCell ref="C15:C16"/>
    <mergeCell ref="D15:D16"/>
    <mergeCell ref="E15:E16"/>
    <mergeCell ref="A24:O24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O37"/>
  <sheetViews>
    <sheetView zoomScale="70" zoomScaleNormal="70" workbookViewId="0">
      <selection activeCell="G27" sqref="G27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323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5" x14ac:dyDescent="0.25">
      <c r="A3" s="7" t="s">
        <v>305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8" t="s">
        <v>41</v>
      </c>
      <c r="B4" s="8"/>
      <c r="C4" s="8"/>
      <c r="D4" s="8"/>
      <c r="E4" s="8"/>
      <c r="F4" s="8"/>
      <c r="G4" s="8"/>
      <c r="H4" s="8"/>
      <c r="I4" s="8"/>
      <c r="J4" s="1" t="s">
        <v>263</v>
      </c>
      <c r="K4" s="2"/>
      <c r="L4" s="2"/>
      <c r="M4" s="2"/>
      <c r="N4" s="2"/>
    </row>
    <row r="5" spans="1:15" x14ac:dyDescent="0.25">
      <c r="A5" s="6" t="s">
        <v>42</v>
      </c>
      <c r="F5" s="9"/>
      <c r="G5" s="9"/>
      <c r="H5" s="9"/>
      <c r="I5" s="9"/>
      <c r="J5" s="3"/>
      <c r="K5" s="3"/>
      <c r="L5" s="1"/>
      <c r="M5" s="1"/>
      <c r="N5" s="1"/>
    </row>
    <row r="6" spans="1:15" x14ac:dyDescent="0.25">
      <c r="A6" s="9" t="s">
        <v>68</v>
      </c>
      <c r="B6" s="9"/>
      <c r="C6" s="9"/>
      <c r="D6" s="9"/>
      <c r="E6" s="9"/>
      <c r="F6" s="9"/>
      <c r="G6" s="9"/>
      <c r="H6" s="9"/>
      <c r="I6" s="9"/>
      <c r="J6" s="1" t="s">
        <v>262</v>
      </c>
      <c r="K6" s="1"/>
      <c r="L6" s="1"/>
      <c r="M6" s="1"/>
      <c r="N6" s="1"/>
    </row>
    <row r="7" spans="1:15" x14ac:dyDescent="0.25">
      <c r="A7" s="9" t="s">
        <v>43</v>
      </c>
      <c r="B7" s="9"/>
      <c r="C7" s="9"/>
      <c r="D7" s="9"/>
      <c r="E7" s="9"/>
      <c r="F7" s="9"/>
      <c r="G7" s="9"/>
      <c r="H7" s="9"/>
      <c r="I7" s="9"/>
      <c r="J7" s="1" t="s">
        <v>264</v>
      </c>
      <c r="K7" s="1"/>
      <c r="L7" s="1"/>
      <c r="M7" s="1"/>
      <c r="N7" s="1"/>
    </row>
    <row r="8" spans="1:15" x14ac:dyDescent="0.25">
      <c r="A8" s="9" t="s">
        <v>1</v>
      </c>
      <c r="B8" s="9"/>
      <c r="C8" s="9"/>
      <c r="D8" s="9"/>
      <c r="E8" s="9"/>
      <c r="J8" s="3"/>
      <c r="K8" s="3"/>
      <c r="L8" s="3"/>
      <c r="M8" s="3"/>
      <c r="N8" s="3"/>
    </row>
    <row r="9" spans="1:15" x14ac:dyDescent="0.25">
      <c r="A9" s="97" t="s">
        <v>44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</row>
    <row r="10" spans="1:15" x14ac:dyDescent="0.25">
      <c r="A10" s="10" t="s">
        <v>45</v>
      </c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</row>
    <row r="11" spans="1:15" x14ac:dyDescent="0.25">
      <c r="A11" s="98" t="s">
        <v>140</v>
      </c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</row>
    <row r="12" spans="1:15" x14ac:dyDescent="0.25">
      <c r="A12" s="98" t="s">
        <v>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I13" s="98"/>
      <c r="J13" s="98"/>
      <c r="K13" s="98"/>
    </row>
    <row r="14" spans="1:15" x14ac:dyDescent="0.25">
      <c r="A14" s="6" t="s">
        <v>294</v>
      </c>
      <c r="L14" s="86"/>
    </row>
    <row r="15" spans="1:15" ht="16.5" customHeight="1" x14ac:dyDescent="0.25">
      <c r="A15" s="104" t="s">
        <v>2</v>
      </c>
      <c r="B15" s="104" t="s">
        <v>3</v>
      </c>
      <c r="C15" s="104" t="s">
        <v>4</v>
      </c>
      <c r="D15" s="104" t="s">
        <v>5</v>
      </c>
      <c r="E15" s="104" t="s">
        <v>6</v>
      </c>
      <c r="F15" s="101" t="s">
        <v>7</v>
      </c>
      <c r="G15" s="102"/>
      <c r="H15" s="102"/>
      <c r="I15" s="103"/>
      <c r="J15" s="104" t="s">
        <v>12</v>
      </c>
      <c r="K15" s="104" t="s">
        <v>13</v>
      </c>
      <c r="L15" s="101" t="s">
        <v>14</v>
      </c>
      <c r="M15" s="103"/>
      <c r="N15" s="101" t="s">
        <v>15</v>
      </c>
      <c r="O15" s="103"/>
    </row>
    <row r="16" spans="1:15" ht="27.6" x14ac:dyDescent="0.25">
      <c r="A16" s="105"/>
      <c r="B16" s="105"/>
      <c r="C16" s="105"/>
      <c r="D16" s="105"/>
      <c r="E16" s="105"/>
      <c r="F16" s="4" t="s">
        <v>8</v>
      </c>
      <c r="G16" s="4" t="s">
        <v>9</v>
      </c>
      <c r="H16" s="4" t="s">
        <v>10</v>
      </c>
      <c r="I16" s="4" t="s">
        <v>11</v>
      </c>
      <c r="J16" s="105"/>
      <c r="K16" s="105"/>
      <c r="L16" s="4" t="s">
        <v>16</v>
      </c>
      <c r="M16" s="4" t="s">
        <v>17</v>
      </c>
      <c r="N16" s="4" t="s">
        <v>16</v>
      </c>
      <c r="O16" s="4" t="s">
        <v>17</v>
      </c>
    </row>
    <row r="17" spans="1:15" x14ac:dyDescent="0.25">
      <c r="A17" s="4">
        <v>1</v>
      </c>
      <c r="B17" s="4">
        <v>2</v>
      </c>
      <c r="C17" s="4">
        <v>3</v>
      </c>
      <c r="D17" s="4">
        <v>4</v>
      </c>
      <c r="E17" s="4">
        <v>5</v>
      </c>
      <c r="F17" s="4">
        <v>6</v>
      </c>
      <c r="G17" s="4">
        <v>7</v>
      </c>
      <c r="H17" s="4">
        <v>8</v>
      </c>
      <c r="I17" s="4">
        <v>9</v>
      </c>
      <c r="J17" s="4">
        <v>10</v>
      </c>
      <c r="K17" s="4">
        <v>11</v>
      </c>
      <c r="L17" s="4">
        <v>12</v>
      </c>
      <c r="M17" s="4">
        <v>13</v>
      </c>
      <c r="N17" s="4">
        <v>14</v>
      </c>
      <c r="O17" s="4">
        <v>15</v>
      </c>
    </row>
    <row r="18" spans="1:15" x14ac:dyDescent="0.25">
      <c r="A18" s="106" t="s">
        <v>20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8"/>
    </row>
    <row r="19" spans="1:15" ht="32.25" customHeight="1" x14ac:dyDescent="0.25">
      <c r="A19" s="11" t="s">
        <v>80</v>
      </c>
      <c r="B19" s="12"/>
      <c r="C19" s="4"/>
      <c r="D19" s="4"/>
      <c r="E19" s="4"/>
      <c r="F19" s="4"/>
      <c r="G19" s="13"/>
      <c r="H19" s="13"/>
      <c r="I19" s="13"/>
      <c r="J19" s="14"/>
      <c r="K19" s="14"/>
      <c r="L19" s="14"/>
      <c r="M19" s="14"/>
      <c r="N19" s="14"/>
      <c r="O19" s="14"/>
    </row>
    <row r="20" spans="1:15" ht="45.75" customHeight="1" x14ac:dyDescent="0.25">
      <c r="A20" s="11" t="s">
        <v>324</v>
      </c>
      <c r="B20" s="4">
        <v>3</v>
      </c>
      <c r="C20" s="4" t="s">
        <v>59</v>
      </c>
      <c r="D20" s="5">
        <v>5.5</v>
      </c>
      <c r="E20" s="5">
        <v>5</v>
      </c>
      <c r="F20" s="15">
        <v>70</v>
      </c>
      <c r="G20" s="13">
        <v>14877</v>
      </c>
      <c r="H20" s="13">
        <v>168.00000000000023</v>
      </c>
      <c r="I20" s="13">
        <v>14709.000000000002</v>
      </c>
      <c r="J20" s="13"/>
      <c r="K20" s="13">
        <f>+I20*(108.5/(100+E20))</f>
        <v>15199.300000000003</v>
      </c>
      <c r="L20" s="13"/>
      <c r="M20" s="13"/>
      <c r="N20" s="13"/>
      <c r="O20" s="13"/>
    </row>
    <row r="21" spans="1:15" ht="45.75" customHeight="1" x14ac:dyDescent="0.25">
      <c r="A21" s="11" t="s">
        <v>325</v>
      </c>
      <c r="B21" s="4">
        <v>4</v>
      </c>
      <c r="C21" s="4" t="s">
        <v>27</v>
      </c>
      <c r="D21" s="5">
        <v>6</v>
      </c>
      <c r="E21" s="5">
        <v>5</v>
      </c>
      <c r="F21" s="15">
        <v>40</v>
      </c>
      <c r="G21" s="13">
        <v>8737</v>
      </c>
      <c r="H21" s="13">
        <v>96.000000000000057</v>
      </c>
      <c r="I21" s="13">
        <v>8641</v>
      </c>
      <c r="J21" s="13"/>
      <c r="K21" s="13">
        <f>+I21*(108.5/(100+E21))</f>
        <v>8929.0333333333347</v>
      </c>
      <c r="L21" s="13"/>
      <c r="M21" s="13"/>
      <c r="N21" s="13"/>
      <c r="O21" s="13"/>
    </row>
    <row r="22" spans="1:15" ht="30.75" customHeight="1" x14ac:dyDescent="0.25">
      <c r="A22" s="16" t="s">
        <v>21</v>
      </c>
      <c r="B22" s="4"/>
      <c r="C22" s="4"/>
      <c r="D22" s="4"/>
      <c r="E22" s="13"/>
      <c r="F22" s="17">
        <f>SUM(F20:F21)</f>
        <v>110</v>
      </c>
      <c r="G22" s="17">
        <f>SUM(G20:G21)</f>
        <v>23614</v>
      </c>
      <c r="H22" s="17">
        <f t="shared" ref="H22:I22" si="0">SUM(H20:H21)</f>
        <v>264.00000000000028</v>
      </c>
      <c r="I22" s="17">
        <f t="shared" si="0"/>
        <v>23350</v>
      </c>
      <c r="J22" s="17"/>
      <c r="K22" s="17">
        <f>SUM(K20:K21)</f>
        <v>24128.333333333336</v>
      </c>
      <c r="L22" s="18"/>
      <c r="M22" s="13"/>
      <c r="N22" s="13"/>
      <c r="O22" s="13"/>
    </row>
    <row r="23" spans="1:15" ht="14.25" customHeight="1" x14ac:dyDescent="0.25">
      <c r="A23" s="19"/>
      <c r="B23" s="20"/>
      <c r="C23" s="20"/>
      <c r="D23" s="20"/>
      <c r="E23" s="21"/>
      <c r="F23" s="22"/>
      <c r="G23" s="22"/>
      <c r="H23" s="22"/>
      <c r="I23" s="22"/>
      <c r="J23" s="22"/>
      <c r="K23" s="22"/>
      <c r="L23" s="22"/>
      <c r="M23" s="21"/>
      <c r="N23" s="21"/>
      <c r="O23" s="21"/>
    </row>
    <row r="24" spans="1:15" ht="14.4" x14ac:dyDescent="0.3">
      <c r="A24" s="109" t="s">
        <v>302</v>
      </c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</row>
    <row r="25" spans="1:15" ht="11.25" customHeight="1" x14ac:dyDescent="0.25"/>
    <row r="26" spans="1:15" x14ac:dyDescent="0.25">
      <c r="A26" s="6" t="s">
        <v>22</v>
      </c>
      <c r="D26" s="24">
        <f>+I22</f>
        <v>23350</v>
      </c>
    </row>
    <row r="27" spans="1:15" x14ac:dyDescent="0.25">
      <c r="D27" s="25"/>
      <c r="G27" s="23"/>
      <c r="H27" s="23"/>
      <c r="I27" s="23"/>
      <c r="J27" s="23"/>
      <c r="K27" s="23"/>
    </row>
    <row r="28" spans="1:15" x14ac:dyDescent="0.25">
      <c r="A28" s="6" t="s">
        <v>23</v>
      </c>
      <c r="D28" s="24">
        <f>+K22</f>
        <v>24128.333333333336</v>
      </c>
    </row>
    <row r="29" spans="1:15" ht="11.25" customHeight="1" x14ac:dyDescent="0.25">
      <c r="D29" s="24"/>
    </row>
    <row r="30" spans="1:15" ht="10.5" customHeight="1" x14ac:dyDescent="0.25"/>
    <row r="31" spans="1:15" x14ac:dyDescent="0.25">
      <c r="A31" s="95" t="s">
        <v>25</v>
      </c>
      <c r="B31" s="95"/>
      <c r="C31" s="95"/>
      <c r="D31" s="95"/>
      <c r="E31" s="95"/>
      <c r="F31" s="95"/>
      <c r="G31" s="95"/>
    </row>
    <row r="32" spans="1:15" ht="9.75" customHeight="1" x14ac:dyDescent="0.25"/>
    <row r="33" spans="1:15" x14ac:dyDescent="0.25">
      <c r="A33" s="95" t="s">
        <v>82</v>
      </c>
      <c r="B33" s="95"/>
      <c r="C33" s="95"/>
      <c r="D33" s="95"/>
      <c r="E33" s="95"/>
      <c r="F33" s="95"/>
      <c r="G33" s="95"/>
    </row>
    <row r="34" spans="1:15" ht="12" customHeight="1" x14ac:dyDescent="0.25"/>
    <row r="35" spans="1:15" x14ac:dyDescent="0.25">
      <c r="A35" s="95" t="s">
        <v>26</v>
      </c>
      <c r="B35" s="95"/>
      <c r="C35" s="95"/>
      <c r="D35" s="95"/>
      <c r="E35" s="95"/>
      <c r="F35" s="95"/>
      <c r="G35" s="95"/>
      <c r="I35" s="95"/>
      <c r="J35" s="95"/>
      <c r="K35" s="95"/>
      <c r="L35" s="95"/>
      <c r="M35" s="95"/>
      <c r="N35" s="95"/>
      <c r="O35" s="95"/>
    </row>
    <row r="36" spans="1:15" ht="11.25" customHeight="1" x14ac:dyDescent="0.25"/>
    <row r="37" spans="1:15" x14ac:dyDescent="0.25">
      <c r="A37" s="110" t="s">
        <v>265</v>
      </c>
      <c r="B37" s="110"/>
      <c r="C37" s="110"/>
      <c r="D37" s="110"/>
      <c r="E37" s="110"/>
      <c r="F37" s="110"/>
      <c r="G37" s="110"/>
      <c r="I37" s="100" t="s">
        <v>46</v>
      </c>
      <c r="J37" s="100"/>
      <c r="K37" s="100"/>
      <c r="L37" s="100"/>
      <c r="M37" s="100"/>
      <c r="N37" s="100"/>
      <c r="O37" s="100"/>
    </row>
  </sheetData>
  <mergeCells count="23">
    <mergeCell ref="A31:G31"/>
    <mergeCell ref="A33:G33"/>
    <mergeCell ref="A1:O1"/>
    <mergeCell ref="A9:N9"/>
    <mergeCell ref="A11:N11"/>
    <mergeCell ref="A12:N12"/>
    <mergeCell ref="I13:K13"/>
    <mergeCell ref="A35:G35"/>
    <mergeCell ref="I35:O35"/>
    <mergeCell ref="A37:G37"/>
    <mergeCell ref="I37:O37"/>
    <mergeCell ref="F15:I15"/>
    <mergeCell ref="J15:J16"/>
    <mergeCell ref="K15:K16"/>
    <mergeCell ref="L15:M15"/>
    <mergeCell ref="N15:O15"/>
    <mergeCell ref="A18:O18"/>
    <mergeCell ref="A15:A16"/>
    <mergeCell ref="B15:B16"/>
    <mergeCell ref="C15:C16"/>
    <mergeCell ref="D15:D16"/>
    <mergeCell ref="E15:E16"/>
    <mergeCell ref="A24:O24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O36"/>
  <sheetViews>
    <sheetView zoomScale="70" zoomScaleNormal="70" workbookViewId="0">
      <selection activeCell="M33" sqref="M33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326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5" x14ac:dyDescent="0.25">
      <c r="A3" s="7" t="s">
        <v>305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8" t="s">
        <v>41</v>
      </c>
      <c r="B4" s="8"/>
      <c r="C4" s="8"/>
      <c r="D4" s="8"/>
      <c r="E4" s="8"/>
      <c r="F4" s="8"/>
      <c r="G4" s="8"/>
      <c r="H4" s="8"/>
      <c r="I4" s="8"/>
      <c r="J4" s="1" t="s">
        <v>263</v>
      </c>
      <c r="K4" s="2"/>
      <c r="L4" s="2"/>
      <c r="M4" s="2"/>
      <c r="N4" s="2"/>
    </row>
    <row r="5" spans="1:15" x14ac:dyDescent="0.25">
      <c r="A5" s="6" t="s">
        <v>42</v>
      </c>
      <c r="F5" s="9"/>
      <c r="G5" s="9"/>
      <c r="H5" s="9"/>
      <c r="I5" s="9"/>
      <c r="J5" s="3"/>
      <c r="K5" s="3"/>
      <c r="L5" s="1"/>
      <c r="M5" s="1"/>
      <c r="N5" s="1"/>
    </row>
    <row r="6" spans="1:15" x14ac:dyDescent="0.25">
      <c r="A6" s="9" t="s">
        <v>68</v>
      </c>
      <c r="B6" s="9"/>
      <c r="C6" s="9"/>
      <c r="D6" s="9"/>
      <c r="E6" s="9"/>
      <c r="F6" s="9"/>
      <c r="G6" s="9"/>
      <c r="H6" s="9"/>
      <c r="I6" s="9"/>
      <c r="J6" s="1" t="s">
        <v>262</v>
      </c>
      <c r="K6" s="1"/>
      <c r="L6" s="1"/>
      <c r="M6" s="1"/>
      <c r="N6" s="1"/>
    </row>
    <row r="7" spans="1:15" x14ac:dyDescent="0.25">
      <c r="A7" s="9" t="s">
        <v>43</v>
      </c>
      <c r="B7" s="9"/>
      <c r="C7" s="9"/>
      <c r="D7" s="9"/>
      <c r="E7" s="9"/>
      <c r="F7" s="9"/>
      <c r="G7" s="9"/>
      <c r="H7" s="9"/>
      <c r="I7" s="9"/>
      <c r="J7" s="1" t="s">
        <v>264</v>
      </c>
      <c r="K7" s="1"/>
      <c r="L7" s="1"/>
      <c r="M7" s="1"/>
      <c r="N7" s="1"/>
    </row>
    <row r="8" spans="1:15" x14ac:dyDescent="0.25">
      <c r="A8" s="9" t="s">
        <v>1</v>
      </c>
      <c r="B8" s="9"/>
      <c r="C8" s="9"/>
      <c r="D8" s="9"/>
      <c r="E8" s="9"/>
      <c r="J8" s="3"/>
      <c r="K8" s="3"/>
      <c r="L8" s="3"/>
      <c r="M8" s="3"/>
      <c r="N8" s="3"/>
    </row>
    <row r="9" spans="1:15" x14ac:dyDescent="0.25">
      <c r="A9" s="97" t="s">
        <v>44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</row>
    <row r="10" spans="1:15" x14ac:dyDescent="0.25">
      <c r="A10" s="10" t="s">
        <v>45</v>
      </c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</row>
    <row r="11" spans="1:15" x14ac:dyDescent="0.25">
      <c r="A11" s="98" t="s">
        <v>140</v>
      </c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</row>
    <row r="12" spans="1:15" x14ac:dyDescent="0.25">
      <c r="A12" s="98" t="s">
        <v>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I13" s="98"/>
      <c r="J13" s="98"/>
      <c r="K13" s="98"/>
    </row>
    <row r="14" spans="1:15" x14ac:dyDescent="0.25">
      <c r="A14" s="6" t="s">
        <v>294</v>
      </c>
      <c r="L14" s="86"/>
    </row>
    <row r="15" spans="1:15" ht="16.5" customHeight="1" x14ac:dyDescent="0.25">
      <c r="A15" s="104" t="s">
        <v>2</v>
      </c>
      <c r="B15" s="104" t="s">
        <v>3</v>
      </c>
      <c r="C15" s="104" t="s">
        <v>4</v>
      </c>
      <c r="D15" s="104" t="s">
        <v>5</v>
      </c>
      <c r="E15" s="104" t="s">
        <v>6</v>
      </c>
      <c r="F15" s="101" t="s">
        <v>7</v>
      </c>
      <c r="G15" s="102"/>
      <c r="H15" s="102"/>
      <c r="I15" s="103"/>
      <c r="J15" s="104" t="s">
        <v>12</v>
      </c>
      <c r="K15" s="104" t="s">
        <v>13</v>
      </c>
      <c r="L15" s="101" t="s">
        <v>14</v>
      </c>
      <c r="M15" s="103"/>
      <c r="N15" s="101" t="s">
        <v>15</v>
      </c>
      <c r="O15" s="103"/>
    </row>
    <row r="16" spans="1:15" ht="27.6" x14ac:dyDescent="0.25">
      <c r="A16" s="105"/>
      <c r="B16" s="105"/>
      <c r="C16" s="105"/>
      <c r="D16" s="105"/>
      <c r="E16" s="105"/>
      <c r="F16" s="4" t="s">
        <v>8</v>
      </c>
      <c r="G16" s="4" t="s">
        <v>9</v>
      </c>
      <c r="H16" s="4" t="s">
        <v>10</v>
      </c>
      <c r="I16" s="4" t="s">
        <v>11</v>
      </c>
      <c r="J16" s="105"/>
      <c r="K16" s="105"/>
      <c r="L16" s="4" t="s">
        <v>16</v>
      </c>
      <c r="M16" s="4" t="s">
        <v>17</v>
      </c>
      <c r="N16" s="4" t="s">
        <v>16</v>
      </c>
      <c r="O16" s="4" t="s">
        <v>17</v>
      </c>
    </row>
    <row r="17" spans="1:15" x14ac:dyDescent="0.25">
      <c r="A17" s="4">
        <v>1</v>
      </c>
      <c r="B17" s="4">
        <v>2</v>
      </c>
      <c r="C17" s="4">
        <v>3</v>
      </c>
      <c r="D17" s="4">
        <v>4</v>
      </c>
      <c r="E17" s="4">
        <v>5</v>
      </c>
      <c r="F17" s="4">
        <v>6</v>
      </c>
      <c r="G17" s="4">
        <v>7</v>
      </c>
      <c r="H17" s="4">
        <v>8</v>
      </c>
      <c r="I17" s="4">
        <v>9</v>
      </c>
      <c r="J17" s="4">
        <v>10</v>
      </c>
      <c r="K17" s="4">
        <v>11</v>
      </c>
      <c r="L17" s="4">
        <v>12</v>
      </c>
      <c r="M17" s="4">
        <v>13</v>
      </c>
      <c r="N17" s="4">
        <v>14</v>
      </c>
      <c r="O17" s="4">
        <v>15</v>
      </c>
    </row>
    <row r="18" spans="1:15" x14ac:dyDescent="0.25">
      <c r="A18" s="106" t="s">
        <v>20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8"/>
    </row>
    <row r="19" spans="1:15" ht="32.25" customHeight="1" x14ac:dyDescent="0.25">
      <c r="A19" s="11" t="s">
        <v>80</v>
      </c>
      <c r="B19" s="12"/>
      <c r="C19" s="4"/>
      <c r="D19" s="4"/>
      <c r="E19" s="4"/>
      <c r="F19" s="4"/>
      <c r="G19" s="13"/>
      <c r="H19" s="13"/>
      <c r="I19" s="13"/>
      <c r="J19" s="14"/>
      <c r="K19" s="14"/>
      <c r="L19" s="14"/>
      <c r="M19" s="14"/>
      <c r="N19" s="14"/>
      <c r="O19" s="14"/>
    </row>
    <row r="20" spans="1:15" ht="45.75" customHeight="1" x14ac:dyDescent="0.25">
      <c r="A20" s="11" t="s">
        <v>327</v>
      </c>
      <c r="B20" s="4">
        <v>4</v>
      </c>
      <c r="C20" s="4" t="s">
        <v>27</v>
      </c>
      <c r="D20" s="5">
        <v>6</v>
      </c>
      <c r="E20" s="5">
        <v>5</v>
      </c>
      <c r="F20" s="15">
        <v>110</v>
      </c>
      <c r="G20" s="13">
        <v>24243.599999999988</v>
      </c>
      <c r="H20" s="13">
        <v>264.00000000000034</v>
      </c>
      <c r="I20" s="13">
        <v>23979.600000000006</v>
      </c>
      <c r="J20" s="13"/>
      <c r="K20" s="13">
        <f>+I20*(108.5/(100+E20))</f>
        <v>24778.920000000009</v>
      </c>
      <c r="L20" s="13"/>
      <c r="M20" s="13"/>
      <c r="N20" s="13"/>
      <c r="O20" s="13"/>
    </row>
    <row r="21" spans="1:15" ht="30.75" customHeight="1" x14ac:dyDescent="0.25">
      <c r="A21" s="16" t="s">
        <v>21</v>
      </c>
      <c r="B21" s="4"/>
      <c r="C21" s="4"/>
      <c r="D21" s="4"/>
      <c r="E21" s="13"/>
      <c r="F21" s="17">
        <f>SUM(F20:F20)</f>
        <v>110</v>
      </c>
      <c r="G21" s="17">
        <f>SUM(G20:G20)</f>
        <v>24243.599999999988</v>
      </c>
      <c r="H21" s="17">
        <f>SUM(H20:H20)</f>
        <v>264.00000000000034</v>
      </c>
      <c r="I21" s="17">
        <f>SUM(I20:I20)</f>
        <v>23979.600000000006</v>
      </c>
      <c r="J21" s="17"/>
      <c r="K21" s="17">
        <f>SUM(K20:K20)</f>
        <v>24778.920000000009</v>
      </c>
      <c r="L21" s="18"/>
      <c r="M21" s="13"/>
      <c r="N21" s="13"/>
      <c r="O21" s="13"/>
    </row>
    <row r="22" spans="1:15" ht="14.25" customHeight="1" x14ac:dyDescent="0.25">
      <c r="A22" s="19"/>
      <c r="B22" s="20"/>
      <c r="C22" s="20"/>
      <c r="D22" s="20"/>
      <c r="E22" s="21"/>
      <c r="F22" s="22"/>
      <c r="G22" s="22"/>
      <c r="H22" s="22"/>
      <c r="I22" s="22"/>
      <c r="J22" s="22"/>
      <c r="K22" s="22"/>
      <c r="L22" s="22"/>
      <c r="M22" s="21"/>
      <c r="N22" s="21"/>
      <c r="O22" s="21"/>
    </row>
    <row r="23" spans="1:15" ht="14.4" x14ac:dyDescent="0.3">
      <c r="A23" s="109" t="s">
        <v>302</v>
      </c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</row>
    <row r="24" spans="1:15" ht="11.25" customHeight="1" x14ac:dyDescent="0.25"/>
    <row r="25" spans="1:15" x14ac:dyDescent="0.25">
      <c r="A25" s="6" t="s">
        <v>22</v>
      </c>
      <c r="D25" s="24">
        <f>+I21</f>
        <v>23979.600000000006</v>
      </c>
    </row>
    <row r="26" spans="1:15" x14ac:dyDescent="0.25">
      <c r="D26" s="25"/>
      <c r="G26" s="23"/>
      <c r="H26" s="23"/>
      <c r="I26" s="23"/>
      <c r="J26" s="23"/>
      <c r="K26" s="23"/>
    </row>
    <row r="27" spans="1:15" x14ac:dyDescent="0.25">
      <c r="A27" s="6" t="s">
        <v>23</v>
      </c>
      <c r="D27" s="24">
        <f>+K21</f>
        <v>24778.920000000009</v>
      </c>
    </row>
    <row r="28" spans="1:15" ht="11.25" customHeight="1" x14ac:dyDescent="0.25">
      <c r="D28" s="24"/>
    </row>
    <row r="29" spans="1:15" ht="10.5" customHeight="1" x14ac:dyDescent="0.25"/>
    <row r="30" spans="1:15" x14ac:dyDescent="0.25">
      <c r="A30" s="95" t="s">
        <v>25</v>
      </c>
      <c r="B30" s="95"/>
      <c r="C30" s="95"/>
      <c r="D30" s="95"/>
      <c r="E30" s="95"/>
      <c r="F30" s="95"/>
      <c r="G30" s="95"/>
    </row>
    <row r="31" spans="1:15" ht="9.75" customHeight="1" x14ac:dyDescent="0.25"/>
    <row r="32" spans="1:15" x14ac:dyDescent="0.25">
      <c r="A32" s="95" t="s">
        <v>82</v>
      </c>
      <c r="B32" s="95"/>
      <c r="C32" s="95"/>
      <c r="D32" s="95"/>
      <c r="E32" s="95"/>
      <c r="F32" s="95"/>
      <c r="G32" s="95"/>
    </row>
    <row r="33" spans="1:15" ht="12" customHeight="1" x14ac:dyDescent="0.25"/>
    <row r="34" spans="1:15" x14ac:dyDescent="0.25">
      <c r="A34" s="95" t="s">
        <v>26</v>
      </c>
      <c r="B34" s="95"/>
      <c r="C34" s="95"/>
      <c r="D34" s="95"/>
      <c r="E34" s="95"/>
      <c r="F34" s="95"/>
      <c r="G34" s="95"/>
      <c r="I34" s="95"/>
      <c r="J34" s="95"/>
      <c r="K34" s="95"/>
      <c r="L34" s="95"/>
      <c r="M34" s="95"/>
      <c r="N34" s="95"/>
      <c r="O34" s="95"/>
    </row>
    <row r="35" spans="1:15" ht="11.25" customHeight="1" x14ac:dyDescent="0.25"/>
    <row r="36" spans="1:15" x14ac:dyDescent="0.25">
      <c r="A36" s="110" t="s">
        <v>265</v>
      </c>
      <c r="B36" s="110"/>
      <c r="C36" s="110"/>
      <c r="D36" s="110"/>
      <c r="E36" s="110"/>
      <c r="F36" s="110"/>
      <c r="G36" s="110"/>
      <c r="I36" s="100" t="s">
        <v>46</v>
      </c>
      <c r="J36" s="100"/>
      <c r="K36" s="100"/>
      <c r="L36" s="100"/>
      <c r="M36" s="100"/>
      <c r="N36" s="100"/>
      <c r="O36" s="100"/>
    </row>
  </sheetData>
  <mergeCells count="23">
    <mergeCell ref="A30:G30"/>
    <mergeCell ref="A32:G32"/>
    <mergeCell ref="A1:O1"/>
    <mergeCell ref="A9:N9"/>
    <mergeCell ref="A11:N11"/>
    <mergeCell ref="A12:N12"/>
    <mergeCell ref="I13:K13"/>
    <mergeCell ref="A34:G34"/>
    <mergeCell ref="I34:O34"/>
    <mergeCell ref="A36:G36"/>
    <mergeCell ref="I36:O36"/>
    <mergeCell ref="F15:I15"/>
    <mergeCell ref="J15:J16"/>
    <mergeCell ref="K15:K16"/>
    <mergeCell ref="L15:M15"/>
    <mergeCell ref="N15:O15"/>
    <mergeCell ref="A18:O18"/>
    <mergeCell ref="A15:A16"/>
    <mergeCell ref="B15:B16"/>
    <mergeCell ref="C15:C16"/>
    <mergeCell ref="D15:D16"/>
    <mergeCell ref="E15:E16"/>
    <mergeCell ref="A23:O23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O37"/>
  <sheetViews>
    <sheetView topLeftCell="A16" zoomScale="70" zoomScaleNormal="70" workbookViewId="0">
      <selection activeCell="A37" sqref="A37:G37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331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5" x14ac:dyDescent="0.25">
      <c r="A3" s="7" t="s">
        <v>305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8" t="s">
        <v>41</v>
      </c>
      <c r="B4" s="8"/>
      <c r="C4" s="8"/>
      <c r="D4" s="8"/>
      <c r="E4" s="8"/>
      <c r="F4" s="8"/>
      <c r="G4" s="8"/>
      <c r="H4" s="8"/>
      <c r="I4" s="8"/>
      <c r="J4" s="1" t="s">
        <v>263</v>
      </c>
      <c r="K4" s="2"/>
      <c r="L4" s="2"/>
      <c r="M4" s="2"/>
      <c r="N4" s="2"/>
    </row>
    <row r="5" spans="1:15" x14ac:dyDescent="0.25">
      <c r="A5" s="6" t="s">
        <v>42</v>
      </c>
      <c r="F5" s="9"/>
      <c r="G5" s="9"/>
      <c r="H5" s="9"/>
      <c r="I5" s="9"/>
      <c r="J5" s="3"/>
      <c r="K5" s="3"/>
      <c r="L5" s="1"/>
      <c r="M5" s="1"/>
      <c r="N5" s="1"/>
    </row>
    <row r="6" spans="1:15" x14ac:dyDescent="0.25">
      <c r="A6" s="9" t="s">
        <v>68</v>
      </c>
      <c r="B6" s="9"/>
      <c r="C6" s="9"/>
      <c r="D6" s="9"/>
      <c r="E6" s="9"/>
      <c r="F6" s="9"/>
      <c r="G6" s="9"/>
      <c r="H6" s="9"/>
      <c r="I6" s="9"/>
      <c r="J6" s="1" t="s">
        <v>262</v>
      </c>
      <c r="K6" s="1"/>
      <c r="L6" s="1"/>
      <c r="M6" s="1"/>
      <c r="N6" s="1"/>
    </row>
    <row r="7" spans="1:15" x14ac:dyDescent="0.25">
      <c r="A7" s="9" t="s">
        <v>43</v>
      </c>
      <c r="B7" s="9"/>
      <c r="C7" s="9"/>
      <c r="D7" s="9"/>
      <c r="E7" s="9"/>
      <c r="F7" s="9"/>
      <c r="G7" s="9"/>
      <c r="H7" s="9"/>
      <c r="I7" s="9"/>
      <c r="J7" s="1" t="s">
        <v>264</v>
      </c>
      <c r="K7" s="1"/>
      <c r="L7" s="1"/>
      <c r="M7" s="1"/>
      <c r="N7" s="1"/>
    </row>
    <row r="8" spans="1:15" x14ac:dyDescent="0.25">
      <c r="A8" s="9" t="s">
        <v>1</v>
      </c>
      <c r="B8" s="9"/>
      <c r="C8" s="9"/>
      <c r="D8" s="9"/>
      <c r="E8" s="9"/>
      <c r="J8" s="3"/>
      <c r="K8" s="3"/>
      <c r="L8" s="3"/>
      <c r="M8" s="3"/>
      <c r="N8" s="3"/>
    </row>
    <row r="9" spans="1:15" x14ac:dyDescent="0.25">
      <c r="A9" s="97" t="s">
        <v>44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</row>
    <row r="10" spans="1:15" x14ac:dyDescent="0.25">
      <c r="A10" s="10" t="s">
        <v>45</v>
      </c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</row>
    <row r="11" spans="1:15" x14ac:dyDescent="0.25">
      <c r="A11" s="98" t="s">
        <v>140</v>
      </c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</row>
    <row r="12" spans="1:15" x14ac:dyDescent="0.25">
      <c r="A12" s="98" t="s">
        <v>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I13" s="98"/>
      <c r="J13" s="98"/>
      <c r="K13" s="98"/>
    </row>
    <row r="14" spans="1:15" x14ac:dyDescent="0.25">
      <c r="A14" s="6" t="s">
        <v>294</v>
      </c>
      <c r="L14" s="86"/>
    </row>
    <row r="15" spans="1:15" ht="16.5" customHeight="1" x14ac:dyDescent="0.25">
      <c r="A15" s="104" t="s">
        <v>2</v>
      </c>
      <c r="B15" s="104" t="s">
        <v>3</v>
      </c>
      <c r="C15" s="104" t="s">
        <v>4</v>
      </c>
      <c r="D15" s="104" t="s">
        <v>5</v>
      </c>
      <c r="E15" s="104" t="s">
        <v>6</v>
      </c>
      <c r="F15" s="101" t="s">
        <v>7</v>
      </c>
      <c r="G15" s="102"/>
      <c r="H15" s="102"/>
      <c r="I15" s="103"/>
      <c r="J15" s="104" t="s">
        <v>12</v>
      </c>
      <c r="K15" s="104" t="s">
        <v>13</v>
      </c>
      <c r="L15" s="101" t="s">
        <v>14</v>
      </c>
      <c r="M15" s="103"/>
      <c r="N15" s="101" t="s">
        <v>15</v>
      </c>
      <c r="O15" s="103"/>
    </row>
    <row r="16" spans="1:15" ht="27.6" x14ac:dyDescent="0.25">
      <c r="A16" s="105"/>
      <c r="B16" s="105"/>
      <c r="C16" s="105"/>
      <c r="D16" s="105"/>
      <c r="E16" s="105"/>
      <c r="F16" s="4" t="s">
        <v>8</v>
      </c>
      <c r="G16" s="4" t="s">
        <v>9</v>
      </c>
      <c r="H16" s="4" t="s">
        <v>10</v>
      </c>
      <c r="I16" s="4" t="s">
        <v>11</v>
      </c>
      <c r="J16" s="105"/>
      <c r="K16" s="105"/>
      <c r="L16" s="4" t="s">
        <v>16</v>
      </c>
      <c r="M16" s="4" t="s">
        <v>17</v>
      </c>
      <c r="N16" s="4" t="s">
        <v>16</v>
      </c>
      <c r="O16" s="4" t="s">
        <v>17</v>
      </c>
    </row>
    <row r="17" spans="1:15" x14ac:dyDescent="0.25">
      <c r="A17" s="4">
        <v>1</v>
      </c>
      <c r="B17" s="4">
        <v>2</v>
      </c>
      <c r="C17" s="4">
        <v>3</v>
      </c>
      <c r="D17" s="4">
        <v>4</v>
      </c>
      <c r="E17" s="4">
        <v>5</v>
      </c>
      <c r="F17" s="4">
        <v>6</v>
      </c>
      <c r="G17" s="4">
        <v>7</v>
      </c>
      <c r="H17" s="4">
        <v>8</v>
      </c>
      <c r="I17" s="4">
        <v>9</v>
      </c>
      <c r="J17" s="4">
        <v>10</v>
      </c>
      <c r="K17" s="4">
        <v>11</v>
      </c>
      <c r="L17" s="4">
        <v>12</v>
      </c>
      <c r="M17" s="4">
        <v>13</v>
      </c>
      <c r="N17" s="4">
        <v>14</v>
      </c>
      <c r="O17" s="4">
        <v>15</v>
      </c>
    </row>
    <row r="18" spans="1:15" x14ac:dyDescent="0.25">
      <c r="A18" s="106" t="s">
        <v>20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8"/>
    </row>
    <row r="19" spans="1:15" ht="32.25" customHeight="1" x14ac:dyDescent="0.25">
      <c r="A19" s="11" t="s">
        <v>80</v>
      </c>
      <c r="B19" s="12"/>
      <c r="C19" s="4"/>
      <c r="D19" s="4"/>
      <c r="E19" s="4"/>
      <c r="F19" s="4"/>
      <c r="G19" s="13"/>
      <c r="H19" s="13"/>
      <c r="I19" s="13"/>
      <c r="J19" s="14"/>
      <c r="K19" s="14"/>
      <c r="L19" s="14"/>
      <c r="M19" s="14"/>
      <c r="N19" s="14"/>
      <c r="O19" s="14"/>
    </row>
    <row r="20" spans="1:15" ht="45.75" customHeight="1" x14ac:dyDescent="0.25">
      <c r="A20" s="11" t="s">
        <v>328</v>
      </c>
      <c r="B20" s="4">
        <v>3</v>
      </c>
      <c r="C20" s="4" t="s">
        <v>59</v>
      </c>
      <c r="D20" s="5">
        <v>5.5</v>
      </c>
      <c r="E20" s="5">
        <v>5</v>
      </c>
      <c r="F20" s="15">
        <v>52</v>
      </c>
      <c r="G20" s="13">
        <v>11329.799999999997</v>
      </c>
      <c r="H20" s="13">
        <v>124.80000000000013</v>
      </c>
      <c r="I20" s="13">
        <v>11205.000000000002</v>
      </c>
      <c r="J20" s="13"/>
      <c r="K20" s="13">
        <f>+I20*(108.5/(100+E20))</f>
        <v>11578.500000000004</v>
      </c>
      <c r="L20" s="13"/>
      <c r="M20" s="13"/>
      <c r="N20" s="13"/>
      <c r="O20" s="13"/>
    </row>
    <row r="21" spans="1:15" ht="45.75" customHeight="1" x14ac:dyDescent="0.25">
      <c r="A21" s="11" t="s">
        <v>329</v>
      </c>
      <c r="B21" s="4">
        <v>4</v>
      </c>
      <c r="C21" s="4" t="s">
        <v>27</v>
      </c>
      <c r="D21" s="5">
        <v>6</v>
      </c>
      <c r="E21" s="5">
        <v>5</v>
      </c>
      <c r="F21" s="15">
        <v>58</v>
      </c>
      <c r="G21" s="13">
        <v>12643.399999999998</v>
      </c>
      <c r="H21" s="13">
        <v>139.20000000000016</v>
      </c>
      <c r="I21" s="13">
        <v>12504.200000000003</v>
      </c>
      <c r="J21" s="13"/>
      <c r="K21" s="13">
        <f>+I21*(108.5/(100+E21))</f>
        <v>12921.00666666667</v>
      </c>
      <c r="L21" s="13"/>
      <c r="M21" s="13"/>
      <c r="N21" s="13"/>
      <c r="O21" s="13"/>
    </row>
    <row r="22" spans="1:15" ht="30.75" customHeight="1" x14ac:dyDescent="0.25">
      <c r="A22" s="16" t="s">
        <v>21</v>
      </c>
      <c r="B22" s="4"/>
      <c r="C22" s="4"/>
      <c r="D22" s="4"/>
      <c r="E22" s="13"/>
      <c r="F22" s="17">
        <f>SUM(F20:F21)</f>
        <v>110</v>
      </c>
      <c r="G22" s="17">
        <f>SUM(G20:G21)</f>
        <v>23973.199999999997</v>
      </c>
      <c r="H22" s="17">
        <f t="shared" ref="H22:I22" si="0">SUM(H20:H21)</f>
        <v>264.00000000000028</v>
      </c>
      <c r="I22" s="17">
        <f t="shared" si="0"/>
        <v>23709.200000000004</v>
      </c>
      <c r="J22" s="17"/>
      <c r="K22" s="17">
        <f>SUM(K20:K21)</f>
        <v>24499.506666666675</v>
      </c>
      <c r="L22" s="18"/>
      <c r="M22" s="13"/>
      <c r="N22" s="13"/>
      <c r="O22" s="13"/>
    </row>
    <row r="23" spans="1:15" ht="14.25" customHeight="1" x14ac:dyDescent="0.25">
      <c r="A23" s="19"/>
      <c r="B23" s="20"/>
      <c r="C23" s="20"/>
      <c r="D23" s="20"/>
      <c r="E23" s="21"/>
      <c r="F23" s="22"/>
      <c r="G23" s="22"/>
      <c r="H23" s="22"/>
      <c r="I23" s="22"/>
      <c r="J23" s="22"/>
      <c r="K23" s="22"/>
      <c r="L23" s="22"/>
      <c r="M23" s="21"/>
      <c r="N23" s="21"/>
      <c r="O23" s="21"/>
    </row>
    <row r="24" spans="1:15" ht="14.4" x14ac:dyDescent="0.3">
      <c r="A24" s="109" t="s">
        <v>302</v>
      </c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</row>
    <row r="25" spans="1:15" ht="11.25" customHeight="1" x14ac:dyDescent="0.25"/>
    <row r="26" spans="1:15" x14ac:dyDescent="0.25">
      <c r="A26" s="6" t="s">
        <v>22</v>
      </c>
      <c r="D26" s="24">
        <f>+I22</f>
        <v>23709.200000000004</v>
      </c>
    </row>
    <row r="27" spans="1:15" x14ac:dyDescent="0.25">
      <c r="D27" s="25"/>
      <c r="G27" s="23"/>
      <c r="H27" s="23"/>
      <c r="I27" s="23"/>
      <c r="J27" s="23"/>
      <c r="K27" s="23"/>
    </row>
    <row r="28" spans="1:15" x14ac:dyDescent="0.25">
      <c r="A28" s="6" t="s">
        <v>23</v>
      </c>
      <c r="D28" s="24">
        <f>+K22</f>
        <v>24499.506666666675</v>
      </c>
    </row>
    <row r="29" spans="1:15" ht="11.25" customHeight="1" x14ac:dyDescent="0.25">
      <c r="D29" s="24"/>
    </row>
    <row r="30" spans="1:15" ht="10.5" customHeight="1" x14ac:dyDescent="0.25"/>
    <row r="31" spans="1:15" x14ac:dyDescent="0.25">
      <c r="A31" s="95" t="s">
        <v>25</v>
      </c>
      <c r="B31" s="95"/>
      <c r="C31" s="95"/>
      <c r="D31" s="95"/>
      <c r="E31" s="95"/>
      <c r="F31" s="95"/>
      <c r="G31" s="95"/>
    </row>
    <row r="32" spans="1:15" ht="9.75" customHeight="1" x14ac:dyDescent="0.25"/>
    <row r="33" spans="1:15" x14ac:dyDescent="0.25">
      <c r="A33" s="95" t="s">
        <v>82</v>
      </c>
      <c r="B33" s="95"/>
      <c r="C33" s="95"/>
      <c r="D33" s="95"/>
      <c r="E33" s="95"/>
      <c r="F33" s="95"/>
      <c r="G33" s="95"/>
    </row>
    <row r="34" spans="1:15" ht="12" customHeight="1" x14ac:dyDescent="0.25"/>
    <row r="35" spans="1:15" x14ac:dyDescent="0.25">
      <c r="A35" s="95" t="s">
        <v>26</v>
      </c>
      <c r="B35" s="95"/>
      <c r="C35" s="95"/>
      <c r="D35" s="95"/>
      <c r="E35" s="95"/>
      <c r="F35" s="95"/>
      <c r="G35" s="95"/>
      <c r="I35" s="95"/>
      <c r="J35" s="95"/>
      <c r="K35" s="95"/>
      <c r="L35" s="95"/>
      <c r="M35" s="95"/>
      <c r="N35" s="95"/>
      <c r="O35" s="95"/>
    </row>
    <row r="36" spans="1:15" ht="11.25" customHeight="1" x14ac:dyDescent="0.25"/>
    <row r="37" spans="1:15" x14ac:dyDescent="0.25">
      <c r="A37" s="110" t="s">
        <v>265</v>
      </c>
      <c r="B37" s="110"/>
      <c r="C37" s="110"/>
      <c r="D37" s="110"/>
      <c r="E37" s="110"/>
      <c r="F37" s="110"/>
      <c r="G37" s="110"/>
      <c r="I37" s="100" t="s">
        <v>46</v>
      </c>
      <c r="J37" s="100"/>
      <c r="K37" s="100"/>
      <c r="L37" s="100"/>
      <c r="M37" s="100"/>
      <c r="N37" s="100"/>
      <c r="O37" s="100"/>
    </row>
  </sheetData>
  <mergeCells count="23">
    <mergeCell ref="A31:G31"/>
    <mergeCell ref="A33:G33"/>
    <mergeCell ref="A1:O1"/>
    <mergeCell ref="A9:N9"/>
    <mergeCell ref="A11:N11"/>
    <mergeCell ref="A12:N12"/>
    <mergeCell ref="I13:K13"/>
    <mergeCell ref="A35:G35"/>
    <mergeCell ref="I35:O35"/>
    <mergeCell ref="A37:G37"/>
    <mergeCell ref="I37:O37"/>
    <mergeCell ref="F15:I15"/>
    <mergeCell ref="J15:J16"/>
    <mergeCell ref="K15:K16"/>
    <mergeCell ref="L15:M15"/>
    <mergeCell ref="N15:O15"/>
    <mergeCell ref="A18:O18"/>
    <mergeCell ref="A15:A16"/>
    <mergeCell ref="B15:B16"/>
    <mergeCell ref="C15:C16"/>
    <mergeCell ref="D15:D16"/>
    <mergeCell ref="E15:E16"/>
    <mergeCell ref="A24:O24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O37"/>
  <sheetViews>
    <sheetView zoomScale="70" zoomScaleNormal="70" workbookViewId="0">
      <selection activeCell="F22" sqref="F22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332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5" x14ac:dyDescent="0.25">
      <c r="A3" s="7" t="s">
        <v>333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8" t="s">
        <v>41</v>
      </c>
      <c r="B4" s="8"/>
      <c r="C4" s="8"/>
      <c r="D4" s="8"/>
      <c r="E4" s="8"/>
      <c r="F4" s="8"/>
      <c r="G4" s="8"/>
      <c r="H4" s="8"/>
      <c r="I4" s="8"/>
      <c r="J4" s="3" t="s">
        <v>94</v>
      </c>
      <c r="K4" s="2"/>
      <c r="L4" s="2"/>
      <c r="M4" s="2"/>
      <c r="N4" s="2"/>
    </row>
    <row r="5" spans="1:15" x14ac:dyDescent="0.25">
      <c r="A5" s="6" t="s">
        <v>42</v>
      </c>
      <c r="F5" s="9"/>
      <c r="G5" s="9"/>
      <c r="H5" s="9"/>
      <c r="I5" s="9"/>
      <c r="J5" s="3"/>
      <c r="K5" s="3"/>
      <c r="L5" s="1"/>
      <c r="M5" s="1"/>
      <c r="N5" s="1"/>
    </row>
    <row r="6" spans="1:15" x14ac:dyDescent="0.25">
      <c r="A6" s="9" t="s">
        <v>68</v>
      </c>
      <c r="B6" s="9"/>
      <c r="C6" s="9"/>
      <c r="D6" s="9"/>
      <c r="E6" s="9"/>
      <c r="F6" s="9"/>
      <c r="G6" s="9"/>
      <c r="H6" s="9"/>
      <c r="I6" s="9"/>
      <c r="J6" s="1" t="s">
        <v>262</v>
      </c>
      <c r="K6" s="1"/>
      <c r="L6" s="1"/>
      <c r="M6" s="1"/>
      <c r="N6" s="1"/>
    </row>
    <row r="7" spans="1:15" x14ac:dyDescent="0.25">
      <c r="A7" s="9" t="s">
        <v>43</v>
      </c>
      <c r="B7" s="9"/>
      <c r="C7" s="9"/>
      <c r="D7" s="9"/>
      <c r="E7" s="9"/>
      <c r="F7" s="9"/>
      <c r="G7" s="9"/>
      <c r="H7" s="9"/>
      <c r="I7" s="9"/>
      <c r="J7" s="1" t="s">
        <v>264</v>
      </c>
      <c r="K7" s="1"/>
      <c r="L7" s="1"/>
      <c r="M7" s="1"/>
      <c r="N7" s="1"/>
    </row>
    <row r="8" spans="1:15" x14ac:dyDescent="0.25">
      <c r="A8" s="9" t="s">
        <v>1</v>
      </c>
      <c r="B8" s="9"/>
      <c r="C8" s="9"/>
      <c r="D8" s="9"/>
      <c r="E8" s="9"/>
      <c r="J8" s="3"/>
      <c r="K8" s="3"/>
      <c r="L8" s="3"/>
      <c r="M8" s="3"/>
      <c r="N8" s="3"/>
    </row>
    <row r="9" spans="1:15" x14ac:dyDescent="0.25">
      <c r="A9" s="97" t="s">
        <v>44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</row>
    <row r="10" spans="1:15" x14ac:dyDescent="0.25">
      <c r="A10" s="10" t="s">
        <v>45</v>
      </c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</row>
    <row r="11" spans="1:15" x14ac:dyDescent="0.25">
      <c r="A11" s="98" t="s">
        <v>140</v>
      </c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</row>
    <row r="12" spans="1:15" x14ac:dyDescent="0.25">
      <c r="A12" s="98" t="s">
        <v>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I13" s="98"/>
      <c r="J13" s="98"/>
      <c r="K13" s="98"/>
    </row>
    <row r="14" spans="1:15" x14ac:dyDescent="0.25">
      <c r="A14" s="6" t="s">
        <v>294</v>
      </c>
      <c r="L14" s="88"/>
    </row>
    <row r="15" spans="1:15" ht="16.5" customHeight="1" x14ac:dyDescent="0.25">
      <c r="A15" s="104" t="s">
        <v>2</v>
      </c>
      <c r="B15" s="104" t="s">
        <v>3</v>
      </c>
      <c r="C15" s="104" t="s">
        <v>4</v>
      </c>
      <c r="D15" s="104" t="s">
        <v>5</v>
      </c>
      <c r="E15" s="104" t="s">
        <v>6</v>
      </c>
      <c r="F15" s="101" t="s">
        <v>7</v>
      </c>
      <c r="G15" s="102"/>
      <c r="H15" s="102"/>
      <c r="I15" s="103"/>
      <c r="J15" s="104" t="s">
        <v>12</v>
      </c>
      <c r="K15" s="104" t="s">
        <v>13</v>
      </c>
      <c r="L15" s="101" t="s">
        <v>14</v>
      </c>
      <c r="M15" s="103"/>
      <c r="N15" s="101" t="s">
        <v>15</v>
      </c>
      <c r="O15" s="103"/>
    </row>
    <row r="16" spans="1:15" ht="27.6" x14ac:dyDescent="0.25">
      <c r="A16" s="105"/>
      <c r="B16" s="105"/>
      <c r="C16" s="105"/>
      <c r="D16" s="105"/>
      <c r="E16" s="105"/>
      <c r="F16" s="4" t="s">
        <v>8</v>
      </c>
      <c r="G16" s="4" t="s">
        <v>9</v>
      </c>
      <c r="H16" s="4" t="s">
        <v>10</v>
      </c>
      <c r="I16" s="4" t="s">
        <v>11</v>
      </c>
      <c r="J16" s="105"/>
      <c r="K16" s="105"/>
      <c r="L16" s="4" t="s">
        <v>16</v>
      </c>
      <c r="M16" s="4" t="s">
        <v>17</v>
      </c>
      <c r="N16" s="4" t="s">
        <v>16</v>
      </c>
      <c r="O16" s="4" t="s">
        <v>17</v>
      </c>
    </row>
    <row r="17" spans="1:15" x14ac:dyDescent="0.25">
      <c r="A17" s="4">
        <v>1</v>
      </c>
      <c r="B17" s="4">
        <v>2</v>
      </c>
      <c r="C17" s="4">
        <v>3</v>
      </c>
      <c r="D17" s="4">
        <v>4</v>
      </c>
      <c r="E17" s="4">
        <v>5</v>
      </c>
      <c r="F17" s="4">
        <v>6</v>
      </c>
      <c r="G17" s="4">
        <v>7</v>
      </c>
      <c r="H17" s="4">
        <v>8</v>
      </c>
      <c r="I17" s="4">
        <v>9</v>
      </c>
      <c r="J17" s="4">
        <v>10</v>
      </c>
      <c r="K17" s="4">
        <v>11</v>
      </c>
      <c r="L17" s="4">
        <v>12</v>
      </c>
      <c r="M17" s="4">
        <v>13</v>
      </c>
      <c r="N17" s="4">
        <v>14</v>
      </c>
      <c r="O17" s="4">
        <v>15</v>
      </c>
    </row>
    <row r="18" spans="1:15" x14ac:dyDescent="0.25">
      <c r="A18" s="106" t="s">
        <v>20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8"/>
    </row>
    <row r="19" spans="1:15" ht="32.25" customHeight="1" x14ac:dyDescent="0.25">
      <c r="A19" s="11" t="s">
        <v>80</v>
      </c>
      <c r="B19" s="12"/>
      <c r="C19" s="4"/>
      <c r="D19" s="4"/>
      <c r="E19" s="4"/>
      <c r="F19" s="4"/>
      <c r="G19" s="13"/>
      <c r="H19" s="13"/>
      <c r="I19" s="13"/>
      <c r="J19" s="14"/>
      <c r="K19" s="14"/>
      <c r="L19" s="14"/>
      <c r="M19" s="14"/>
      <c r="N19" s="14"/>
      <c r="O19" s="14"/>
    </row>
    <row r="20" spans="1:15" ht="45.75" customHeight="1" x14ac:dyDescent="0.25">
      <c r="A20" s="11" t="s">
        <v>342</v>
      </c>
      <c r="B20" s="4">
        <v>3</v>
      </c>
      <c r="C20" s="4" t="s">
        <v>27</v>
      </c>
      <c r="D20" s="5">
        <v>4</v>
      </c>
      <c r="E20" s="5">
        <v>5</v>
      </c>
      <c r="F20" s="15">
        <v>62</v>
      </c>
      <c r="G20" s="13">
        <v>13162.2</v>
      </c>
      <c r="H20" s="13">
        <v>148.80000000000018</v>
      </c>
      <c r="I20" s="13">
        <v>13013.400000000003</v>
      </c>
      <c r="J20" s="13"/>
      <c r="K20" s="13">
        <f>+I20*(108.5/(100+E20))</f>
        <v>13447.180000000004</v>
      </c>
      <c r="L20" s="13"/>
      <c r="M20" s="13"/>
      <c r="N20" s="13"/>
      <c r="O20" s="13"/>
    </row>
    <row r="21" spans="1:15" ht="45.75" customHeight="1" x14ac:dyDescent="0.25">
      <c r="A21" s="11" t="s">
        <v>343</v>
      </c>
      <c r="B21" s="4">
        <v>4</v>
      </c>
      <c r="C21" s="4" t="s">
        <v>27</v>
      </c>
      <c r="D21" s="5">
        <v>6</v>
      </c>
      <c r="E21" s="5">
        <v>5</v>
      </c>
      <c r="F21" s="15">
        <v>48</v>
      </c>
      <c r="G21" s="13">
        <v>10519.599999999999</v>
      </c>
      <c r="H21" s="13">
        <v>115.2000000000001</v>
      </c>
      <c r="I21" s="13">
        <v>10404.399999999998</v>
      </c>
      <c r="J21" s="13"/>
      <c r="K21" s="13">
        <f>+I21*(108.5/(100+E21))</f>
        <v>10751.213333333331</v>
      </c>
      <c r="L21" s="13"/>
      <c r="M21" s="13"/>
      <c r="N21" s="13"/>
      <c r="O21" s="13"/>
    </row>
    <row r="22" spans="1:15" ht="30.75" customHeight="1" x14ac:dyDescent="0.25">
      <c r="A22" s="16" t="s">
        <v>21</v>
      </c>
      <c r="B22" s="4"/>
      <c r="C22" s="4"/>
      <c r="D22" s="4"/>
      <c r="E22" s="13"/>
      <c r="F22" s="17">
        <f>SUM(F20:F21)</f>
        <v>110</v>
      </c>
      <c r="G22" s="17">
        <f>SUM(G20:G21)</f>
        <v>23681.8</v>
      </c>
      <c r="H22" s="17">
        <f t="shared" ref="H22:I22" si="0">SUM(H20:H21)</f>
        <v>264.00000000000028</v>
      </c>
      <c r="I22" s="17">
        <f t="shared" si="0"/>
        <v>23417.800000000003</v>
      </c>
      <c r="J22" s="17"/>
      <c r="K22" s="17">
        <f>SUM(K20:K21)</f>
        <v>24198.393333333333</v>
      </c>
      <c r="L22" s="18"/>
      <c r="M22" s="13"/>
      <c r="N22" s="13"/>
      <c r="O22" s="13"/>
    </row>
    <row r="23" spans="1:15" ht="14.25" customHeight="1" x14ac:dyDescent="0.25">
      <c r="A23" s="19"/>
      <c r="B23" s="20"/>
      <c r="C23" s="20"/>
      <c r="D23" s="20"/>
      <c r="E23" s="21"/>
      <c r="F23" s="22"/>
      <c r="G23" s="22"/>
      <c r="H23" s="22"/>
      <c r="I23" s="22"/>
      <c r="J23" s="22"/>
      <c r="K23" s="22"/>
      <c r="L23" s="22"/>
      <c r="M23" s="21"/>
      <c r="N23" s="21"/>
      <c r="O23" s="21"/>
    </row>
    <row r="24" spans="1:15" ht="14.4" x14ac:dyDescent="0.3">
      <c r="A24" s="109" t="s">
        <v>302</v>
      </c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</row>
    <row r="25" spans="1:15" ht="11.25" customHeight="1" x14ac:dyDescent="0.25"/>
    <row r="26" spans="1:15" x14ac:dyDescent="0.25">
      <c r="A26" s="6" t="s">
        <v>22</v>
      </c>
      <c r="D26" s="24">
        <f>+I22</f>
        <v>23417.800000000003</v>
      </c>
    </row>
    <row r="27" spans="1:15" x14ac:dyDescent="0.25">
      <c r="D27" s="25"/>
      <c r="G27" s="23"/>
      <c r="H27" s="23"/>
      <c r="I27" s="23"/>
      <c r="J27" s="23"/>
      <c r="K27" s="23"/>
    </row>
    <row r="28" spans="1:15" x14ac:dyDescent="0.25">
      <c r="A28" s="6" t="s">
        <v>23</v>
      </c>
      <c r="D28" s="24">
        <f>+K22</f>
        <v>24198.393333333333</v>
      </c>
    </row>
    <row r="29" spans="1:15" ht="11.25" customHeight="1" x14ac:dyDescent="0.25">
      <c r="D29" s="24"/>
    </row>
    <row r="30" spans="1:15" ht="10.5" customHeight="1" x14ac:dyDescent="0.25"/>
    <row r="31" spans="1:15" x14ac:dyDescent="0.25">
      <c r="A31" s="95" t="s">
        <v>25</v>
      </c>
      <c r="B31" s="95"/>
      <c r="C31" s="95"/>
      <c r="D31" s="95"/>
      <c r="E31" s="95"/>
      <c r="F31" s="95"/>
      <c r="G31" s="95"/>
    </row>
    <row r="32" spans="1:15" ht="9.75" customHeight="1" x14ac:dyDescent="0.25"/>
    <row r="33" spans="1:15" x14ac:dyDescent="0.25">
      <c r="A33" s="95" t="s">
        <v>82</v>
      </c>
      <c r="B33" s="95"/>
      <c r="C33" s="95"/>
      <c r="D33" s="95"/>
      <c r="E33" s="95"/>
      <c r="F33" s="95"/>
      <c r="G33" s="95"/>
    </row>
    <row r="34" spans="1:15" ht="12" customHeight="1" x14ac:dyDescent="0.25"/>
    <row r="35" spans="1:15" x14ac:dyDescent="0.25">
      <c r="A35" s="95" t="s">
        <v>26</v>
      </c>
      <c r="B35" s="95"/>
      <c r="C35" s="95"/>
      <c r="D35" s="95"/>
      <c r="E35" s="95"/>
      <c r="F35" s="95"/>
      <c r="G35" s="95"/>
      <c r="I35" s="95"/>
      <c r="J35" s="95"/>
      <c r="K35" s="95"/>
      <c r="L35" s="95"/>
      <c r="M35" s="95"/>
      <c r="N35" s="95"/>
      <c r="O35" s="95"/>
    </row>
    <row r="36" spans="1:15" ht="11.25" customHeight="1" x14ac:dyDescent="0.25"/>
    <row r="37" spans="1:15" x14ac:dyDescent="0.25">
      <c r="A37" s="110" t="s">
        <v>311</v>
      </c>
      <c r="B37" s="110"/>
      <c r="C37" s="110"/>
      <c r="D37" s="110"/>
      <c r="E37" s="110"/>
      <c r="F37" s="110"/>
      <c r="G37" s="110"/>
      <c r="I37" s="100" t="s">
        <v>46</v>
      </c>
      <c r="J37" s="100"/>
      <c r="K37" s="100"/>
      <c r="L37" s="100"/>
      <c r="M37" s="100"/>
      <c r="N37" s="100"/>
      <c r="O37" s="100"/>
    </row>
  </sheetData>
  <mergeCells count="23">
    <mergeCell ref="A31:G31"/>
    <mergeCell ref="A33:G33"/>
    <mergeCell ref="A1:O1"/>
    <mergeCell ref="A9:N9"/>
    <mergeCell ref="A11:N11"/>
    <mergeCell ref="A12:N12"/>
    <mergeCell ref="I13:K13"/>
    <mergeCell ref="A35:G35"/>
    <mergeCell ref="I35:O35"/>
    <mergeCell ref="A37:G37"/>
    <mergeCell ref="I37:O37"/>
    <mergeCell ref="F15:I15"/>
    <mergeCell ref="J15:J16"/>
    <mergeCell ref="K15:K16"/>
    <mergeCell ref="L15:M15"/>
    <mergeCell ref="N15:O15"/>
    <mergeCell ref="A18:O18"/>
    <mergeCell ref="A15:A16"/>
    <mergeCell ref="B15:B16"/>
    <mergeCell ref="C15:C16"/>
    <mergeCell ref="D15:D16"/>
    <mergeCell ref="E15:E16"/>
    <mergeCell ref="A24:O24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O37"/>
  <sheetViews>
    <sheetView zoomScale="70" zoomScaleNormal="70" workbookViewId="0">
      <selection activeCell="A3" sqref="A3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334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5" x14ac:dyDescent="0.25">
      <c r="A3" s="7" t="s">
        <v>333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ht="15" x14ac:dyDescent="0.25">
      <c r="A4" s="8" t="s">
        <v>41</v>
      </c>
      <c r="B4" s="8"/>
      <c r="C4" s="8"/>
      <c r="D4" s="8"/>
      <c r="E4" s="8"/>
      <c r="F4" s="8"/>
      <c r="G4" s="8"/>
      <c r="H4" s="8"/>
      <c r="I4" s="8"/>
      <c r="J4" s="3" t="s">
        <v>337</v>
      </c>
      <c r="K4" s="1"/>
      <c r="L4" s="2"/>
      <c r="M4" s="2"/>
      <c r="N4" s="2"/>
    </row>
    <row r="5" spans="1:15" x14ac:dyDescent="0.25">
      <c r="A5" s="6" t="s">
        <v>42</v>
      </c>
      <c r="F5" s="9"/>
      <c r="G5" s="9"/>
      <c r="H5" s="9"/>
      <c r="I5" s="9"/>
      <c r="J5" s="3"/>
      <c r="K5" s="64"/>
      <c r="L5" s="1"/>
      <c r="M5" s="1"/>
      <c r="N5" s="1"/>
    </row>
    <row r="6" spans="1:15" x14ac:dyDescent="0.25">
      <c r="A6" s="9" t="s">
        <v>68</v>
      </c>
      <c r="B6" s="9"/>
      <c r="C6" s="9"/>
      <c r="D6" s="9"/>
      <c r="E6" s="9"/>
      <c r="F6" s="9"/>
      <c r="G6" s="9"/>
      <c r="H6" s="9"/>
      <c r="I6" s="9"/>
      <c r="J6" s="3" t="s">
        <v>31</v>
      </c>
      <c r="K6" s="1"/>
      <c r="L6" s="1"/>
      <c r="M6" s="1"/>
      <c r="N6" s="1"/>
    </row>
    <row r="7" spans="1:15" x14ac:dyDescent="0.25">
      <c r="A7" s="9" t="s">
        <v>43</v>
      </c>
      <c r="B7" s="9"/>
      <c r="C7" s="9"/>
      <c r="D7" s="9"/>
      <c r="E7" s="9"/>
      <c r="F7" s="9"/>
      <c r="G7" s="9"/>
      <c r="H7" s="9"/>
      <c r="I7" s="9"/>
      <c r="J7" s="3" t="s">
        <v>32</v>
      </c>
      <c r="K7" s="1"/>
      <c r="L7" s="1"/>
      <c r="M7" s="1"/>
      <c r="N7" s="1"/>
    </row>
    <row r="8" spans="1:15" x14ac:dyDescent="0.25">
      <c r="A8" s="9" t="s">
        <v>1</v>
      </c>
      <c r="B8" s="9"/>
      <c r="C8" s="9"/>
      <c r="D8" s="9"/>
      <c r="E8" s="9"/>
      <c r="J8" s="3"/>
      <c r="K8" s="3"/>
      <c r="L8" s="3"/>
      <c r="M8" s="3"/>
      <c r="N8" s="3"/>
    </row>
    <row r="9" spans="1:15" x14ac:dyDescent="0.25">
      <c r="A9" s="97" t="s">
        <v>44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</row>
    <row r="10" spans="1:15" x14ac:dyDescent="0.25">
      <c r="A10" s="10" t="s">
        <v>45</v>
      </c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</row>
    <row r="11" spans="1:15" x14ac:dyDescent="0.25">
      <c r="A11" s="98" t="s">
        <v>140</v>
      </c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</row>
    <row r="12" spans="1:15" x14ac:dyDescent="0.25">
      <c r="A12" s="98" t="s">
        <v>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I13" s="98" t="s">
        <v>18</v>
      </c>
      <c r="J13" s="98"/>
      <c r="K13" s="98"/>
    </row>
    <row r="14" spans="1:15" x14ac:dyDescent="0.25">
      <c r="A14" s="6" t="s">
        <v>267</v>
      </c>
      <c r="I14" s="6" t="s">
        <v>19</v>
      </c>
      <c r="L14" s="88">
        <v>4</v>
      </c>
    </row>
    <row r="15" spans="1:15" ht="16.5" customHeight="1" x14ac:dyDescent="0.25">
      <c r="A15" s="104" t="s">
        <v>2</v>
      </c>
      <c r="B15" s="104" t="s">
        <v>3</v>
      </c>
      <c r="C15" s="104" t="s">
        <v>4</v>
      </c>
      <c r="D15" s="104" t="s">
        <v>5</v>
      </c>
      <c r="E15" s="104" t="s">
        <v>6</v>
      </c>
      <c r="F15" s="101" t="s">
        <v>7</v>
      </c>
      <c r="G15" s="102"/>
      <c r="H15" s="102"/>
      <c r="I15" s="103"/>
      <c r="J15" s="104" t="s">
        <v>12</v>
      </c>
      <c r="K15" s="104" t="s">
        <v>13</v>
      </c>
      <c r="L15" s="101" t="s">
        <v>14</v>
      </c>
      <c r="M15" s="103"/>
      <c r="N15" s="101" t="s">
        <v>15</v>
      </c>
      <c r="O15" s="103"/>
    </row>
    <row r="16" spans="1:15" ht="27.6" x14ac:dyDescent="0.25">
      <c r="A16" s="105"/>
      <c r="B16" s="105"/>
      <c r="C16" s="105"/>
      <c r="D16" s="105"/>
      <c r="E16" s="105"/>
      <c r="F16" s="4" t="s">
        <v>8</v>
      </c>
      <c r="G16" s="4" t="s">
        <v>9</v>
      </c>
      <c r="H16" s="4" t="s">
        <v>10</v>
      </c>
      <c r="I16" s="4" t="s">
        <v>11</v>
      </c>
      <c r="J16" s="105"/>
      <c r="K16" s="105"/>
      <c r="L16" s="4" t="s">
        <v>16</v>
      </c>
      <c r="M16" s="4" t="s">
        <v>17</v>
      </c>
      <c r="N16" s="4" t="s">
        <v>16</v>
      </c>
      <c r="O16" s="4" t="s">
        <v>17</v>
      </c>
    </row>
    <row r="17" spans="1:15" x14ac:dyDescent="0.25">
      <c r="A17" s="4">
        <v>1</v>
      </c>
      <c r="B17" s="4">
        <v>2</v>
      </c>
      <c r="C17" s="4">
        <v>3</v>
      </c>
      <c r="D17" s="4">
        <v>4</v>
      </c>
      <c r="E17" s="4">
        <v>5</v>
      </c>
      <c r="F17" s="4">
        <v>6</v>
      </c>
      <c r="G17" s="4">
        <v>7</v>
      </c>
      <c r="H17" s="4">
        <v>8</v>
      </c>
      <c r="I17" s="4">
        <v>9</v>
      </c>
      <c r="J17" s="4">
        <v>10</v>
      </c>
      <c r="K17" s="4">
        <v>11</v>
      </c>
      <c r="L17" s="4">
        <v>12</v>
      </c>
      <c r="M17" s="4">
        <v>13</v>
      </c>
      <c r="N17" s="4">
        <v>14</v>
      </c>
      <c r="O17" s="4">
        <v>15</v>
      </c>
    </row>
    <row r="18" spans="1:15" x14ac:dyDescent="0.25">
      <c r="A18" s="106" t="s">
        <v>20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8"/>
    </row>
    <row r="19" spans="1:15" ht="32.25" customHeight="1" x14ac:dyDescent="0.25">
      <c r="A19" s="11" t="s">
        <v>80</v>
      </c>
      <c r="B19" s="12"/>
      <c r="C19" s="4"/>
      <c r="D19" s="4"/>
      <c r="E19" s="4"/>
      <c r="F19" s="4"/>
      <c r="G19" s="13"/>
      <c r="H19" s="13"/>
      <c r="I19" s="13"/>
      <c r="J19" s="14"/>
      <c r="K19" s="14"/>
      <c r="L19" s="14"/>
      <c r="M19" s="14"/>
      <c r="N19" s="14"/>
      <c r="O19" s="14"/>
    </row>
    <row r="20" spans="1:15" ht="42.75" customHeight="1" x14ac:dyDescent="0.25">
      <c r="A20" s="11" t="s">
        <v>335</v>
      </c>
      <c r="B20" s="4">
        <v>1</v>
      </c>
      <c r="C20" s="4" t="s">
        <v>27</v>
      </c>
      <c r="D20" s="5">
        <v>2.5</v>
      </c>
      <c r="E20" s="5">
        <v>5</v>
      </c>
      <c r="F20" s="15">
        <v>16</v>
      </c>
      <c r="G20" s="13">
        <v>3306.0999999999995</v>
      </c>
      <c r="H20" s="13">
        <v>35.199999999999996</v>
      </c>
      <c r="I20" s="13">
        <v>3270.900000000001</v>
      </c>
      <c r="J20" s="13"/>
      <c r="K20" s="13">
        <f>+I20*(108.5/(100+E20))</f>
        <v>3379.9300000000012</v>
      </c>
      <c r="L20" s="13"/>
      <c r="M20" s="13"/>
      <c r="N20" s="13"/>
      <c r="O20" s="13"/>
    </row>
    <row r="21" spans="1:15" ht="42.75" customHeight="1" x14ac:dyDescent="0.25">
      <c r="A21" s="11" t="s">
        <v>336</v>
      </c>
      <c r="B21" s="4">
        <v>1</v>
      </c>
      <c r="C21" s="4" t="s">
        <v>59</v>
      </c>
      <c r="D21" s="5">
        <v>3</v>
      </c>
      <c r="E21" s="5">
        <v>5</v>
      </c>
      <c r="F21" s="15">
        <v>80</v>
      </c>
      <c r="G21" s="13">
        <v>16047.199999999999</v>
      </c>
      <c r="H21" s="13">
        <v>175.99999999999986</v>
      </c>
      <c r="I21" s="13">
        <v>15871.199999999993</v>
      </c>
      <c r="J21" s="13"/>
      <c r="K21" s="13">
        <f>+I21*(108.5/(100+E21))</f>
        <v>16400.239999999994</v>
      </c>
      <c r="L21" s="13"/>
      <c r="M21" s="13"/>
      <c r="N21" s="13"/>
      <c r="O21" s="13"/>
    </row>
    <row r="22" spans="1:15" ht="30.75" customHeight="1" x14ac:dyDescent="0.25">
      <c r="A22" s="16" t="s">
        <v>21</v>
      </c>
      <c r="B22" s="4"/>
      <c r="C22" s="4"/>
      <c r="D22" s="4"/>
      <c r="E22" s="13"/>
      <c r="F22" s="17">
        <f>SUM(F20:F21)</f>
        <v>96</v>
      </c>
      <c r="G22" s="17">
        <f>SUM(G20:G21)</f>
        <v>19353.3</v>
      </c>
      <c r="H22" s="17">
        <f>SUM(H20:H21)</f>
        <v>211.19999999999985</v>
      </c>
      <c r="I22" s="17">
        <f>SUM(I20:I21)</f>
        <v>19142.099999999995</v>
      </c>
      <c r="J22" s="17"/>
      <c r="K22" s="17">
        <f>SUM(K20:K21)</f>
        <v>19780.169999999995</v>
      </c>
      <c r="L22" s="18"/>
      <c r="M22" s="13"/>
      <c r="N22" s="13"/>
      <c r="O22" s="13"/>
    </row>
    <row r="23" spans="1:15" ht="14.25" customHeight="1" x14ac:dyDescent="0.25">
      <c r="A23" s="19"/>
      <c r="B23" s="20"/>
      <c r="C23" s="20"/>
      <c r="D23" s="20"/>
      <c r="E23" s="21"/>
      <c r="F23" s="22"/>
      <c r="G23" s="22"/>
      <c r="H23" s="22"/>
      <c r="I23" s="22"/>
      <c r="J23" s="22"/>
      <c r="K23" s="22"/>
      <c r="L23" s="22"/>
      <c r="M23" s="21"/>
      <c r="N23" s="21"/>
      <c r="O23" s="21"/>
    </row>
    <row r="24" spans="1:15" ht="14.4" x14ac:dyDescent="0.3">
      <c r="A24" s="109" t="s">
        <v>273</v>
      </c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</row>
    <row r="25" spans="1:15" ht="11.25" customHeight="1" x14ac:dyDescent="0.25"/>
    <row r="26" spans="1:15" x14ac:dyDescent="0.25">
      <c r="A26" s="6" t="s">
        <v>22</v>
      </c>
      <c r="D26" s="24">
        <f>+I22</f>
        <v>19142.099999999995</v>
      </c>
    </row>
    <row r="27" spans="1:15" x14ac:dyDescent="0.25">
      <c r="D27" s="25"/>
      <c r="G27" s="23"/>
      <c r="H27" s="23"/>
      <c r="I27" s="23"/>
      <c r="J27" s="23"/>
      <c r="K27" s="23"/>
    </row>
    <row r="28" spans="1:15" x14ac:dyDescent="0.25">
      <c r="A28" s="6" t="s">
        <v>23</v>
      </c>
      <c r="D28" s="24">
        <f>+G22</f>
        <v>19353.3</v>
      </c>
    </row>
    <row r="29" spans="1:15" ht="11.25" customHeight="1" x14ac:dyDescent="0.25">
      <c r="D29" s="24"/>
    </row>
    <row r="30" spans="1:15" ht="10.5" customHeight="1" x14ac:dyDescent="0.25"/>
    <row r="31" spans="1:15" x14ac:dyDescent="0.25">
      <c r="A31" s="95" t="s">
        <v>25</v>
      </c>
      <c r="B31" s="95"/>
      <c r="C31" s="95"/>
      <c r="D31" s="95"/>
      <c r="E31" s="95"/>
      <c r="F31" s="95"/>
      <c r="G31" s="95"/>
    </row>
    <row r="32" spans="1:15" ht="9.75" customHeight="1" x14ac:dyDescent="0.25"/>
    <row r="33" spans="1:15" x14ac:dyDescent="0.25">
      <c r="A33" s="95" t="s">
        <v>82</v>
      </c>
      <c r="B33" s="95"/>
      <c r="C33" s="95"/>
      <c r="D33" s="95"/>
      <c r="E33" s="95"/>
      <c r="F33" s="95"/>
      <c r="G33" s="95"/>
    </row>
    <row r="34" spans="1:15" ht="12" customHeight="1" x14ac:dyDescent="0.25"/>
    <row r="35" spans="1:15" x14ac:dyDescent="0.25">
      <c r="A35" s="95" t="s">
        <v>26</v>
      </c>
      <c r="B35" s="95"/>
      <c r="C35" s="95"/>
      <c r="D35" s="95"/>
      <c r="E35" s="95"/>
      <c r="F35" s="95"/>
      <c r="G35" s="95"/>
      <c r="I35" s="95"/>
      <c r="J35" s="95"/>
      <c r="K35" s="95"/>
      <c r="L35" s="95"/>
      <c r="M35" s="95"/>
      <c r="N35" s="95"/>
      <c r="O35" s="95"/>
    </row>
    <row r="36" spans="1:15" ht="11.25" customHeight="1" x14ac:dyDescent="0.25"/>
    <row r="37" spans="1:15" x14ac:dyDescent="0.25">
      <c r="A37" s="110" t="s">
        <v>338</v>
      </c>
      <c r="B37" s="110"/>
      <c r="C37" s="110"/>
      <c r="D37" s="110"/>
      <c r="E37" s="110"/>
      <c r="F37" s="110"/>
      <c r="G37" s="110"/>
      <c r="I37" s="100" t="s">
        <v>46</v>
      </c>
      <c r="J37" s="100"/>
      <c r="K37" s="100"/>
      <c r="L37" s="100"/>
      <c r="M37" s="100"/>
      <c r="N37" s="100"/>
      <c r="O37" s="100"/>
    </row>
  </sheetData>
  <mergeCells count="23">
    <mergeCell ref="A31:G31"/>
    <mergeCell ref="A33:G33"/>
    <mergeCell ref="A1:O1"/>
    <mergeCell ref="A9:N9"/>
    <mergeCell ref="A11:N11"/>
    <mergeCell ref="A12:N12"/>
    <mergeCell ref="I13:K13"/>
    <mergeCell ref="A35:G35"/>
    <mergeCell ref="I35:O35"/>
    <mergeCell ref="A37:G37"/>
    <mergeCell ref="I37:O37"/>
    <mergeCell ref="F15:I15"/>
    <mergeCell ref="J15:J16"/>
    <mergeCell ref="K15:K16"/>
    <mergeCell ref="L15:M15"/>
    <mergeCell ref="N15:O15"/>
    <mergeCell ref="A18:O18"/>
    <mergeCell ref="A15:A16"/>
    <mergeCell ref="B15:B16"/>
    <mergeCell ref="C15:C16"/>
    <mergeCell ref="D15:D16"/>
    <mergeCell ref="E15:E16"/>
    <mergeCell ref="A24:O24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O37"/>
  <sheetViews>
    <sheetView zoomScale="70" zoomScaleNormal="70" workbookViewId="0">
      <selection sqref="A1:O1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341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5" x14ac:dyDescent="0.25">
      <c r="A3" s="7" t="s">
        <v>333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8" t="s">
        <v>41</v>
      </c>
      <c r="B4" s="8"/>
      <c r="C4" s="8"/>
      <c r="D4" s="8"/>
      <c r="E4" s="8"/>
      <c r="F4" s="8"/>
      <c r="G4" s="8"/>
      <c r="H4" s="8"/>
      <c r="I4" s="8"/>
      <c r="J4" s="3" t="s">
        <v>105</v>
      </c>
      <c r="K4" s="1"/>
      <c r="L4" s="2"/>
      <c r="M4" s="2"/>
      <c r="N4" s="2"/>
    </row>
    <row r="5" spans="1:15" x14ac:dyDescent="0.25">
      <c r="A5" s="6" t="s">
        <v>42</v>
      </c>
      <c r="F5" s="9"/>
      <c r="G5" s="9"/>
      <c r="H5" s="9"/>
      <c r="I5" s="9"/>
      <c r="J5" s="3"/>
      <c r="K5" s="64"/>
      <c r="L5" s="1"/>
      <c r="M5" s="1"/>
      <c r="N5" s="1"/>
    </row>
    <row r="6" spans="1:15" x14ac:dyDescent="0.25">
      <c r="A6" s="9" t="s">
        <v>68</v>
      </c>
      <c r="B6" s="9"/>
      <c r="C6" s="9"/>
      <c r="D6" s="9"/>
      <c r="E6" s="9"/>
      <c r="F6" s="9"/>
      <c r="G6" s="9"/>
      <c r="H6" s="9"/>
      <c r="I6" s="9"/>
      <c r="J6" s="3" t="s">
        <v>64</v>
      </c>
      <c r="K6" s="1"/>
      <c r="L6" s="1"/>
      <c r="M6" s="1"/>
      <c r="N6" s="1"/>
    </row>
    <row r="7" spans="1:15" x14ac:dyDescent="0.25">
      <c r="A7" s="9" t="s">
        <v>43</v>
      </c>
      <c r="B7" s="9"/>
      <c r="C7" s="9"/>
      <c r="D7" s="9"/>
      <c r="E7" s="9"/>
      <c r="F7" s="9"/>
      <c r="G7" s="9"/>
      <c r="H7" s="9"/>
      <c r="I7" s="9"/>
      <c r="J7" s="3" t="s">
        <v>106</v>
      </c>
      <c r="K7" s="1"/>
      <c r="L7" s="1"/>
      <c r="M7" s="1"/>
      <c r="N7" s="1"/>
    </row>
    <row r="8" spans="1:15" x14ac:dyDescent="0.25">
      <c r="A8" s="9" t="s">
        <v>1</v>
      </c>
      <c r="B8" s="9"/>
      <c r="C8" s="9"/>
      <c r="D8" s="9"/>
      <c r="E8" s="9"/>
      <c r="J8" s="3"/>
      <c r="K8" s="3"/>
      <c r="L8" s="3"/>
      <c r="M8" s="3"/>
      <c r="N8" s="3"/>
    </row>
    <row r="9" spans="1:15" x14ac:dyDescent="0.25">
      <c r="A9" s="97" t="s">
        <v>44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</row>
    <row r="10" spans="1:15" x14ac:dyDescent="0.25">
      <c r="A10" s="10" t="s">
        <v>45</v>
      </c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</row>
    <row r="11" spans="1:15" x14ac:dyDescent="0.25">
      <c r="A11" s="98" t="s">
        <v>140</v>
      </c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</row>
    <row r="12" spans="1:15" x14ac:dyDescent="0.25">
      <c r="A12" s="98" t="s">
        <v>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I13" s="98" t="s">
        <v>18</v>
      </c>
      <c r="J13" s="98"/>
      <c r="K13" s="98"/>
    </row>
    <row r="14" spans="1:15" x14ac:dyDescent="0.25">
      <c r="A14" s="6" t="s">
        <v>267</v>
      </c>
      <c r="I14" s="6" t="s">
        <v>19</v>
      </c>
      <c r="L14" s="88">
        <v>4</v>
      </c>
    </row>
    <row r="15" spans="1:15" ht="16.5" customHeight="1" x14ac:dyDescent="0.25">
      <c r="A15" s="104" t="s">
        <v>2</v>
      </c>
      <c r="B15" s="104" t="s">
        <v>3</v>
      </c>
      <c r="C15" s="104" t="s">
        <v>4</v>
      </c>
      <c r="D15" s="104" t="s">
        <v>5</v>
      </c>
      <c r="E15" s="104" t="s">
        <v>6</v>
      </c>
      <c r="F15" s="101" t="s">
        <v>7</v>
      </c>
      <c r="G15" s="102"/>
      <c r="H15" s="102"/>
      <c r="I15" s="103"/>
      <c r="J15" s="104" t="s">
        <v>12</v>
      </c>
      <c r="K15" s="104" t="s">
        <v>13</v>
      </c>
      <c r="L15" s="101" t="s">
        <v>14</v>
      </c>
      <c r="M15" s="103"/>
      <c r="N15" s="101" t="s">
        <v>15</v>
      </c>
      <c r="O15" s="103"/>
    </row>
    <row r="16" spans="1:15" ht="27.6" x14ac:dyDescent="0.25">
      <c r="A16" s="105"/>
      <c r="B16" s="105"/>
      <c r="C16" s="105"/>
      <c r="D16" s="105"/>
      <c r="E16" s="105"/>
      <c r="F16" s="4" t="s">
        <v>8</v>
      </c>
      <c r="G16" s="4" t="s">
        <v>9</v>
      </c>
      <c r="H16" s="4" t="s">
        <v>10</v>
      </c>
      <c r="I16" s="4" t="s">
        <v>11</v>
      </c>
      <c r="J16" s="105"/>
      <c r="K16" s="105"/>
      <c r="L16" s="4" t="s">
        <v>16</v>
      </c>
      <c r="M16" s="4" t="s">
        <v>17</v>
      </c>
      <c r="N16" s="4" t="s">
        <v>16</v>
      </c>
      <c r="O16" s="4" t="s">
        <v>17</v>
      </c>
    </row>
    <row r="17" spans="1:15" x14ac:dyDescent="0.25">
      <c r="A17" s="4">
        <v>1</v>
      </c>
      <c r="B17" s="4">
        <v>2</v>
      </c>
      <c r="C17" s="4">
        <v>3</v>
      </c>
      <c r="D17" s="4">
        <v>4</v>
      </c>
      <c r="E17" s="4">
        <v>5</v>
      </c>
      <c r="F17" s="4">
        <v>6</v>
      </c>
      <c r="G17" s="4">
        <v>7</v>
      </c>
      <c r="H17" s="4">
        <v>8</v>
      </c>
      <c r="I17" s="4">
        <v>9</v>
      </c>
      <c r="J17" s="4">
        <v>10</v>
      </c>
      <c r="K17" s="4">
        <v>11</v>
      </c>
      <c r="L17" s="4">
        <v>12</v>
      </c>
      <c r="M17" s="4">
        <v>13</v>
      </c>
      <c r="N17" s="4">
        <v>14</v>
      </c>
      <c r="O17" s="4">
        <v>15</v>
      </c>
    </row>
    <row r="18" spans="1:15" x14ac:dyDescent="0.25">
      <c r="A18" s="106" t="s">
        <v>20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8"/>
    </row>
    <row r="19" spans="1:15" ht="32.25" customHeight="1" x14ac:dyDescent="0.25">
      <c r="A19" s="11" t="s">
        <v>80</v>
      </c>
      <c r="B19" s="12"/>
      <c r="C19" s="4"/>
      <c r="D19" s="4"/>
      <c r="E19" s="4"/>
      <c r="F19" s="4"/>
      <c r="G19" s="13"/>
      <c r="H19" s="13"/>
      <c r="I19" s="13"/>
      <c r="J19" s="14"/>
      <c r="K19" s="14"/>
      <c r="L19" s="14"/>
      <c r="M19" s="14"/>
      <c r="N19" s="14"/>
      <c r="O19" s="14"/>
    </row>
    <row r="20" spans="1:15" ht="42.75" customHeight="1" x14ac:dyDescent="0.25">
      <c r="A20" s="11" t="s">
        <v>340</v>
      </c>
      <c r="B20" s="4">
        <v>1</v>
      </c>
      <c r="C20" s="4" t="s">
        <v>27</v>
      </c>
      <c r="D20" s="5">
        <v>2.5</v>
      </c>
      <c r="E20" s="5">
        <v>5</v>
      </c>
      <c r="F20" s="15">
        <v>74</v>
      </c>
      <c r="G20" s="13">
        <v>15122.900000000001</v>
      </c>
      <c r="H20" s="13">
        <v>162.79999999999993</v>
      </c>
      <c r="I20" s="13">
        <v>14960.099999999997</v>
      </c>
      <c r="J20" s="13"/>
      <c r="K20" s="13">
        <f>+I20*(108.5/(100+E20))</f>
        <v>15458.769999999999</v>
      </c>
      <c r="L20" s="13"/>
      <c r="M20" s="13"/>
      <c r="N20" s="13"/>
      <c r="O20" s="13"/>
    </row>
    <row r="21" spans="1:15" ht="42.75" customHeight="1" x14ac:dyDescent="0.25">
      <c r="A21" s="11" t="s">
        <v>339</v>
      </c>
      <c r="B21" s="4">
        <v>1</v>
      </c>
      <c r="C21" s="4" t="s">
        <v>59</v>
      </c>
      <c r="D21" s="5">
        <v>3</v>
      </c>
      <c r="E21" s="5">
        <v>5</v>
      </c>
      <c r="F21" s="15">
        <v>22</v>
      </c>
      <c r="G21" s="13">
        <v>4487</v>
      </c>
      <c r="H21" s="13">
        <v>48.400000000000013</v>
      </c>
      <c r="I21" s="13">
        <v>4438.6000000000004</v>
      </c>
      <c r="J21" s="13"/>
      <c r="K21" s="13">
        <f>+I21*(108.5/(100+E21))</f>
        <v>4586.5533333333342</v>
      </c>
      <c r="L21" s="13"/>
      <c r="M21" s="13"/>
      <c r="N21" s="13"/>
      <c r="O21" s="13"/>
    </row>
    <row r="22" spans="1:15" ht="30.75" customHeight="1" x14ac:dyDescent="0.25">
      <c r="A22" s="16" t="s">
        <v>21</v>
      </c>
      <c r="B22" s="4"/>
      <c r="C22" s="4"/>
      <c r="D22" s="4"/>
      <c r="E22" s="13"/>
      <c r="F22" s="17">
        <f>SUM(F20:F21)</f>
        <v>96</v>
      </c>
      <c r="G22" s="17">
        <f>SUM(G20:G21)</f>
        <v>19609.900000000001</v>
      </c>
      <c r="H22" s="17">
        <f>SUM(H20:H21)</f>
        <v>211.19999999999993</v>
      </c>
      <c r="I22" s="17">
        <f>SUM(I20:I21)</f>
        <v>19398.699999999997</v>
      </c>
      <c r="J22" s="17"/>
      <c r="K22" s="17">
        <f>SUM(K20:K21)</f>
        <v>20045.323333333334</v>
      </c>
      <c r="L22" s="18"/>
      <c r="M22" s="13"/>
      <c r="N22" s="13"/>
      <c r="O22" s="13"/>
    </row>
    <row r="23" spans="1:15" ht="14.25" customHeight="1" x14ac:dyDescent="0.25">
      <c r="A23" s="19"/>
      <c r="B23" s="20"/>
      <c r="C23" s="20"/>
      <c r="D23" s="20"/>
      <c r="E23" s="21"/>
      <c r="F23" s="22"/>
      <c r="G23" s="22"/>
      <c r="H23" s="22"/>
      <c r="I23" s="22"/>
      <c r="J23" s="22"/>
      <c r="K23" s="22"/>
      <c r="L23" s="22"/>
      <c r="M23" s="21"/>
      <c r="N23" s="21"/>
      <c r="O23" s="21"/>
    </row>
    <row r="24" spans="1:15" ht="14.4" x14ac:dyDescent="0.3">
      <c r="A24" s="109" t="s">
        <v>273</v>
      </c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</row>
    <row r="25" spans="1:15" ht="11.25" customHeight="1" x14ac:dyDescent="0.25"/>
    <row r="26" spans="1:15" x14ac:dyDescent="0.25">
      <c r="A26" s="6" t="s">
        <v>22</v>
      </c>
      <c r="D26" s="24">
        <f>+I22</f>
        <v>19398.699999999997</v>
      </c>
    </row>
    <row r="27" spans="1:15" x14ac:dyDescent="0.25">
      <c r="D27" s="25"/>
      <c r="G27" s="23"/>
      <c r="H27" s="23"/>
      <c r="I27" s="23"/>
      <c r="J27" s="23"/>
      <c r="K27" s="23"/>
    </row>
    <row r="28" spans="1:15" x14ac:dyDescent="0.25">
      <c r="A28" s="6" t="s">
        <v>23</v>
      </c>
      <c r="D28" s="24">
        <f>+G22</f>
        <v>19609.900000000001</v>
      </c>
    </row>
    <row r="29" spans="1:15" ht="11.25" customHeight="1" x14ac:dyDescent="0.25">
      <c r="D29" s="24"/>
    </row>
    <row r="30" spans="1:15" ht="10.5" customHeight="1" x14ac:dyDescent="0.25"/>
    <row r="31" spans="1:15" x14ac:dyDescent="0.25">
      <c r="A31" s="95" t="s">
        <v>25</v>
      </c>
      <c r="B31" s="95"/>
      <c r="C31" s="95"/>
      <c r="D31" s="95"/>
      <c r="E31" s="95"/>
      <c r="F31" s="95"/>
      <c r="G31" s="95"/>
    </row>
    <row r="32" spans="1:15" ht="9.75" customHeight="1" x14ac:dyDescent="0.25"/>
    <row r="33" spans="1:15" x14ac:dyDescent="0.25">
      <c r="A33" s="95" t="s">
        <v>82</v>
      </c>
      <c r="B33" s="95"/>
      <c r="C33" s="95"/>
      <c r="D33" s="95"/>
      <c r="E33" s="95"/>
      <c r="F33" s="95"/>
      <c r="G33" s="95"/>
    </row>
    <row r="34" spans="1:15" ht="12" customHeight="1" x14ac:dyDescent="0.25"/>
    <row r="35" spans="1:15" x14ac:dyDescent="0.25">
      <c r="A35" s="95" t="s">
        <v>26</v>
      </c>
      <c r="B35" s="95"/>
      <c r="C35" s="95"/>
      <c r="D35" s="95"/>
      <c r="E35" s="95"/>
      <c r="F35" s="95"/>
      <c r="G35" s="95"/>
      <c r="I35" s="95"/>
      <c r="J35" s="95"/>
      <c r="K35" s="95"/>
      <c r="L35" s="95"/>
      <c r="M35" s="95"/>
      <c r="N35" s="95"/>
      <c r="O35" s="95"/>
    </row>
    <row r="36" spans="1:15" ht="11.25" customHeight="1" x14ac:dyDescent="0.25"/>
    <row r="37" spans="1:15" x14ac:dyDescent="0.25">
      <c r="A37" s="110" t="s">
        <v>317</v>
      </c>
      <c r="B37" s="110"/>
      <c r="C37" s="110"/>
      <c r="D37" s="110"/>
      <c r="E37" s="110"/>
      <c r="F37" s="110"/>
      <c r="G37" s="110"/>
      <c r="I37" s="100" t="s">
        <v>46</v>
      </c>
      <c r="J37" s="100"/>
      <c r="K37" s="100"/>
      <c r="L37" s="100"/>
      <c r="M37" s="100"/>
      <c r="N37" s="100"/>
      <c r="O37" s="100"/>
    </row>
  </sheetData>
  <mergeCells count="23">
    <mergeCell ref="A31:G31"/>
    <mergeCell ref="A33:G33"/>
    <mergeCell ref="A1:O1"/>
    <mergeCell ref="A9:N9"/>
    <mergeCell ref="A11:N11"/>
    <mergeCell ref="A12:N12"/>
    <mergeCell ref="I13:K13"/>
    <mergeCell ref="A35:G35"/>
    <mergeCell ref="I35:O35"/>
    <mergeCell ref="A37:G37"/>
    <mergeCell ref="I37:O37"/>
    <mergeCell ref="F15:I15"/>
    <mergeCell ref="J15:J16"/>
    <mergeCell ref="K15:K16"/>
    <mergeCell ref="L15:M15"/>
    <mergeCell ref="N15:O15"/>
    <mergeCell ref="A18:O18"/>
    <mergeCell ref="A15:A16"/>
    <mergeCell ref="B15:B16"/>
    <mergeCell ref="C15:C16"/>
    <mergeCell ref="D15:D16"/>
    <mergeCell ref="E15:E16"/>
    <mergeCell ref="A24:O24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O37"/>
  <sheetViews>
    <sheetView topLeftCell="A13" zoomScale="70" zoomScaleNormal="70" workbookViewId="0">
      <selection activeCell="M52" sqref="M52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346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5" x14ac:dyDescent="0.25">
      <c r="A3" s="7" t="s">
        <v>333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8" t="s">
        <v>41</v>
      </c>
      <c r="B4" s="8"/>
      <c r="C4" s="8"/>
      <c r="D4" s="8"/>
      <c r="E4" s="8"/>
      <c r="F4" s="8"/>
      <c r="G4" s="8"/>
      <c r="H4" s="8"/>
      <c r="I4" s="8"/>
      <c r="J4" s="3" t="s">
        <v>48</v>
      </c>
      <c r="K4" s="2"/>
      <c r="L4" s="2"/>
      <c r="M4" s="2"/>
      <c r="N4" s="2"/>
    </row>
    <row r="5" spans="1:15" x14ac:dyDescent="0.25">
      <c r="A5" s="6" t="s">
        <v>42</v>
      </c>
      <c r="F5" s="9"/>
      <c r="G5" s="9"/>
      <c r="H5" s="9"/>
      <c r="I5" s="9"/>
      <c r="J5" s="3"/>
      <c r="K5" s="3"/>
      <c r="L5" s="1"/>
      <c r="M5" s="1"/>
      <c r="N5" s="1"/>
    </row>
    <row r="6" spans="1:15" x14ac:dyDescent="0.25">
      <c r="A6" s="9" t="s">
        <v>68</v>
      </c>
      <c r="B6" s="9"/>
      <c r="C6" s="9"/>
      <c r="D6" s="9"/>
      <c r="E6" s="9"/>
      <c r="F6" s="9"/>
      <c r="G6" s="9"/>
      <c r="H6" s="9"/>
      <c r="I6" s="9"/>
      <c r="J6" s="3" t="s">
        <v>51</v>
      </c>
      <c r="K6" s="1"/>
      <c r="L6" s="1"/>
      <c r="M6" s="1"/>
      <c r="N6" s="1"/>
    </row>
    <row r="7" spans="1:15" x14ac:dyDescent="0.25">
      <c r="A7" s="9" t="s">
        <v>43</v>
      </c>
      <c r="B7" s="9"/>
      <c r="C7" s="9"/>
      <c r="D7" s="9"/>
      <c r="E7" s="9"/>
      <c r="F7" s="9"/>
      <c r="G7" s="9"/>
      <c r="H7" s="9"/>
      <c r="I7" s="9"/>
      <c r="J7" s="3" t="s">
        <v>49</v>
      </c>
      <c r="K7" s="1"/>
      <c r="L7" s="1"/>
      <c r="M7" s="1"/>
      <c r="N7" s="1"/>
    </row>
    <row r="8" spans="1:15" x14ac:dyDescent="0.25">
      <c r="A8" s="9" t="s">
        <v>1</v>
      </c>
      <c r="B8" s="9"/>
      <c r="C8" s="9"/>
      <c r="D8" s="9"/>
      <c r="E8" s="9"/>
      <c r="J8" s="3"/>
      <c r="K8" s="3"/>
      <c r="L8" s="3"/>
      <c r="M8" s="3"/>
      <c r="N8" s="3"/>
    </row>
    <row r="9" spans="1:15" x14ac:dyDescent="0.25">
      <c r="A9" s="97" t="s">
        <v>44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</row>
    <row r="10" spans="1:15" x14ac:dyDescent="0.25">
      <c r="A10" s="10" t="s">
        <v>45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</row>
    <row r="11" spans="1:15" x14ac:dyDescent="0.25">
      <c r="A11" s="98" t="s">
        <v>140</v>
      </c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</row>
    <row r="12" spans="1:15" x14ac:dyDescent="0.25">
      <c r="A12" s="98" t="s">
        <v>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I13" s="98"/>
      <c r="J13" s="98"/>
      <c r="K13" s="98"/>
    </row>
    <row r="14" spans="1:15" x14ac:dyDescent="0.25">
      <c r="A14" s="6" t="s">
        <v>347</v>
      </c>
      <c r="L14" s="90"/>
    </row>
    <row r="15" spans="1:15" ht="16.5" customHeight="1" x14ac:dyDescent="0.25">
      <c r="A15" s="104" t="s">
        <v>2</v>
      </c>
      <c r="B15" s="104" t="s">
        <v>3</v>
      </c>
      <c r="C15" s="104" t="s">
        <v>4</v>
      </c>
      <c r="D15" s="104" t="s">
        <v>5</v>
      </c>
      <c r="E15" s="104" t="s">
        <v>6</v>
      </c>
      <c r="F15" s="101" t="s">
        <v>7</v>
      </c>
      <c r="G15" s="102"/>
      <c r="H15" s="102"/>
      <c r="I15" s="103"/>
      <c r="J15" s="104" t="s">
        <v>12</v>
      </c>
      <c r="K15" s="104" t="s">
        <v>13</v>
      </c>
      <c r="L15" s="101" t="s">
        <v>14</v>
      </c>
      <c r="M15" s="103"/>
      <c r="N15" s="101" t="s">
        <v>15</v>
      </c>
      <c r="O15" s="103"/>
    </row>
    <row r="16" spans="1:15" ht="27.6" x14ac:dyDescent="0.25">
      <c r="A16" s="105"/>
      <c r="B16" s="105"/>
      <c r="C16" s="105"/>
      <c r="D16" s="105"/>
      <c r="E16" s="105"/>
      <c r="F16" s="4" t="s">
        <v>8</v>
      </c>
      <c r="G16" s="4" t="s">
        <v>9</v>
      </c>
      <c r="H16" s="4" t="s">
        <v>10</v>
      </c>
      <c r="I16" s="4" t="s">
        <v>11</v>
      </c>
      <c r="J16" s="105"/>
      <c r="K16" s="105"/>
      <c r="L16" s="4" t="s">
        <v>16</v>
      </c>
      <c r="M16" s="4" t="s">
        <v>17</v>
      </c>
      <c r="N16" s="4" t="s">
        <v>16</v>
      </c>
      <c r="O16" s="4" t="s">
        <v>17</v>
      </c>
    </row>
    <row r="17" spans="1:15" x14ac:dyDescent="0.25">
      <c r="A17" s="4">
        <v>1</v>
      </c>
      <c r="B17" s="4">
        <v>2</v>
      </c>
      <c r="C17" s="4">
        <v>3</v>
      </c>
      <c r="D17" s="4">
        <v>4</v>
      </c>
      <c r="E17" s="4">
        <v>5</v>
      </c>
      <c r="F17" s="4">
        <v>6</v>
      </c>
      <c r="G17" s="4">
        <v>7</v>
      </c>
      <c r="H17" s="4">
        <v>8</v>
      </c>
      <c r="I17" s="4">
        <v>9</v>
      </c>
      <c r="J17" s="4">
        <v>10</v>
      </c>
      <c r="K17" s="4">
        <v>11</v>
      </c>
      <c r="L17" s="4">
        <v>12</v>
      </c>
      <c r="M17" s="4">
        <v>13</v>
      </c>
      <c r="N17" s="4">
        <v>14</v>
      </c>
      <c r="O17" s="4">
        <v>15</v>
      </c>
    </row>
    <row r="18" spans="1:15" x14ac:dyDescent="0.25">
      <c r="A18" s="106" t="s">
        <v>20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8"/>
    </row>
    <row r="19" spans="1:15" ht="32.25" customHeight="1" x14ac:dyDescent="0.25">
      <c r="A19" s="11" t="s">
        <v>80</v>
      </c>
      <c r="B19" s="12"/>
      <c r="C19" s="4"/>
      <c r="D19" s="4"/>
      <c r="E19" s="4"/>
      <c r="F19" s="4"/>
      <c r="G19" s="13"/>
      <c r="H19" s="13"/>
      <c r="I19" s="13"/>
      <c r="J19" s="14"/>
      <c r="K19" s="14"/>
      <c r="L19" s="14"/>
      <c r="M19" s="14"/>
      <c r="N19" s="14"/>
      <c r="O19" s="14"/>
    </row>
    <row r="20" spans="1:15" ht="45.75" customHeight="1" x14ac:dyDescent="0.25">
      <c r="A20" s="11" t="s">
        <v>345</v>
      </c>
      <c r="B20" s="4">
        <v>3</v>
      </c>
      <c r="C20" s="4" t="s">
        <v>27</v>
      </c>
      <c r="D20" s="5">
        <v>4</v>
      </c>
      <c r="E20" s="5">
        <v>5</v>
      </c>
      <c r="F20" s="15">
        <v>17</v>
      </c>
      <c r="G20" s="13">
        <v>3850.6000000000004</v>
      </c>
      <c r="H20" s="13">
        <v>40.79999999999999</v>
      </c>
      <c r="I20" s="13">
        <v>3809.7999999999997</v>
      </c>
      <c r="J20" s="13"/>
      <c r="K20" s="13">
        <f>+I20*(108.5/(100+E20))</f>
        <v>3936.7933333333335</v>
      </c>
      <c r="L20" s="13"/>
      <c r="M20" s="13"/>
      <c r="N20" s="13"/>
      <c r="O20" s="13"/>
    </row>
    <row r="21" spans="1:15" ht="45.75" customHeight="1" x14ac:dyDescent="0.25">
      <c r="A21" s="11" t="s">
        <v>344</v>
      </c>
      <c r="B21" s="4">
        <v>4</v>
      </c>
      <c r="C21" s="4" t="s">
        <v>27</v>
      </c>
      <c r="D21" s="5">
        <v>6</v>
      </c>
      <c r="E21" s="5">
        <v>5</v>
      </c>
      <c r="F21" s="15">
        <v>93</v>
      </c>
      <c r="G21" s="13">
        <v>21049.600000000009</v>
      </c>
      <c r="H21" s="13">
        <v>223.20000000000036</v>
      </c>
      <c r="I21" s="13">
        <v>20826.399999999998</v>
      </c>
      <c r="J21" s="13"/>
      <c r="K21" s="13">
        <f>+I21*(108.5/(100+E21))</f>
        <v>21520.613333333335</v>
      </c>
      <c r="L21" s="13"/>
      <c r="M21" s="13"/>
      <c r="N21" s="13"/>
      <c r="O21" s="13"/>
    </row>
    <row r="22" spans="1:15" ht="30.75" customHeight="1" x14ac:dyDescent="0.25">
      <c r="A22" s="16" t="s">
        <v>21</v>
      </c>
      <c r="B22" s="4"/>
      <c r="C22" s="4"/>
      <c r="D22" s="4"/>
      <c r="E22" s="13"/>
      <c r="F22" s="17">
        <f>SUM(F20:F21)</f>
        <v>110</v>
      </c>
      <c r="G22" s="17">
        <f>SUM(G20:G21)</f>
        <v>24900.200000000012</v>
      </c>
      <c r="H22" s="17">
        <f t="shared" ref="H22:I22" si="0">SUM(H20:H21)</f>
        <v>264.00000000000034</v>
      </c>
      <c r="I22" s="17">
        <f t="shared" si="0"/>
        <v>24636.199999999997</v>
      </c>
      <c r="J22" s="17"/>
      <c r="K22" s="17">
        <f>SUM(K20:K21)</f>
        <v>25457.406666666669</v>
      </c>
      <c r="L22" s="18"/>
      <c r="M22" s="13"/>
      <c r="N22" s="13"/>
      <c r="O22" s="13"/>
    </row>
    <row r="23" spans="1:15" ht="14.25" customHeight="1" x14ac:dyDescent="0.25">
      <c r="A23" s="19"/>
      <c r="B23" s="20"/>
      <c r="C23" s="20"/>
      <c r="D23" s="20"/>
      <c r="E23" s="21"/>
      <c r="F23" s="22"/>
      <c r="G23" s="22"/>
      <c r="H23" s="22"/>
      <c r="I23" s="22"/>
      <c r="J23" s="22"/>
      <c r="K23" s="22"/>
      <c r="L23" s="22"/>
      <c r="M23" s="21"/>
      <c r="N23" s="21"/>
      <c r="O23" s="21"/>
    </row>
    <row r="24" spans="1:15" ht="14.4" x14ac:dyDescent="0.3">
      <c r="A24" s="109" t="s">
        <v>302</v>
      </c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</row>
    <row r="25" spans="1:15" ht="11.25" customHeight="1" x14ac:dyDescent="0.25"/>
    <row r="26" spans="1:15" x14ac:dyDescent="0.25">
      <c r="A26" s="6" t="s">
        <v>22</v>
      </c>
      <c r="D26" s="24">
        <f>+I22</f>
        <v>24636.199999999997</v>
      </c>
    </row>
    <row r="27" spans="1:15" x14ac:dyDescent="0.25">
      <c r="D27" s="25"/>
      <c r="G27" s="23"/>
      <c r="H27" s="23"/>
      <c r="I27" s="23"/>
      <c r="J27" s="23"/>
      <c r="K27" s="23"/>
    </row>
    <row r="28" spans="1:15" x14ac:dyDescent="0.25">
      <c r="A28" s="6" t="s">
        <v>23</v>
      </c>
      <c r="D28" s="24">
        <f>+K22</f>
        <v>25457.406666666669</v>
      </c>
    </row>
    <row r="29" spans="1:15" ht="11.25" customHeight="1" x14ac:dyDescent="0.25">
      <c r="D29" s="24"/>
    </row>
    <row r="30" spans="1:15" ht="10.5" customHeight="1" x14ac:dyDescent="0.25"/>
    <row r="31" spans="1:15" x14ac:dyDescent="0.25">
      <c r="A31" s="95" t="s">
        <v>25</v>
      </c>
      <c r="B31" s="95"/>
      <c r="C31" s="95"/>
      <c r="D31" s="95"/>
      <c r="E31" s="95"/>
      <c r="F31" s="95"/>
      <c r="G31" s="95"/>
    </row>
    <row r="32" spans="1:15" ht="9.75" customHeight="1" x14ac:dyDescent="0.25"/>
    <row r="33" spans="1:15" x14ac:dyDescent="0.25">
      <c r="A33" s="95" t="s">
        <v>82</v>
      </c>
      <c r="B33" s="95"/>
      <c r="C33" s="95"/>
      <c r="D33" s="95"/>
      <c r="E33" s="95"/>
      <c r="F33" s="95"/>
      <c r="G33" s="95"/>
    </row>
    <row r="34" spans="1:15" ht="12" customHeight="1" x14ac:dyDescent="0.25"/>
    <row r="35" spans="1:15" x14ac:dyDescent="0.25">
      <c r="A35" s="95" t="s">
        <v>26</v>
      </c>
      <c r="B35" s="95"/>
      <c r="C35" s="95"/>
      <c r="D35" s="95"/>
      <c r="E35" s="95"/>
      <c r="F35" s="95"/>
      <c r="G35" s="95"/>
      <c r="I35" s="95"/>
      <c r="J35" s="95"/>
      <c r="K35" s="95"/>
      <c r="L35" s="95"/>
      <c r="M35" s="95"/>
      <c r="N35" s="95"/>
      <c r="O35" s="95"/>
    </row>
    <row r="36" spans="1:15" ht="11.25" customHeight="1" x14ac:dyDescent="0.25"/>
    <row r="37" spans="1:15" x14ac:dyDescent="0.25">
      <c r="A37" s="110" t="s">
        <v>312</v>
      </c>
      <c r="B37" s="110"/>
      <c r="C37" s="110"/>
      <c r="D37" s="110"/>
      <c r="E37" s="110"/>
      <c r="F37" s="110"/>
      <c r="G37" s="110"/>
      <c r="I37" s="100" t="s">
        <v>46</v>
      </c>
      <c r="J37" s="100"/>
      <c r="K37" s="100"/>
      <c r="L37" s="100"/>
      <c r="M37" s="100"/>
      <c r="N37" s="100"/>
      <c r="O37" s="100"/>
    </row>
  </sheetData>
  <mergeCells count="23">
    <mergeCell ref="A35:G35"/>
    <mergeCell ref="I35:O35"/>
    <mergeCell ref="A37:G37"/>
    <mergeCell ref="I37:O37"/>
    <mergeCell ref="F15:I15"/>
    <mergeCell ref="J15:J16"/>
    <mergeCell ref="K15:K16"/>
    <mergeCell ref="L15:M15"/>
    <mergeCell ref="N15:O15"/>
    <mergeCell ref="A18:O18"/>
    <mergeCell ref="A15:A16"/>
    <mergeCell ref="B15:B16"/>
    <mergeCell ref="C15:C16"/>
    <mergeCell ref="D15:D16"/>
    <mergeCell ref="E15:E16"/>
    <mergeCell ref="A24:O24"/>
    <mergeCell ref="A31:G31"/>
    <mergeCell ref="A33:G33"/>
    <mergeCell ref="A1:O1"/>
    <mergeCell ref="A9:N9"/>
    <mergeCell ref="A11:N11"/>
    <mergeCell ref="A12:N12"/>
    <mergeCell ref="I13:K13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O40"/>
  <sheetViews>
    <sheetView zoomScale="55" zoomScaleNormal="55" workbookViewId="0">
      <selection activeCell="K42" sqref="K42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348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96" t="s">
        <v>86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</row>
    <row r="3" spans="1:15" x14ac:dyDescent="0.25">
      <c r="A3" s="7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7" t="s">
        <v>351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5" ht="15" x14ac:dyDescent="0.25">
      <c r="A5" s="8" t="s">
        <v>41</v>
      </c>
      <c r="B5" s="8"/>
      <c r="C5" s="8"/>
      <c r="D5" s="8"/>
      <c r="E5" s="8"/>
      <c r="F5" s="8"/>
      <c r="G5" s="8"/>
      <c r="H5" s="8"/>
      <c r="I5" s="8"/>
      <c r="J5" s="3" t="s">
        <v>337</v>
      </c>
      <c r="K5" s="2"/>
      <c r="L5" s="2"/>
      <c r="M5" s="2"/>
      <c r="N5" s="2"/>
    </row>
    <row r="6" spans="1:15" x14ac:dyDescent="0.25">
      <c r="A6" s="6" t="s">
        <v>42</v>
      </c>
      <c r="F6" s="9"/>
      <c r="G6" s="9"/>
      <c r="H6" s="9"/>
      <c r="I6" s="9"/>
      <c r="J6" s="3"/>
      <c r="K6" s="3"/>
      <c r="L6" s="1"/>
      <c r="M6" s="1"/>
      <c r="N6" s="1"/>
    </row>
    <row r="7" spans="1:15" x14ac:dyDescent="0.25">
      <c r="A7" s="9" t="s">
        <v>140</v>
      </c>
      <c r="B7" s="9"/>
      <c r="C7" s="9"/>
      <c r="D7" s="9"/>
      <c r="E7" s="9"/>
      <c r="F7" s="9"/>
      <c r="G7" s="9"/>
      <c r="H7" s="9"/>
      <c r="I7" s="9"/>
      <c r="J7" s="3" t="s">
        <v>31</v>
      </c>
      <c r="K7" s="1"/>
      <c r="L7" s="1"/>
      <c r="M7" s="1"/>
      <c r="N7" s="1"/>
    </row>
    <row r="8" spans="1:15" x14ac:dyDescent="0.25">
      <c r="A8" s="9" t="s">
        <v>43</v>
      </c>
      <c r="B8" s="9"/>
      <c r="C8" s="9"/>
      <c r="D8" s="9"/>
      <c r="E8" s="9"/>
      <c r="F8" s="9"/>
      <c r="G8" s="9"/>
      <c r="H8" s="9"/>
      <c r="I8" s="9"/>
      <c r="J8" s="3" t="s">
        <v>32</v>
      </c>
      <c r="K8" s="1"/>
      <c r="L8" s="1"/>
      <c r="M8" s="1"/>
      <c r="N8" s="1"/>
    </row>
    <row r="9" spans="1:15" x14ac:dyDescent="0.25">
      <c r="A9" s="9" t="s">
        <v>1</v>
      </c>
      <c r="B9" s="9"/>
      <c r="C9" s="9"/>
      <c r="D9" s="9"/>
      <c r="E9" s="9"/>
      <c r="J9" s="3"/>
      <c r="K9" s="3"/>
      <c r="L9" s="3"/>
      <c r="M9" s="3"/>
      <c r="N9" s="3"/>
    </row>
    <row r="10" spans="1:15" x14ac:dyDescent="0.25">
      <c r="A10" s="97" t="s">
        <v>69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</row>
    <row r="11" spans="1:15" x14ac:dyDescent="0.25">
      <c r="A11" s="10" t="s">
        <v>70</v>
      </c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</row>
    <row r="12" spans="1:15" x14ac:dyDescent="0.25">
      <c r="A12" s="98" t="s">
        <v>71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A13" s="6" t="s">
        <v>43</v>
      </c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</row>
    <row r="14" spans="1:15" x14ac:dyDescent="0.25">
      <c r="A14" s="98" t="s">
        <v>72</v>
      </c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</row>
    <row r="15" spans="1:15" x14ac:dyDescent="0.25">
      <c r="A15" s="92" t="s">
        <v>73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</row>
    <row r="16" spans="1:15" x14ac:dyDescent="0.25">
      <c r="I16" s="98" t="s">
        <v>18</v>
      </c>
      <c r="J16" s="98"/>
      <c r="K16" s="98"/>
      <c r="L16" s="6" t="s">
        <v>24</v>
      </c>
    </row>
    <row r="17" spans="1:15" x14ac:dyDescent="0.25">
      <c r="A17" s="6" t="s">
        <v>352</v>
      </c>
      <c r="I17" s="6" t="s">
        <v>19</v>
      </c>
      <c r="L17" s="92">
        <v>4</v>
      </c>
    </row>
    <row r="18" spans="1:15" ht="16.5" customHeight="1" x14ac:dyDescent="0.25">
      <c r="A18" s="104" t="s">
        <v>2</v>
      </c>
      <c r="B18" s="104" t="s">
        <v>3</v>
      </c>
      <c r="C18" s="104" t="s">
        <v>4</v>
      </c>
      <c r="D18" s="104" t="s">
        <v>5</v>
      </c>
      <c r="E18" s="104" t="s">
        <v>6</v>
      </c>
      <c r="F18" s="101" t="s">
        <v>7</v>
      </c>
      <c r="G18" s="102"/>
      <c r="H18" s="102"/>
      <c r="I18" s="103"/>
      <c r="J18" s="104" t="s">
        <v>12</v>
      </c>
      <c r="K18" s="104" t="s">
        <v>13</v>
      </c>
      <c r="L18" s="101" t="s">
        <v>14</v>
      </c>
      <c r="M18" s="103"/>
      <c r="N18" s="101" t="s">
        <v>15</v>
      </c>
      <c r="O18" s="103"/>
    </row>
    <row r="19" spans="1:15" ht="27.6" x14ac:dyDescent="0.25">
      <c r="A19" s="105"/>
      <c r="B19" s="105"/>
      <c r="C19" s="105"/>
      <c r="D19" s="105"/>
      <c r="E19" s="105"/>
      <c r="F19" s="4" t="s">
        <v>8</v>
      </c>
      <c r="G19" s="4" t="s">
        <v>9</v>
      </c>
      <c r="H19" s="4" t="s">
        <v>10</v>
      </c>
      <c r="I19" s="4" t="s">
        <v>11</v>
      </c>
      <c r="J19" s="105"/>
      <c r="K19" s="105"/>
      <c r="L19" s="4" t="s">
        <v>16</v>
      </c>
      <c r="M19" s="4" t="s">
        <v>17</v>
      </c>
      <c r="N19" s="4" t="s">
        <v>16</v>
      </c>
      <c r="O19" s="4" t="s">
        <v>17</v>
      </c>
    </row>
    <row r="20" spans="1:15" x14ac:dyDescent="0.25">
      <c r="A20" s="4">
        <v>1</v>
      </c>
      <c r="B20" s="4">
        <v>2</v>
      </c>
      <c r="C20" s="4">
        <v>3</v>
      </c>
      <c r="D20" s="4">
        <v>4</v>
      </c>
      <c r="E20" s="4">
        <v>5</v>
      </c>
      <c r="F20" s="4">
        <v>6</v>
      </c>
      <c r="G20" s="4">
        <v>7</v>
      </c>
      <c r="H20" s="4">
        <v>8</v>
      </c>
      <c r="I20" s="4">
        <v>9</v>
      </c>
      <c r="J20" s="4">
        <v>10</v>
      </c>
      <c r="K20" s="4">
        <v>11</v>
      </c>
      <c r="L20" s="4">
        <v>12</v>
      </c>
      <c r="M20" s="4">
        <v>13</v>
      </c>
      <c r="N20" s="4">
        <v>14</v>
      </c>
      <c r="O20" s="4">
        <v>15</v>
      </c>
    </row>
    <row r="21" spans="1:15" x14ac:dyDescent="0.25">
      <c r="A21" s="106" t="s">
        <v>20</v>
      </c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8"/>
    </row>
    <row r="22" spans="1:15" ht="32.25" customHeight="1" x14ac:dyDescent="0.25">
      <c r="A22" s="11" t="s">
        <v>80</v>
      </c>
      <c r="B22" s="12"/>
      <c r="C22" s="4"/>
      <c r="D22" s="4"/>
      <c r="E22" s="4"/>
      <c r="F22" s="4"/>
      <c r="G22" s="13"/>
      <c r="H22" s="13"/>
      <c r="I22" s="13"/>
      <c r="J22" s="14"/>
      <c r="K22" s="14"/>
      <c r="L22" s="14"/>
      <c r="M22" s="14"/>
      <c r="N22" s="14"/>
      <c r="O22" s="14"/>
    </row>
    <row r="23" spans="1:15" ht="39" customHeight="1" x14ac:dyDescent="0.25">
      <c r="A23" s="11" t="s">
        <v>349</v>
      </c>
      <c r="B23" s="4">
        <v>1</v>
      </c>
      <c r="C23" s="4" t="s">
        <v>59</v>
      </c>
      <c r="D23" s="5">
        <v>3</v>
      </c>
      <c r="E23" s="5">
        <v>5</v>
      </c>
      <c r="F23" s="15">
        <v>59</v>
      </c>
      <c r="G23" s="13">
        <v>12276.400000000001</v>
      </c>
      <c r="H23" s="13">
        <v>129.8000000000001</v>
      </c>
      <c r="I23" s="13">
        <v>12146.599999999999</v>
      </c>
      <c r="J23" s="13"/>
      <c r="K23" s="13">
        <f>+I23*(108.5/(100+E23))</f>
        <v>12551.486666666666</v>
      </c>
      <c r="L23" s="13"/>
      <c r="M23" s="13"/>
      <c r="N23" s="13"/>
      <c r="O23" s="13"/>
    </row>
    <row r="24" spans="1:15" ht="39" customHeight="1" x14ac:dyDescent="0.25">
      <c r="A24" s="11" t="s">
        <v>350</v>
      </c>
      <c r="B24" s="4">
        <v>1</v>
      </c>
      <c r="C24" s="4" t="s">
        <v>66</v>
      </c>
      <c r="D24" s="5">
        <v>4</v>
      </c>
      <c r="E24" s="5">
        <v>5</v>
      </c>
      <c r="F24" s="15">
        <v>35</v>
      </c>
      <c r="G24" s="13">
        <v>7304</v>
      </c>
      <c r="H24" s="13">
        <v>77.000000000000043</v>
      </c>
      <c r="I24" s="13">
        <v>7227.0000000000009</v>
      </c>
      <c r="J24" s="13"/>
      <c r="K24" s="13">
        <f>+I24*(108.5/(100+E24))</f>
        <v>7467.9000000000015</v>
      </c>
      <c r="L24" s="13"/>
      <c r="M24" s="13"/>
      <c r="N24" s="13"/>
      <c r="O24" s="13"/>
    </row>
    <row r="25" spans="1:15" ht="30.75" customHeight="1" x14ac:dyDescent="0.25">
      <c r="A25" s="16" t="s">
        <v>21</v>
      </c>
      <c r="B25" s="4"/>
      <c r="C25" s="4"/>
      <c r="D25" s="4"/>
      <c r="E25" s="13"/>
      <c r="F25" s="17">
        <f>SUM(F23:F24)</f>
        <v>94</v>
      </c>
      <c r="G25" s="17">
        <f>SUM(G23:G24)</f>
        <v>19580.400000000001</v>
      </c>
      <c r="H25" s="17">
        <f t="shared" ref="H25:K25" si="0">SUM(H23:H24)</f>
        <v>206.80000000000013</v>
      </c>
      <c r="I25" s="17">
        <f t="shared" si="0"/>
        <v>19373.599999999999</v>
      </c>
      <c r="J25" s="17"/>
      <c r="K25" s="17">
        <f t="shared" si="0"/>
        <v>20019.386666666665</v>
      </c>
      <c r="L25" s="18"/>
      <c r="M25" s="13"/>
      <c r="N25" s="13"/>
      <c r="O25" s="13"/>
    </row>
    <row r="26" spans="1:15" ht="14.25" customHeight="1" x14ac:dyDescent="0.25">
      <c r="A26" s="19"/>
      <c r="B26" s="20"/>
      <c r="C26" s="20"/>
      <c r="D26" s="20"/>
      <c r="E26" s="21"/>
      <c r="F26" s="22"/>
      <c r="G26" s="22"/>
      <c r="H26" s="22"/>
      <c r="I26" s="22"/>
      <c r="J26" s="22"/>
      <c r="K26" s="22"/>
      <c r="L26" s="22"/>
      <c r="M26" s="21"/>
      <c r="N26" s="21"/>
      <c r="O26" s="21"/>
    </row>
    <row r="27" spans="1:15" ht="14.4" x14ac:dyDescent="0.3">
      <c r="A27" s="109" t="s">
        <v>56</v>
      </c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</row>
    <row r="28" spans="1:15" ht="11.25" customHeight="1" x14ac:dyDescent="0.25"/>
    <row r="29" spans="1:15" x14ac:dyDescent="0.25">
      <c r="A29" s="6" t="s">
        <v>22</v>
      </c>
      <c r="D29" s="24">
        <f>+I25</f>
        <v>19373.599999999999</v>
      </c>
    </row>
    <row r="30" spans="1:15" x14ac:dyDescent="0.25">
      <c r="D30" s="25"/>
      <c r="G30" s="23"/>
      <c r="H30" s="23"/>
      <c r="I30" s="23"/>
      <c r="J30" s="23"/>
      <c r="K30" s="23"/>
    </row>
    <row r="31" spans="1:15" x14ac:dyDescent="0.25">
      <c r="A31" s="6" t="s">
        <v>23</v>
      </c>
      <c r="D31" s="24">
        <f>+G25</f>
        <v>19580.400000000001</v>
      </c>
    </row>
    <row r="32" spans="1:15" ht="11.25" customHeight="1" x14ac:dyDescent="0.25">
      <c r="D32" s="24"/>
    </row>
    <row r="33" spans="1:15" ht="10.5" customHeight="1" x14ac:dyDescent="0.25"/>
    <row r="34" spans="1:15" x14ac:dyDescent="0.25">
      <c r="A34" s="95" t="s">
        <v>25</v>
      </c>
      <c r="B34" s="95"/>
      <c r="C34" s="95"/>
      <c r="D34" s="95"/>
      <c r="E34" s="95"/>
      <c r="F34" s="95"/>
      <c r="G34" s="95"/>
    </row>
    <row r="35" spans="1:15" ht="9.75" customHeight="1" x14ac:dyDescent="0.25"/>
    <row r="36" spans="1:15" x14ac:dyDescent="0.25">
      <c r="A36" s="95" t="s">
        <v>82</v>
      </c>
      <c r="B36" s="95"/>
      <c r="C36" s="95"/>
      <c r="D36" s="95"/>
      <c r="E36" s="95"/>
      <c r="F36" s="95"/>
      <c r="G36" s="95"/>
    </row>
    <row r="37" spans="1:15" ht="12" customHeight="1" x14ac:dyDescent="0.25"/>
    <row r="38" spans="1:15" x14ac:dyDescent="0.25">
      <c r="A38" s="95" t="s">
        <v>26</v>
      </c>
      <c r="B38" s="95"/>
      <c r="C38" s="95"/>
      <c r="D38" s="95"/>
      <c r="E38" s="95"/>
      <c r="F38" s="95"/>
      <c r="G38" s="95"/>
      <c r="I38" s="95"/>
      <c r="J38" s="95"/>
      <c r="K38" s="95"/>
      <c r="L38" s="95"/>
      <c r="M38" s="95"/>
      <c r="N38" s="95"/>
      <c r="O38" s="95"/>
    </row>
    <row r="39" spans="1:15" ht="11.25" customHeight="1" x14ac:dyDescent="0.25"/>
    <row r="40" spans="1:15" x14ac:dyDescent="0.25">
      <c r="A40" s="110" t="s">
        <v>338</v>
      </c>
      <c r="B40" s="110"/>
      <c r="C40" s="110"/>
      <c r="D40" s="110"/>
      <c r="E40" s="110"/>
      <c r="F40" s="110"/>
      <c r="G40" s="110"/>
      <c r="I40" s="100"/>
      <c r="J40" s="100"/>
      <c r="K40" s="100"/>
      <c r="L40" s="100"/>
      <c r="M40" s="100"/>
      <c r="N40" s="100"/>
      <c r="O40" s="100"/>
    </row>
  </sheetData>
  <mergeCells count="24">
    <mergeCell ref="I16:K16"/>
    <mergeCell ref="A1:O1"/>
    <mergeCell ref="A2:O2"/>
    <mergeCell ref="A10:N10"/>
    <mergeCell ref="A12:N12"/>
    <mergeCell ref="A14:N14"/>
    <mergeCell ref="A27:O27"/>
    <mergeCell ref="A18:A19"/>
    <mergeCell ref="B18:B19"/>
    <mergeCell ref="C18:C19"/>
    <mergeCell ref="D18:D19"/>
    <mergeCell ref="E18:E19"/>
    <mergeCell ref="F18:I18"/>
    <mergeCell ref="J18:J19"/>
    <mergeCell ref="K18:K19"/>
    <mergeCell ref="L18:M18"/>
    <mergeCell ref="N18:O18"/>
    <mergeCell ref="A21:O21"/>
    <mergeCell ref="A34:G34"/>
    <mergeCell ref="A36:G36"/>
    <mergeCell ref="A38:G38"/>
    <mergeCell ref="I38:O38"/>
    <mergeCell ref="A40:G40"/>
    <mergeCell ref="I40:O40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O38"/>
  <sheetViews>
    <sheetView zoomScale="70" zoomScaleNormal="70" workbookViewId="0">
      <selection activeCell="A38" sqref="A38:G38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356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5" x14ac:dyDescent="0.25">
      <c r="A3" s="7" t="s">
        <v>351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8" t="s">
        <v>41</v>
      </c>
      <c r="B4" s="8"/>
      <c r="C4" s="8"/>
      <c r="D4" s="8"/>
      <c r="E4" s="8"/>
      <c r="F4" s="8"/>
      <c r="G4" s="8"/>
      <c r="H4" s="8"/>
      <c r="I4" s="8"/>
      <c r="J4" s="1" t="s">
        <v>263</v>
      </c>
      <c r="K4" s="2"/>
      <c r="L4" s="2"/>
      <c r="M4" s="2"/>
      <c r="N4" s="2"/>
    </row>
    <row r="5" spans="1:15" x14ac:dyDescent="0.25">
      <c r="A5" s="6" t="s">
        <v>42</v>
      </c>
      <c r="F5" s="9"/>
      <c r="G5" s="9"/>
      <c r="H5" s="9"/>
      <c r="I5" s="9"/>
      <c r="J5" s="3"/>
      <c r="K5" s="3"/>
      <c r="L5" s="1"/>
      <c r="M5" s="1"/>
      <c r="N5" s="1"/>
    </row>
    <row r="6" spans="1:15" x14ac:dyDescent="0.25">
      <c r="A6" s="9" t="s">
        <v>68</v>
      </c>
      <c r="B6" s="9"/>
      <c r="C6" s="9"/>
      <c r="D6" s="9"/>
      <c r="E6" s="9"/>
      <c r="F6" s="9"/>
      <c r="G6" s="9"/>
      <c r="H6" s="9"/>
      <c r="I6" s="9"/>
      <c r="J6" s="1" t="s">
        <v>357</v>
      </c>
      <c r="K6" s="1"/>
      <c r="L6" s="1"/>
      <c r="M6" s="1"/>
      <c r="N6" s="1"/>
    </row>
    <row r="7" spans="1:15" x14ac:dyDescent="0.25">
      <c r="A7" s="9" t="s">
        <v>43</v>
      </c>
      <c r="B7" s="9"/>
      <c r="C7" s="9"/>
      <c r="D7" s="9"/>
      <c r="E7" s="9"/>
      <c r="F7" s="9"/>
      <c r="G7" s="9"/>
      <c r="H7" s="9"/>
      <c r="I7" s="9"/>
      <c r="J7" s="1" t="s">
        <v>358</v>
      </c>
      <c r="K7" s="1"/>
      <c r="L7" s="1"/>
      <c r="M7" s="1"/>
      <c r="N7" s="1"/>
    </row>
    <row r="8" spans="1:15" x14ac:dyDescent="0.25">
      <c r="A8" s="9" t="s">
        <v>1</v>
      </c>
      <c r="B8" s="9"/>
      <c r="C8" s="9"/>
      <c r="D8" s="9"/>
      <c r="E8" s="9"/>
      <c r="J8" s="3"/>
      <c r="K8" s="3"/>
      <c r="L8" s="3"/>
      <c r="M8" s="3"/>
      <c r="N8" s="3"/>
    </row>
    <row r="9" spans="1:15" x14ac:dyDescent="0.25">
      <c r="A9" s="97" t="s">
        <v>44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</row>
    <row r="10" spans="1:15" x14ac:dyDescent="0.25">
      <c r="A10" s="10" t="s">
        <v>45</v>
      </c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</row>
    <row r="11" spans="1:15" x14ac:dyDescent="0.25">
      <c r="A11" s="98" t="s">
        <v>140</v>
      </c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</row>
    <row r="12" spans="1:15" x14ac:dyDescent="0.25">
      <c r="A12" s="98" t="s">
        <v>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I13" s="98"/>
      <c r="J13" s="98"/>
      <c r="K13" s="98"/>
    </row>
    <row r="14" spans="1:15" x14ac:dyDescent="0.25">
      <c r="A14" s="6" t="s">
        <v>294</v>
      </c>
      <c r="L14" s="94"/>
    </row>
    <row r="15" spans="1:15" ht="16.5" customHeight="1" x14ac:dyDescent="0.25">
      <c r="A15" s="104" t="s">
        <v>2</v>
      </c>
      <c r="B15" s="104" t="s">
        <v>3</v>
      </c>
      <c r="C15" s="104" t="s">
        <v>4</v>
      </c>
      <c r="D15" s="104" t="s">
        <v>5</v>
      </c>
      <c r="E15" s="104" t="s">
        <v>6</v>
      </c>
      <c r="F15" s="101" t="s">
        <v>7</v>
      </c>
      <c r="G15" s="102"/>
      <c r="H15" s="102"/>
      <c r="I15" s="103"/>
      <c r="J15" s="104" t="s">
        <v>12</v>
      </c>
      <c r="K15" s="104" t="s">
        <v>13</v>
      </c>
      <c r="L15" s="101" t="s">
        <v>14</v>
      </c>
      <c r="M15" s="103"/>
      <c r="N15" s="101" t="s">
        <v>15</v>
      </c>
      <c r="O15" s="103"/>
    </row>
    <row r="16" spans="1:15" ht="27.6" x14ac:dyDescent="0.25">
      <c r="A16" s="105"/>
      <c r="B16" s="105"/>
      <c r="C16" s="105"/>
      <c r="D16" s="105"/>
      <c r="E16" s="105"/>
      <c r="F16" s="4" t="s">
        <v>8</v>
      </c>
      <c r="G16" s="4" t="s">
        <v>9</v>
      </c>
      <c r="H16" s="4" t="s">
        <v>10</v>
      </c>
      <c r="I16" s="4" t="s">
        <v>11</v>
      </c>
      <c r="J16" s="105"/>
      <c r="K16" s="105"/>
      <c r="L16" s="4" t="s">
        <v>16</v>
      </c>
      <c r="M16" s="4" t="s">
        <v>17</v>
      </c>
      <c r="N16" s="4" t="s">
        <v>16</v>
      </c>
      <c r="O16" s="4" t="s">
        <v>17</v>
      </c>
    </row>
    <row r="17" spans="1:15" x14ac:dyDescent="0.25">
      <c r="A17" s="4">
        <v>1</v>
      </c>
      <c r="B17" s="4">
        <v>2</v>
      </c>
      <c r="C17" s="4">
        <v>3</v>
      </c>
      <c r="D17" s="4">
        <v>4</v>
      </c>
      <c r="E17" s="4">
        <v>5</v>
      </c>
      <c r="F17" s="4">
        <v>6</v>
      </c>
      <c r="G17" s="4">
        <v>7</v>
      </c>
      <c r="H17" s="4">
        <v>8</v>
      </c>
      <c r="I17" s="4">
        <v>9</v>
      </c>
      <c r="J17" s="4">
        <v>10</v>
      </c>
      <c r="K17" s="4">
        <v>11</v>
      </c>
      <c r="L17" s="4">
        <v>12</v>
      </c>
      <c r="M17" s="4">
        <v>13</v>
      </c>
      <c r="N17" s="4">
        <v>14</v>
      </c>
      <c r="O17" s="4">
        <v>15</v>
      </c>
    </row>
    <row r="18" spans="1:15" x14ac:dyDescent="0.25">
      <c r="A18" s="106" t="s">
        <v>20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8"/>
    </row>
    <row r="19" spans="1:15" ht="32.25" customHeight="1" x14ac:dyDescent="0.25">
      <c r="A19" s="11" t="s">
        <v>80</v>
      </c>
      <c r="B19" s="12"/>
      <c r="C19" s="4"/>
      <c r="D19" s="4"/>
      <c r="E19" s="4"/>
      <c r="F19" s="4"/>
      <c r="G19" s="13"/>
      <c r="H19" s="13"/>
      <c r="I19" s="13"/>
      <c r="J19" s="14"/>
      <c r="K19" s="14"/>
      <c r="L19" s="14"/>
      <c r="M19" s="14"/>
      <c r="N19" s="14"/>
      <c r="O19" s="14"/>
    </row>
    <row r="20" spans="1:15" ht="45.75" customHeight="1" x14ac:dyDescent="0.25">
      <c r="A20" s="11" t="s">
        <v>353</v>
      </c>
      <c r="B20" s="4">
        <v>4</v>
      </c>
      <c r="C20" s="4" t="s">
        <v>27</v>
      </c>
      <c r="D20" s="5">
        <v>6</v>
      </c>
      <c r="E20" s="5">
        <v>5</v>
      </c>
      <c r="F20" s="15">
        <v>48</v>
      </c>
      <c r="G20" s="13">
        <v>10072.800000000001</v>
      </c>
      <c r="H20" s="13">
        <v>115.2000000000001</v>
      </c>
      <c r="I20" s="13">
        <v>9957.6</v>
      </c>
      <c r="J20" s="13"/>
      <c r="K20" s="13">
        <f>+I20*(108.5/(100+E20))</f>
        <v>10289.520000000002</v>
      </c>
      <c r="L20" s="13"/>
      <c r="M20" s="13"/>
      <c r="N20" s="13"/>
      <c r="O20" s="13"/>
    </row>
    <row r="21" spans="1:15" ht="45.75" customHeight="1" x14ac:dyDescent="0.25">
      <c r="A21" s="11" t="s">
        <v>354</v>
      </c>
      <c r="B21" s="4">
        <v>3</v>
      </c>
      <c r="C21" s="4" t="s">
        <v>27</v>
      </c>
      <c r="D21" s="5">
        <v>4</v>
      </c>
      <c r="E21" s="5">
        <v>5</v>
      </c>
      <c r="F21" s="15">
        <v>30</v>
      </c>
      <c r="G21" s="13">
        <v>6186.3999999999987</v>
      </c>
      <c r="H21" s="13">
        <v>72</v>
      </c>
      <c r="I21" s="13">
        <v>6114.3999999999987</v>
      </c>
      <c r="J21" s="13"/>
      <c r="K21" s="13">
        <f>+I21*(108.5/(100+E21))</f>
        <v>6318.2133333333322</v>
      </c>
      <c r="L21" s="13"/>
      <c r="M21" s="13"/>
      <c r="N21" s="13"/>
      <c r="O21" s="13"/>
    </row>
    <row r="22" spans="1:15" ht="45.75" customHeight="1" x14ac:dyDescent="0.25">
      <c r="A22" s="11" t="s">
        <v>355</v>
      </c>
      <c r="B22" s="4">
        <v>2</v>
      </c>
      <c r="C22" s="4" t="s">
        <v>27</v>
      </c>
      <c r="D22" s="5">
        <v>3.5</v>
      </c>
      <c r="E22" s="5">
        <v>5</v>
      </c>
      <c r="F22" s="15">
        <v>32</v>
      </c>
      <c r="G22" s="13">
        <v>6727.6</v>
      </c>
      <c r="H22" s="13">
        <v>76.800000000000011</v>
      </c>
      <c r="I22" s="13">
        <v>6650.8</v>
      </c>
      <c r="J22" s="13"/>
      <c r="K22" s="13">
        <f>+I22*(108.5/(100+E22))</f>
        <v>6872.4933333333338</v>
      </c>
      <c r="L22" s="13"/>
      <c r="M22" s="13"/>
      <c r="N22" s="13"/>
      <c r="O22" s="13"/>
    </row>
    <row r="23" spans="1:15" ht="30.75" customHeight="1" x14ac:dyDescent="0.25">
      <c r="A23" s="16" t="s">
        <v>21</v>
      </c>
      <c r="B23" s="4"/>
      <c r="C23" s="4"/>
      <c r="D23" s="4"/>
      <c r="E23" s="13"/>
      <c r="F23" s="17">
        <f>SUM(F20:F22)</f>
        <v>110</v>
      </c>
      <c r="G23" s="17">
        <f>SUM(G20:G22)</f>
        <v>22986.800000000003</v>
      </c>
      <c r="H23" s="17">
        <f t="shared" ref="H23:I23" si="0">SUM(H20:H22)</f>
        <v>264.00000000000011</v>
      </c>
      <c r="I23" s="17">
        <f t="shared" si="0"/>
        <v>22722.799999999999</v>
      </c>
      <c r="J23" s="17"/>
      <c r="K23" s="17">
        <f>SUM(K20:K22)</f>
        <v>23480.226666666669</v>
      </c>
      <c r="L23" s="18"/>
      <c r="M23" s="13"/>
      <c r="N23" s="13"/>
      <c r="O23" s="13"/>
    </row>
    <row r="24" spans="1:15" ht="14.25" customHeight="1" x14ac:dyDescent="0.25">
      <c r="A24" s="19"/>
      <c r="B24" s="20"/>
      <c r="C24" s="20"/>
      <c r="D24" s="20"/>
      <c r="E24" s="21"/>
      <c r="F24" s="22"/>
      <c r="G24" s="22"/>
      <c r="H24" s="22"/>
      <c r="I24" s="22"/>
      <c r="J24" s="22"/>
      <c r="K24" s="22"/>
      <c r="L24" s="22"/>
      <c r="M24" s="21"/>
      <c r="N24" s="21"/>
      <c r="O24" s="21"/>
    </row>
    <row r="25" spans="1:15" ht="14.4" x14ac:dyDescent="0.3">
      <c r="A25" s="109" t="s">
        <v>302</v>
      </c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</row>
    <row r="26" spans="1:15" ht="11.25" customHeight="1" x14ac:dyDescent="0.25"/>
    <row r="27" spans="1:15" x14ac:dyDescent="0.25">
      <c r="A27" s="6" t="s">
        <v>22</v>
      </c>
      <c r="D27" s="24">
        <f>+I23</f>
        <v>22722.799999999999</v>
      </c>
    </row>
    <row r="28" spans="1:15" x14ac:dyDescent="0.25">
      <c r="D28" s="25"/>
      <c r="G28" s="23"/>
      <c r="H28" s="23"/>
      <c r="I28" s="23"/>
      <c r="J28" s="23"/>
      <c r="K28" s="23"/>
    </row>
    <row r="29" spans="1:15" x14ac:dyDescent="0.25">
      <c r="A29" s="6" t="s">
        <v>23</v>
      </c>
      <c r="D29" s="24">
        <f>+K23</f>
        <v>23480.226666666669</v>
      </c>
    </row>
    <row r="30" spans="1:15" ht="11.25" customHeight="1" x14ac:dyDescent="0.25">
      <c r="D30" s="24"/>
    </row>
    <row r="31" spans="1:15" ht="10.5" customHeight="1" x14ac:dyDescent="0.25"/>
    <row r="32" spans="1:15" x14ac:dyDescent="0.25">
      <c r="A32" s="95" t="s">
        <v>25</v>
      </c>
      <c r="B32" s="95"/>
      <c r="C32" s="95"/>
      <c r="D32" s="95"/>
      <c r="E32" s="95"/>
      <c r="F32" s="95"/>
      <c r="G32" s="95"/>
    </row>
    <row r="33" spans="1:15" ht="9.75" customHeight="1" x14ac:dyDescent="0.25"/>
    <row r="34" spans="1:15" x14ac:dyDescent="0.25">
      <c r="A34" s="95" t="s">
        <v>82</v>
      </c>
      <c r="B34" s="95"/>
      <c r="C34" s="95"/>
      <c r="D34" s="95"/>
      <c r="E34" s="95"/>
      <c r="F34" s="95"/>
      <c r="G34" s="95"/>
    </row>
    <row r="35" spans="1:15" ht="12" customHeight="1" x14ac:dyDescent="0.25"/>
    <row r="36" spans="1:15" x14ac:dyDescent="0.25">
      <c r="A36" s="95" t="s">
        <v>26</v>
      </c>
      <c r="B36" s="95"/>
      <c r="C36" s="95"/>
      <c r="D36" s="95"/>
      <c r="E36" s="95"/>
      <c r="F36" s="95"/>
      <c r="G36" s="95"/>
      <c r="I36" s="95"/>
      <c r="J36" s="95"/>
      <c r="K36" s="95"/>
      <c r="L36" s="95"/>
      <c r="M36" s="95"/>
      <c r="N36" s="95"/>
      <c r="O36" s="95"/>
    </row>
    <row r="37" spans="1:15" ht="11.25" customHeight="1" x14ac:dyDescent="0.25"/>
    <row r="38" spans="1:15" x14ac:dyDescent="0.25">
      <c r="A38" s="110" t="s">
        <v>265</v>
      </c>
      <c r="B38" s="110"/>
      <c r="C38" s="110"/>
      <c r="D38" s="110"/>
      <c r="E38" s="110"/>
      <c r="F38" s="110"/>
      <c r="G38" s="110"/>
      <c r="I38" s="100" t="s">
        <v>46</v>
      </c>
      <c r="J38" s="100"/>
      <c r="K38" s="100"/>
      <c r="L38" s="100"/>
      <c r="M38" s="100"/>
      <c r="N38" s="100"/>
      <c r="O38" s="100"/>
    </row>
  </sheetData>
  <mergeCells count="23">
    <mergeCell ref="A25:O25"/>
    <mergeCell ref="A32:G32"/>
    <mergeCell ref="A34:G34"/>
    <mergeCell ref="A36:G36"/>
    <mergeCell ref="I36:O36"/>
    <mergeCell ref="A38:G38"/>
    <mergeCell ref="I38:O38"/>
    <mergeCell ref="F15:I15"/>
    <mergeCell ref="J15:J16"/>
    <mergeCell ref="K15:K16"/>
    <mergeCell ref="L15:M15"/>
    <mergeCell ref="N15:O15"/>
    <mergeCell ref="A18:O18"/>
    <mergeCell ref="A1:O1"/>
    <mergeCell ref="A9:N9"/>
    <mergeCell ref="A11:N11"/>
    <mergeCell ref="A12:N12"/>
    <mergeCell ref="I13:K13"/>
    <mergeCell ref="A15:A16"/>
    <mergeCell ref="B15:B16"/>
    <mergeCell ref="C15:C16"/>
    <mergeCell ref="D15:D16"/>
    <mergeCell ref="E15:E16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O38"/>
  <sheetViews>
    <sheetView tabSelected="1" topLeftCell="A10" zoomScale="70" zoomScaleNormal="70" workbookViewId="0">
      <selection activeCell="L29" sqref="L29"/>
    </sheetView>
  </sheetViews>
  <sheetFormatPr defaultColWidth="9.109375" defaultRowHeight="13.8" x14ac:dyDescent="0.25"/>
  <cols>
    <col min="1" max="1" width="43.33203125" style="6" customWidth="1"/>
    <col min="2" max="2" width="5.109375" style="6" customWidth="1"/>
    <col min="3" max="3" width="8.33203125" style="6" customWidth="1"/>
    <col min="4" max="4" width="10.44140625" style="6" customWidth="1"/>
    <col min="5" max="5" width="8.33203125" style="6" customWidth="1"/>
    <col min="6" max="6" width="9.109375" style="6"/>
    <col min="7" max="7" width="10.109375" style="6" bestFit="1" customWidth="1"/>
    <col min="8" max="8" width="9.109375" style="6"/>
    <col min="9" max="9" width="10.109375" style="6" bestFit="1" customWidth="1"/>
    <col min="10" max="10" width="9.88671875" style="6" customWidth="1"/>
    <col min="11" max="11" width="10.109375" style="6" bestFit="1" customWidth="1"/>
    <col min="12" max="16384" width="9.109375" style="6"/>
  </cols>
  <sheetData>
    <row r="1" spans="1:15" x14ac:dyDescent="0.25">
      <c r="A1" s="96" t="s">
        <v>362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x14ac:dyDescent="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5" x14ac:dyDescent="0.25">
      <c r="A3" s="7" t="s">
        <v>351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8" t="s">
        <v>41</v>
      </c>
      <c r="B4" s="8"/>
      <c r="C4" s="8"/>
      <c r="D4" s="8"/>
      <c r="E4" s="8"/>
      <c r="F4" s="8"/>
      <c r="G4" s="8"/>
      <c r="H4" s="8"/>
      <c r="I4" s="8"/>
      <c r="J4" s="3" t="s">
        <v>48</v>
      </c>
      <c r="K4" s="2"/>
      <c r="L4" s="2"/>
      <c r="M4" s="2"/>
      <c r="N4" s="2"/>
    </row>
    <row r="5" spans="1:15" x14ac:dyDescent="0.25">
      <c r="A5" s="6" t="s">
        <v>42</v>
      </c>
      <c r="F5" s="9"/>
      <c r="G5" s="9"/>
      <c r="H5" s="9"/>
      <c r="I5" s="9"/>
      <c r="J5" s="3"/>
      <c r="K5" s="3"/>
      <c r="L5" s="1"/>
      <c r="M5" s="1"/>
      <c r="N5" s="1"/>
    </row>
    <row r="6" spans="1:15" x14ac:dyDescent="0.25">
      <c r="A6" s="9" t="s">
        <v>68</v>
      </c>
      <c r="B6" s="9"/>
      <c r="C6" s="9"/>
      <c r="D6" s="9"/>
      <c r="E6" s="9"/>
      <c r="F6" s="9"/>
      <c r="G6" s="9"/>
      <c r="H6" s="9"/>
      <c r="I6" s="9"/>
      <c r="J6" s="3" t="s">
        <v>51</v>
      </c>
      <c r="K6" s="1"/>
      <c r="L6" s="1"/>
      <c r="M6" s="1"/>
      <c r="N6" s="1"/>
    </row>
    <row r="7" spans="1:15" x14ac:dyDescent="0.25">
      <c r="A7" s="9" t="s">
        <v>43</v>
      </c>
      <c r="B7" s="9"/>
      <c r="C7" s="9"/>
      <c r="D7" s="9"/>
      <c r="E7" s="9"/>
      <c r="F7" s="9"/>
      <c r="G7" s="9"/>
      <c r="H7" s="9"/>
      <c r="I7" s="9"/>
      <c r="J7" s="3" t="s">
        <v>49</v>
      </c>
      <c r="K7" s="1"/>
      <c r="L7" s="1"/>
      <c r="M7" s="1"/>
      <c r="N7" s="1"/>
    </row>
    <row r="8" spans="1:15" x14ac:dyDescent="0.25">
      <c r="A8" s="9" t="s">
        <v>1</v>
      </c>
      <c r="B8" s="9"/>
      <c r="C8" s="9"/>
      <c r="D8" s="9"/>
      <c r="E8" s="9"/>
      <c r="J8" s="3"/>
      <c r="K8" s="3"/>
      <c r="L8" s="3"/>
      <c r="M8" s="3"/>
      <c r="N8" s="3"/>
    </row>
    <row r="9" spans="1:15" x14ac:dyDescent="0.25">
      <c r="A9" s="97" t="s">
        <v>44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</row>
    <row r="10" spans="1:15" x14ac:dyDescent="0.25">
      <c r="A10" s="10" t="s">
        <v>45</v>
      </c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</row>
    <row r="11" spans="1:15" x14ac:dyDescent="0.25">
      <c r="A11" s="98" t="s">
        <v>140</v>
      </c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</row>
    <row r="12" spans="1:15" x14ac:dyDescent="0.25">
      <c r="A12" s="98" t="s">
        <v>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5" x14ac:dyDescent="0.25">
      <c r="I13" s="98"/>
      <c r="J13" s="98"/>
      <c r="K13" s="98"/>
    </row>
    <row r="14" spans="1:15" x14ac:dyDescent="0.25">
      <c r="A14" s="6" t="s">
        <v>294</v>
      </c>
      <c r="L14" s="94"/>
    </row>
    <row r="15" spans="1:15" ht="16.5" customHeight="1" x14ac:dyDescent="0.25">
      <c r="A15" s="104" t="s">
        <v>2</v>
      </c>
      <c r="B15" s="104" t="s">
        <v>3</v>
      </c>
      <c r="C15" s="104" t="s">
        <v>4</v>
      </c>
      <c r="D15" s="104" t="s">
        <v>5</v>
      </c>
      <c r="E15" s="104" t="s">
        <v>6</v>
      </c>
      <c r="F15" s="101" t="s">
        <v>7</v>
      </c>
      <c r="G15" s="102"/>
      <c r="H15" s="102"/>
      <c r="I15" s="103"/>
      <c r="J15" s="104" t="s">
        <v>12</v>
      </c>
      <c r="K15" s="104" t="s">
        <v>13</v>
      </c>
      <c r="L15" s="101" t="s">
        <v>14</v>
      </c>
      <c r="M15" s="103"/>
      <c r="N15" s="101" t="s">
        <v>15</v>
      </c>
      <c r="O15" s="103"/>
    </row>
    <row r="16" spans="1:15" ht="27.6" x14ac:dyDescent="0.25">
      <c r="A16" s="105"/>
      <c r="B16" s="105"/>
      <c r="C16" s="105"/>
      <c r="D16" s="105"/>
      <c r="E16" s="105"/>
      <c r="F16" s="4" t="s">
        <v>8</v>
      </c>
      <c r="G16" s="4" t="s">
        <v>9</v>
      </c>
      <c r="H16" s="4" t="s">
        <v>10</v>
      </c>
      <c r="I16" s="4" t="s">
        <v>11</v>
      </c>
      <c r="J16" s="105"/>
      <c r="K16" s="105"/>
      <c r="L16" s="4" t="s">
        <v>16</v>
      </c>
      <c r="M16" s="4" t="s">
        <v>17</v>
      </c>
      <c r="N16" s="4" t="s">
        <v>16</v>
      </c>
      <c r="O16" s="4" t="s">
        <v>17</v>
      </c>
    </row>
    <row r="17" spans="1:15" x14ac:dyDescent="0.25">
      <c r="A17" s="4">
        <v>1</v>
      </c>
      <c r="B17" s="4">
        <v>2</v>
      </c>
      <c r="C17" s="4">
        <v>3</v>
      </c>
      <c r="D17" s="4">
        <v>4</v>
      </c>
      <c r="E17" s="4">
        <v>5</v>
      </c>
      <c r="F17" s="4">
        <v>6</v>
      </c>
      <c r="G17" s="4">
        <v>7</v>
      </c>
      <c r="H17" s="4">
        <v>8</v>
      </c>
      <c r="I17" s="4">
        <v>9</v>
      </c>
      <c r="J17" s="4">
        <v>10</v>
      </c>
      <c r="K17" s="4">
        <v>11</v>
      </c>
      <c r="L17" s="4">
        <v>12</v>
      </c>
      <c r="M17" s="4">
        <v>13</v>
      </c>
      <c r="N17" s="4">
        <v>14</v>
      </c>
      <c r="O17" s="4">
        <v>15</v>
      </c>
    </row>
    <row r="18" spans="1:15" x14ac:dyDescent="0.25">
      <c r="A18" s="106" t="s">
        <v>20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8"/>
    </row>
    <row r="19" spans="1:15" ht="32.25" customHeight="1" x14ac:dyDescent="0.25">
      <c r="A19" s="11" t="s">
        <v>80</v>
      </c>
      <c r="B19" s="12"/>
      <c r="C19" s="4"/>
      <c r="D19" s="4"/>
      <c r="E19" s="4"/>
      <c r="F19" s="4"/>
      <c r="G19" s="13"/>
      <c r="H19" s="13"/>
      <c r="I19" s="13"/>
      <c r="J19" s="14"/>
      <c r="K19" s="14"/>
      <c r="L19" s="14"/>
      <c r="M19" s="14"/>
      <c r="N19" s="14"/>
      <c r="O19" s="14"/>
    </row>
    <row r="20" spans="1:15" ht="45.75" customHeight="1" x14ac:dyDescent="0.25">
      <c r="A20" s="11" t="s">
        <v>360</v>
      </c>
      <c r="B20" s="4">
        <v>4</v>
      </c>
      <c r="C20" s="4" t="s">
        <v>27</v>
      </c>
      <c r="D20" s="5">
        <v>6</v>
      </c>
      <c r="E20" s="5">
        <v>5</v>
      </c>
      <c r="F20" s="15">
        <v>44</v>
      </c>
      <c r="G20" s="13">
        <v>9401.0000000000018</v>
      </c>
      <c r="H20" s="13">
        <v>105.60000000000008</v>
      </c>
      <c r="I20" s="13">
        <v>9295.4</v>
      </c>
      <c r="J20" s="13"/>
      <c r="K20" s="13">
        <f>+I20*(108.5/(100+E20))</f>
        <v>9605.2466666666678</v>
      </c>
      <c r="L20" s="13"/>
      <c r="M20" s="13"/>
      <c r="N20" s="13"/>
      <c r="O20" s="13"/>
    </row>
    <row r="21" spans="1:15" ht="45.75" customHeight="1" x14ac:dyDescent="0.25">
      <c r="A21" s="11" t="s">
        <v>361</v>
      </c>
      <c r="B21" s="4">
        <v>3</v>
      </c>
      <c r="C21" s="4" t="s">
        <v>27</v>
      </c>
      <c r="D21" s="5">
        <v>4</v>
      </c>
      <c r="E21" s="5">
        <v>5</v>
      </c>
      <c r="F21" s="15">
        <v>40</v>
      </c>
      <c r="G21" s="13">
        <v>8514.4000000000015</v>
      </c>
      <c r="H21" s="13">
        <v>96.000000000000057</v>
      </c>
      <c r="I21" s="13">
        <v>8418.4000000000015</v>
      </c>
      <c r="J21" s="13"/>
      <c r="K21" s="13">
        <f>+I21*(108.5/(100+E21))</f>
        <v>8699.013333333336</v>
      </c>
      <c r="L21" s="13"/>
      <c r="M21" s="13"/>
      <c r="N21" s="13"/>
      <c r="O21" s="13"/>
    </row>
    <row r="22" spans="1:15" ht="45.75" customHeight="1" x14ac:dyDescent="0.25">
      <c r="A22" s="11" t="s">
        <v>359</v>
      </c>
      <c r="B22" s="4">
        <v>2</v>
      </c>
      <c r="C22" s="4" t="s">
        <v>27</v>
      </c>
      <c r="D22" s="5">
        <v>3.5</v>
      </c>
      <c r="E22" s="5">
        <v>5</v>
      </c>
      <c r="F22" s="15">
        <v>26</v>
      </c>
      <c r="G22" s="13">
        <v>5595.2</v>
      </c>
      <c r="H22" s="13">
        <v>62.399999999999977</v>
      </c>
      <c r="I22" s="13">
        <v>5532.7999999999993</v>
      </c>
      <c r="J22" s="13"/>
      <c r="K22" s="13">
        <f>+I22*(108.5/(100+E22))</f>
        <v>5717.2266666666665</v>
      </c>
      <c r="L22" s="13"/>
      <c r="M22" s="13"/>
      <c r="N22" s="13"/>
      <c r="O22" s="13"/>
    </row>
    <row r="23" spans="1:15" ht="30.75" customHeight="1" x14ac:dyDescent="0.25">
      <c r="A23" s="16" t="s">
        <v>21</v>
      </c>
      <c r="B23" s="4"/>
      <c r="C23" s="4"/>
      <c r="D23" s="4"/>
      <c r="E23" s="13"/>
      <c r="F23" s="17">
        <f>SUM(F20:F22)</f>
        <v>110</v>
      </c>
      <c r="G23" s="17">
        <f>SUM(G20:G22)</f>
        <v>23510.600000000002</v>
      </c>
      <c r="H23" s="17">
        <f t="shared" ref="H23:I23" si="0">SUM(H20:H22)</f>
        <v>264.00000000000011</v>
      </c>
      <c r="I23" s="17">
        <f t="shared" si="0"/>
        <v>23246.600000000002</v>
      </c>
      <c r="J23" s="17"/>
      <c r="K23" s="17">
        <f>SUM(K20:K22)</f>
        <v>24021.486666666668</v>
      </c>
      <c r="L23" s="18"/>
      <c r="M23" s="13"/>
      <c r="N23" s="13"/>
      <c r="O23" s="13"/>
    </row>
    <row r="24" spans="1:15" ht="14.25" customHeight="1" x14ac:dyDescent="0.25">
      <c r="A24" s="19"/>
      <c r="B24" s="20"/>
      <c r="C24" s="20"/>
      <c r="D24" s="20"/>
      <c r="E24" s="21"/>
      <c r="F24" s="22"/>
      <c r="G24" s="22"/>
      <c r="H24" s="22"/>
      <c r="I24" s="22"/>
      <c r="J24" s="22"/>
      <c r="K24" s="22"/>
      <c r="L24" s="22"/>
      <c r="M24" s="21"/>
      <c r="N24" s="21"/>
      <c r="O24" s="21"/>
    </row>
    <row r="25" spans="1:15" ht="14.4" x14ac:dyDescent="0.3">
      <c r="A25" s="109" t="s">
        <v>302</v>
      </c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</row>
    <row r="26" spans="1:15" ht="11.25" customHeight="1" x14ac:dyDescent="0.25"/>
    <row r="27" spans="1:15" x14ac:dyDescent="0.25">
      <c r="A27" s="6" t="s">
        <v>22</v>
      </c>
      <c r="D27" s="24">
        <f>+I23</f>
        <v>23246.600000000002</v>
      </c>
    </row>
    <row r="28" spans="1:15" x14ac:dyDescent="0.25">
      <c r="D28" s="25"/>
      <c r="G28" s="23"/>
      <c r="H28" s="23"/>
      <c r="I28" s="23"/>
      <c r="J28" s="23"/>
      <c r="K28" s="23"/>
    </row>
    <row r="29" spans="1:15" x14ac:dyDescent="0.25">
      <c r="A29" s="6" t="s">
        <v>23</v>
      </c>
      <c r="D29" s="24">
        <f>+K23</f>
        <v>24021.486666666668</v>
      </c>
    </row>
    <row r="30" spans="1:15" ht="11.25" customHeight="1" x14ac:dyDescent="0.25">
      <c r="D30" s="24"/>
    </row>
    <row r="31" spans="1:15" ht="10.5" customHeight="1" x14ac:dyDescent="0.25"/>
    <row r="32" spans="1:15" x14ac:dyDescent="0.25">
      <c r="A32" s="95" t="s">
        <v>25</v>
      </c>
      <c r="B32" s="95"/>
      <c r="C32" s="95"/>
      <c r="D32" s="95"/>
      <c r="E32" s="95"/>
      <c r="F32" s="95"/>
      <c r="G32" s="95"/>
    </row>
    <row r="33" spans="1:15" ht="9.75" customHeight="1" x14ac:dyDescent="0.25"/>
    <row r="34" spans="1:15" x14ac:dyDescent="0.25">
      <c r="A34" s="95" t="s">
        <v>82</v>
      </c>
      <c r="B34" s="95"/>
      <c r="C34" s="95"/>
      <c r="D34" s="95"/>
      <c r="E34" s="95"/>
      <c r="F34" s="95"/>
      <c r="G34" s="95"/>
    </row>
    <row r="35" spans="1:15" ht="12" customHeight="1" x14ac:dyDescent="0.25"/>
    <row r="36" spans="1:15" x14ac:dyDescent="0.25">
      <c r="A36" s="95" t="s">
        <v>26</v>
      </c>
      <c r="B36" s="95"/>
      <c r="C36" s="95"/>
      <c r="D36" s="95"/>
      <c r="E36" s="95"/>
      <c r="F36" s="95"/>
      <c r="G36" s="95"/>
      <c r="I36" s="95"/>
      <c r="J36" s="95"/>
      <c r="K36" s="95"/>
      <c r="L36" s="95"/>
      <c r="M36" s="95"/>
      <c r="N36" s="95"/>
      <c r="O36" s="95"/>
    </row>
    <row r="37" spans="1:15" ht="11.25" customHeight="1" x14ac:dyDescent="0.25"/>
    <row r="38" spans="1:15" x14ac:dyDescent="0.25">
      <c r="A38" s="110" t="s">
        <v>312</v>
      </c>
      <c r="B38" s="110"/>
      <c r="C38" s="110"/>
      <c r="D38" s="110"/>
      <c r="E38" s="110"/>
      <c r="F38" s="110"/>
      <c r="G38" s="110"/>
      <c r="I38" s="100" t="s">
        <v>46</v>
      </c>
      <c r="J38" s="100"/>
      <c r="K38" s="100"/>
      <c r="L38" s="100"/>
      <c r="M38" s="100"/>
      <c r="N38" s="100"/>
      <c r="O38" s="100"/>
    </row>
  </sheetData>
  <mergeCells count="23">
    <mergeCell ref="A25:O25"/>
    <mergeCell ref="A32:G32"/>
    <mergeCell ref="A34:G34"/>
    <mergeCell ref="A36:G36"/>
    <mergeCell ref="I36:O36"/>
    <mergeCell ref="A38:G38"/>
    <mergeCell ref="I38:O38"/>
    <mergeCell ref="F15:I15"/>
    <mergeCell ref="J15:J16"/>
    <mergeCell ref="K15:K16"/>
    <mergeCell ref="L15:M15"/>
    <mergeCell ref="N15:O15"/>
    <mergeCell ref="A18:O18"/>
    <mergeCell ref="A1:O1"/>
    <mergeCell ref="A9:N9"/>
    <mergeCell ref="A11:N11"/>
    <mergeCell ref="A12:N12"/>
    <mergeCell ref="I13:K13"/>
    <mergeCell ref="A15:A16"/>
    <mergeCell ref="B15:B16"/>
    <mergeCell ref="C15:C16"/>
    <mergeCell ref="D15:D16"/>
    <mergeCell ref="E15:E16"/>
  </mergeCells>
  <printOptions horizontalCentered="1"/>
  <pageMargins left="0.23622047244094491" right="0.19685039370078741" top="0.35433070866141736" bottom="0.19685039370078741" header="0.19685039370078741" footer="0.19685039370078741"/>
  <pageSetup paperSize="9"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66</vt:i4>
      </vt:variant>
      <vt:variant>
        <vt:lpstr>Именованные диапазоны</vt:lpstr>
      </vt:variant>
      <vt:variant>
        <vt:i4>1</vt:i4>
      </vt:variant>
    </vt:vector>
  </HeadingPairs>
  <TitlesOfParts>
    <vt:vector size="67" baseType="lpstr">
      <vt:lpstr>тола1В</vt:lpstr>
      <vt:lpstr>тола2В БХР</vt:lpstr>
      <vt:lpstr>тола3В БХР</vt:lpstr>
      <vt:lpstr>тола4В БХР</vt:lpstr>
      <vt:lpstr>тола5В БХР</vt:lpstr>
      <vt:lpstr>тола6В БХР</vt:lpstr>
      <vt:lpstr>тола7В БХР</vt:lpstr>
      <vt:lpstr>тола8В</vt:lpstr>
      <vt:lpstr>тола9В БХР</vt:lpstr>
      <vt:lpstr>тола10В БХР</vt:lpstr>
      <vt:lpstr>тола11В</vt:lpstr>
      <vt:lpstr>тола12В</vt:lpstr>
      <vt:lpstr>тола13В</vt:lpstr>
      <vt:lpstr>тола14В</vt:lpstr>
      <vt:lpstr>тола15В</vt:lpstr>
      <vt:lpstr>тола16А</vt:lpstr>
      <vt:lpstr>тола17В</vt:lpstr>
      <vt:lpstr>тола18В</vt:lpstr>
      <vt:lpstr>тола19A</vt:lpstr>
      <vt:lpstr>тола20А</vt:lpstr>
      <vt:lpstr>тола21A</vt:lpstr>
      <vt:lpstr>тола22В</vt:lpstr>
      <vt:lpstr>тола23В</vt:lpstr>
      <vt:lpstr>тола24В БХР</vt:lpstr>
      <vt:lpstr>тола25A</vt:lpstr>
      <vt:lpstr>тола26В</vt:lpstr>
      <vt:lpstr>тола27В БХР</vt:lpstr>
      <vt:lpstr>тола28В БХР</vt:lpstr>
      <vt:lpstr>тола29A</vt:lpstr>
      <vt:lpstr>тола30В БХР</vt:lpstr>
      <vt:lpstr>тола31В БХР </vt:lpstr>
      <vt:lpstr>тола32В БХР  </vt:lpstr>
      <vt:lpstr>тола33А</vt:lpstr>
      <vt:lpstr>тола34В БХР </vt:lpstr>
      <vt:lpstr>тола35А </vt:lpstr>
      <vt:lpstr>тола36В </vt:lpstr>
      <vt:lpstr>тола37В  </vt:lpstr>
      <vt:lpstr>тола38В БХР  </vt:lpstr>
      <vt:lpstr>тола39В БХР </vt:lpstr>
      <vt:lpstr>тола40В БХР</vt:lpstr>
      <vt:lpstr>тола41А  </vt:lpstr>
      <vt:lpstr>тола42В </vt:lpstr>
      <vt:lpstr>тола43В  </vt:lpstr>
      <vt:lpstr>тола44В   </vt:lpstr>
      <vt:lpstr>тола45А   </vt:lpstr>
      <vt:lpstr>тола46А </vt:lpstr>
      <vt:lpstr>тола47А</vt:lpstr>
      <vt:lpstr>тола48А  </vt:lpstr>
      <vt:lpstr>тола49А </vt:lpstr>
      <vt:lpstr>тола50В БХР  </vt:lpstr>
      <vt:lpstr>тола51А  </vt:lpstr>
      <vt:lpstr>тола52А  </vt:lpstr>
      <vt:lpstr>тола53В БХР </vt:lpstr>
      <vt:lpstr>тола54В БХР</vt:lpstr>
      <vt:lpstr>тола55А   </vt:lpstr>
      <vt:lpstr>тола56А </vt:lpstr>
      <vt:lpstr>тола57А </vt:lpstr>
      <vt:lpstr>тола58А  </vt:lpstr>
      <vt:lpstr>тола59А </vt:lpstr>
      <vt:lpstr>тола60А  </vt:lpstr>
      <vt:lpstr>тола61В   </vt:lpstr>
      <vt:lpstr>тола62В    </vt:lpstr>
      <vt:lpstr>тола63А   </vt:lpstr>
      <vt:lpstr>тола64В БХР</vt:lpstr>
      <vt:lpstr>тола65А</vt:lpstr>
      <vt:lpstr>тола66А</vt:lpstr>
      <vt:lpstr>тола15В!Область_печати</vt:lpstr>
    </vt:vector>
  </TitlesOfParts>
  <Company>Reanimator Extreme Edition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Sklad</cp:lastModifiedBy>
  <cp:lastPrinted>2025-10-30T07:56:48Z</cp:lastPrinted>
  <dcterms:created xsi:type="dcterms:W3CDTF">2018-10-05T14:38:40Z</dcterms:created>
  <dcterms:modified xsi:type="dcterms:W3CDTF">2025-10-30T07:57:07Z</dcterms:modified>
</cp:coreProperties>
</file>