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20730" windowHeight="11160" tabRatio="905"/>
  </bookViews>
  <sheets>
    <sheet name="Жами тола" sheetId="132" r:id="rId1"/>
    <sheet name="Сертификат" sheetId="100" r:id="rId2"/>
    <sheet name="240" sheetId="171" r:id="rId3"/>
    <sheet name="239" sheetId="170" r:id="rId4"/>
    <sheet name="238" sheetId="169" r:id="rId5"/>
    <sheet name="237" sheetId="168" r:id="rId6"/>
    <sheet name="236" sheetId="167" r:id="rId7"/>
    <sheet name="235" sheetId="166" r:id="rId8"/>
    <sheet name="234" sheetId="165" r:id="rId9"/>
    <sheet name="233" sheetId="164" r:id="rId10"/>
    <sheet name="232" sheetId="163" r:id="rId11"/>
    <sheet name="231" sheetId="162" r:id="rId12"/>
    <sheet name="230" sheetId="161" r:id="rId13"/>
    <sheet name="229" sheetId="160" r:id="rId14"/>
    <sheet name="228" sheetId="159" r:id="rId15"/>
    <sheet name="227" sheetId="158" r:id="rId16"/>
    <sheet name="226" sheetId="157" r:id="rId17"/>
    <sheet name="225" sheetId="156" r:id="rId18"/>
    <sheet name="224" sheetId="155" r:id="rId19"/>
    <sheet name="223" sheetId="153" r:id="rId20"/>
    <sheet name="222" sheetId="154" r:id="rId21"/>
    <sheet name="221" sheetId="152" r:id="rId22"/>
    <sheet name="220" sheetId="151" r:id="rId23"/>
    <sheet name="219" sheetId="150" r:id="rId24"/>
    <sheet name="218" sheetId="149" r:id="rId25"/>
    <sheet name="217" sheetId="148" r:id="rId26"/>
    <sheet name="216" sheetId="147" r:id="rId27"/>
    <sheet name="215" sheetId="146" r:id="rId28"/>
    <sheet name="214" sheetId="145" r:id="rId29"/>
    <sheet name="213" sheetId="144" r:id="rId30"/>
    <sheet name="212" sheetId="143" r:id="rId31"/>
    <sheet name="211" sheetId="142" r:id="rId32"/>
    <sheet name="210" sheetId="141" r:id="rId33"/>
    <sheet name="209" sheetId="140" r:id="rId34"/>
    <sheet name="208" sheetId="139" r:id="rId35"/>
    <sheet name="207" sheetId="138" r:id="rId36"/>
    <sheet name="206" sheetId="137" r:id="rId37"/>
    <sheet name="205" sheetId="136" r:id="rId38"/>
    <sheet name="204" sheetId="135" r:id="rId39"/>
    <sheet name="203" sheetId="134" r:id="rId40"/>
    <sheet name="202" sheetId="133" r:id="rId41"/>
    <sheet name="201" sheetId="131" r:id="rId42"/>
  </sheets>
  <definedNames>
    <definedName name="_xlnm._FilterDatabase" localSheetId="0" hidden="1">'Жами тола'!$A$1:$K$146</definedName>
    <definedName name="_xlnm.Print_Area" localSheetId="41">'201'!$A$1:$AQ$57</definedName>
    <definedName name="_xlnm.Print_Area" localSheetId="40">'202'!$A$1:$BE$57</definedName>
    <definedName name="_xlnm.Print_Area" localSheetId="38">'204'!$A$1:$AF$57</definedName>
    <definedName name="_xlnm.Print_Area" localSheetId="37">'205'!$A$1:$AF$57</definedName>
    <definedName name="_xlnm.Print_Area" localSheetId="34">'208'!$A$1:$AF$58</definedName>
    <definedName name="_xlnm.Print_Area" localSheetId="33">'209'!$A$1:$AF$58</definedName>
    <definedName name="_xlnm.Print_Area" localSheetId="32">'210'!$A$1:$AF$58</definedName>
    <definedName name="_xlnm.Print_Area" localSheetId="31">'211'!$A$1:$AF$58</definedName>
    <definedName name="_xlnm.Print_Area" localSheetId="30">'212'!$A$1:$AF$58</definedName>
    <definedName name="_xlnm.Print_Area" localSheetId="29">'213'!$A$1:$AF$57</definedName>
    <definedName name="_xlnm.Print_Area" localSheetId="28">'214'!$A$1:$AF$57</definedName>
    <definedName name="_xlnm.Print_Area" localSheetId="27">'215'!$A$1:$AF$57</definedName>
    <definedName name="_xlnm.Print_Area" localSheetId="26">'216'!$A$1:$AQ$57</definedName>
    <definedName name="_xlnm.Print_Area" localSheetId="25">'217'!$A$1:$AF$57</definedName>
    <definedName name="_xlnm.Print_Area" localSheetId="24">'218'!$A$1:$AF$57</definedName>
    <definedName name="_xlnm.Print_Area" localSheetId="23">'219'!$A$1:$AF$57</definedName>
    <definedName name="_xlnm.Print_Area" localSheetId="22">'220'!$A$1:$U$57</definedName>
    <definedName name="_xlnm.Print_Area" localSheetId="21">'221'!$A$1:$U$57</definedName>
    <definedName name="_xlnm.Print_Area" localSheetId="20">'222'!$A$1:$AF$57</definedName>
    <definedName name="_xlnm.Print_Area" localSheetId="19">'223'!$A$1:$AF$57</definedName>
    <definedName name="_xlnm.Print_Area" localSheetId="18">'224'!$A$1:$U$57</definedName>
    <definedName name="_xlnm.Print_Area" localSheetId="17">'225'!$A$1:$AF$57</definedName>
    <definedName name="_xlnm.Print_Area" localSheetId="16">'226'!$A$1:$AF$57</definedName>
    <definedName name="_xlnm.Print_Area" localSheetId="15">'227'!$A$1:$U$57</definedName>
    <definedName name="_xlnm.Print_Area" localSheetId="14">'228'!$A$1:$AF$57</definedName>
    <definedName name="_xlnm.Print_Area" localSheetId="13">'229'!$A$1:$AQ$57</definedName>
    <definedName name="_xlnm.Print_Area" localSheetId="12">'230'!$A$1:$AQ$57</definedName>
    <definedName name="_xlnm.Print_Area" localSheetId="11">'231'!$A$1:$U$57</definedName>
    <definedName name="_xlnm.Print_Area" localSheetId="10">'232'!$A$1:$AF$57</definedName>
    <definedName name="_xlnm.Print_Area" localSheetId="9">'233'!$A$1:$AF$57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5" i="166" l="1"/>
  <c r="X56" i="164"/>
  <c r="AC56" i="164" s="1"/>
  <c r="AF55" i="164"/>
  <c r="AD55" i="164"/>
  <c r="AB55" i="164"/>
  <c r="Z55" i="164"/>
  <c r="X55" i="164"/>
  <c r="AA8" i="164"/>
  <c r="AA9" i="164" s="1"/>
  <c r="AA10" i="164" s="1"/>
  <c r="AA11" i="164" s="1"/>
  <c r="AA12" i="164" s="1"/>
  <c r="AA13" i="164" s="1"/>
  <c r="AA14" i="164" s="1"/>
  <c r="AA15" i="164" s="1"/>
  <c r="AA16" i="164" s="1"/>
  <c r="AA17" i="164" s="1"/>
  <c r="AA18" i="164" s="1"/>
  <c r="AA19" i="164" s="1"/>
  <c r="AA20" i="164" s="1"/>
  <c r="AA21" i="164" s="1"/>
  <c r="AA22" i="164" s="1"/>
  <c r="AA23" i="164" s="1"/>
  <c r="AA24" i="164" s="1"/>
  <c r="AA25" i="164" s="1"/>
  <c r="AA26" i="164" s="1"/>
  <c r="AA27" i="164" s="1"/>
  <c r="AA28" i="164" s="1"/>
  <c r="AA29" i="164" s="1"/>
  <c r="AA30" i="164" s="1"/>
  <c r="AA31" i="164" s="1"/>
  <c r="AA32" i="164" s="1"/>
  <c r="AA33" i="164" s="1"/>
  <c r="AA34" i="164" s="1"/>
  <c r="AA35" i="164" s="1"/>
  <c r="AA36" i="164" s="1"/>
  <c r="AA37" i="164" s="1"/>
  <c r="AA38" i="164" s="1"/>
  <c r="AA39" i="164" s="1"/>
  <c r="AA40" i="164" s="1"/>
  <c r="AA41" i="164" s="1"/>
  <c r="AA42" i="164" s="1"/>
  <c r="AA43" i="164" s="1"/>
  <c r="AA44" i="164" s="1"/>
  <c r="AA45" i="164" s="1"/>
  <c r="AA46" i="164" s="1"/>
  <c r="AA47" i="164" s="1"/>
  <c r="AA48" i="164" s="1"/>
  <c r="AA49" i="164" s="1"/>
  <c r="AA50" i="164" s="1"/>
  <c r="AA51" i="164" s="1"/>
  <c r="AA52" i="164" s="1"/>
  <c r="AA53" i="164" s="1"/>
  <c r="AA54" i="164" s="1"/>
  <c r="M56" i="164"/>
  <c r="R56" i="164" s="1"/>
  <c r="U55" i="164"/>
  <c r="S55" i="164"/>
  <c r="Q55" i="164"/>
  <c r="O55" i="164"/>
  <c r="M55" i="164"/>
  <c r="P8" i="164"/>
  <c r="P9" i="164" s="1"/>
  <c r="P10" i="164" s="1"/>
  <c r="P11" i="164" s="1"/>
  <c r="P12" i="164" s="1"/>
  <c r="P13" i="164" s="1"/>
  <c r="P14" i="164" s="1"/>
  <c r="P15" i="164" s="1"/>
  <c r="P16" i="164" s="1"/>
  <c r="P17" i="164" s="1"/>
  <c r="P18" i="164" s="1"/>
  <c r="P19" i="164" s="1"/>
  <c r="P20" i="164" s="1"/>
  <c r="P21" i="164" s="1"/>
  <c r="P22" i="164" s="1"/>
  <c r="P23" i="164" s="1"/>
  <c r="P24" i="164" s="1"/>
  <c r="P25" i="164" s="1"/>
  <c r="P26" i="164" s="1"/>
  <c r="P27" i="164" s="1"/>
  <c r="P28" i="164" s="1"/>
  <c r="P29" i="164" s="1"/>
  <c r="P30" i="164" s="1"/>
  <c r="P31" i="164" s="1"/>
  <c r="P32" i="164" s="1"/>
  <c r="P33" i="164" s="1"/>
  <c r="P34" i="164" s="1"/>
  <c r="P35" i="164" s="1"/>
  <c r="P36" i="164" s="1"/>
  <c r="P37" i="164" s="1"/>
  <c r="P38" i="164" s="1"/>
  <c r="P39" i="164" s="1"/>
  <c r="P40" i="164" s="1"/>
  <c r="P41" i="164" s="1"/>
  <c r="P42" i="164" s="1"/>
  <c r="P43" i="164" s="1"/>
  <c r="P44" i="164" s="1"/>
  <c r="P45" i="164" s="1"/>
  <c r="P46" i="164" s="1"/>
  <c r="P47" i="164" s="1"/>
  <c r="P48" i="164" s="1"/>
  <c r="P49" i="164" s="1"/>
  <c r="P50" i="164" s="1"/>
  <c r="P51" i="164" s="1"/>
  <c r="P52" i="164" s="1"/>
  <c r="P53" i="164" s="1"/>
  <c r="P54" i="164" s="1"/>
  <c r="B58" i="164" l="1"/>
  <c r="B536" i="100"/>
  <c r="H65" i="132" s="1"/>
  <c r="B535" i="100"/>
  <c r="AA56" i="164"/>
  <c r="C536" i="100" s="1"/>
  <c r="P56" i="164"/>
  <c r="U56" i="164"/>
  <c r="H64" i="132" l="1"/>
  <c r="B537" i="100"/>
  <c r="AF56" i="164"/>
  <c r="D536" i="100" s="1"/>
  <c r="K65" i="132" s="1"/>
  <c r="D535" i="100"/>
  <c r="E58" i="164"/>
  <c r="C535" i="100"/>
  <c r="C537" i="100" s="1"/>
  <c r="D55" i="165"/>
  <c r="B55" i="165"/>
  <c r="X56" i="163"/>
  <c r="AC56" i="163" s="1"/>
  <c r="AF55" i="163"/>
  <c r="AD55" i="163"/>
  <c r="AB55" i="163"/>
  <c r="Z55" i="163"/>
  <c r="X55" i="163"/>
  <c r="AA8" i="163"/>
  <c r="AA9" i="163" s="1"/>
  <c r="AA10" i="163" s="1"/>
  <c r="AA11" i="163" s="1"/>
  <c r="AA12" i="163" s="1"/>
  <c r="AA13" i="163" s="1"/>
  <c r="AA14" i="163" s="1"/>
  <c r="AA15" i="163" s="1"/>
  <c r="AA16" i="163" s="1"/>
  <c r="AA17" i="163" s="1"/>
  <c r="AA18" i="163" s="1"/>
  <c r="AA19" i="163" s="1"/>
  <c r="AA20" i="163" s="1"/>
  <c r="AA21" i="163" s="1"/>
  <c r="AA22" i="163" s="1"/>
  <c r="AA23" i="163" s="1"/>
  <c r="AA24" i="163" s="1"/>
  <c r="AA25" i="163" s="1"/>
  <c r="AA26" i="163" s="1"/>
  <c r="AA27" i="163" s="1"/>
  <c r="AA28" i="163" s="1"/>
  <c r="AA29" i="163" s="1"/>
  <c r="AA30" i="163" s="1"/>
  <c r="AA31" i="163" s="1"/>
  <c r="AA32" i="163" s="1"/>
  <c r="AA33" i="163" s="1"/>
  <c r="AA34" i="163" s="1"/>
  <c r="AA35" i="163" s="1"/>
  <c r="AA36" i="163" s="1"/>
  <c r="AA37" i="163" s="1"/>
  <c r="AA38" i="163" s="1"/>
  <c r="AA39" i="163" s="1"/>
  <c r="AA40" i="163" s="1"/>
  <c r="AA41" i="163" s="1"/>
  <c r="AA42" i="163" s="1"/>
  <c r="AA43" i="163" s="1"/>
  <c r="AA44" i="163" s="1"/>
  <c r="AA45" i="163" s="1"/>
  <c r="AA46" i="163" s="1"/>
  <c r="AA47" i="163" s="1"/>
  <c r="AA48" i="163" s="1"/>
  <c r="AA49" i="163" s="1"/>
  <c r="AA50" i="163" s="1"/>
  <c r="AA51" i="163" s="1"/>
  <c r="AA52" i="163" s="1"/>
  <c r="AA53" i="163" s="1"/>
  <c r="AA54" i="163" s="1"/>
  <c r="M56" i="163"/>
  <c r="R56" i="163" s="1"/>
  <c r="U55" i="163"/>
  <c r="S55" i="163"/>
  <c r="Q55" i="163"/>
  <c r="O55" i="163"/>
  <c r="M55" i="163"/>
  <c r="P8" i="163"/>
  <c r="P9" i="163" s="1"/>
  <c r="P10" i="163" s="1"/>
  <c r="P11" i="163" s="1"/>
  <c r="P12" i="163" s="1"/>
  <c r="P13" i="163" s="1"/>
  <c r="P14" i="163" s="1"/>
  <c r="P15" i="163" s="1"/>
  <c r="P16" i="163" s="1"/>
  <c r="P17" i="163" s="1"/>
  <c r="P18" i="163" s="1"/>
  <c r="P19" i="163" s="1"/>
  <c r="P20" i="163" s="1"/>
  <c r="P21" i="163" s="1"/>
  <c r="P22" i="163" s="1"/>
  <c r="P23" i="163" s="1"/>
  <c r="P24" i="163" s="1"/>
  <c r="P25" i="163" s="1"/>
  <c r="P26" i="163" s="1"/>
  <c r="P27" i="163" s="1"/>
  <c r="P28" i="163" s="1"/>
  <c r="P29" i="163" s="1"/>
  <c r="P30" i="163" s="1"/>
  <c r="P31" i="163" s="1"/>
  <c r="P32" i="163" s="1"/>
  <c r="P33" i="163" s="1"/>
  <c r="P34" i="163" s="1"/>
  <c r="P35" i="163" s="1"/>
  <c r="P36" i="163" s="1"/>
  <c r="P37" i="163" s="1"/>
  <c r="P38" i="163" s="1"/>
  <c r="P39" i="163" s="1"/>
  <c r="P40" i="163" s="1"/>
  <c r="P41" i="163" s="1"/>
  <c r="P42" i="163" s="1"/>
  <c r="P43" i="163" s="1"/>
  <c r="P44" i="163" s="1"/>
  <c r="P45" i="163" s="1"/>
  <c r="P46" i="163" s="1"/>
  <c r="P47" i="163" s="1"/>
  <c r="P48" i="163" s="1"/>
  <c r="P49" i="163" s="1"/>
  <c r="P50" i="163" s="1"/>
  <c r="P51" i="163" s="1"/>
  <c r="P52" i="163" s="1"/>
  <c r="P53" i="163" s="1"/>
  <c r="P54" i="163" s="1"/>
  <c r="K64" i="132" l="1"/>
  <c r="D537" i="100"/>
  <c r="J58" i="164"/>
  <c r="P56" i="163"/>
  <c r="U56" i="163" s="1"/>
  <c r="B519" i="100"/>
  <c r="B58" i="163"/>
  <c r="B520" i="100"/>
  <c r="H63" i="132" s="1"/>
  <c r="AA56" i="163"/>
  <c r="AF56" i="163" l="1"/>
  <c r="D520" i="100" s="1"/>
  <c r="K63" i="132" s="1"/>
  <c r="C520" i="100"/>
  <c r="B521" i="100"/>
  <c r="H62" i="132"/>
  <c r="D519" i="100"/>
  <c r="E58" i="163"/>
  <c r="C519" i="100"/>
  <c r="C521" i="100" s="1"/>
  <c r="F55" i="163"/>
  <c r="J58" i="163" l="1"/>
  <c r="D521" i="100"/>
  <c r="K62" i="132"/>
  <c r="M56" i="162"/>
  <c r="R56" i="162" s="1"/>
  <c r="U55" i="162"/>
  <c r="S55" i="162"/>
  <c r="Q55" i="162"/>
  <c r="O55" i="162"/>
  <c r="M55" i="162"/>
  <c r="P56" i="162" s="1"/>
  <c r="C503" i="100" s="1"/>
  <c r="C504" i="100" s="1"/>
  <c r="P8" i="162"/>
  <c r="P9" i="162" s="1"/>
  <c r="P10" i="162" s="1"/>
  <c r="P11" i="162" s="1"/>
  <c r="P12" i="162" s="1"/>
  <c r="P13" i="162" s="1"/>
  <c r="P14" i="162" s="1"/>
  <c r="P15" i="162" s="1"/>
  <c r="P16" i="162" s="1"/>
  <c r="P17" i="162" s="1"/>
  <c r="P18" i="162" s="1"/>
  <c r="P19" i="162" s="1"/>
  <c r="P20" i="162" s="1"/>
  <c r="P21" i="162" s="1"/>
  <c r="P22" i="162" s="1"/>
  <c r="P23" i="162" s="1"/>
  <c r="P24" i="162" s="1"/>
  <c r="P25" i="162" s="1"/>
  <c r="P26" i="162" s="1"/>
  <c r="P27" i="162" s="1"/>
  <c r="P28" i="162" s="1"/>
  <c r="P29" i="162" s="1"/>
  <c r="P30" i="162" s="1"/>
  <c r="P31" i="162" s="1"/>
  <c r="P32" i="162" s="1"/>
  <c r="P33" i="162" s="1"/>
  <c r="P34" i="162" s="1"/>
  <c r="P35" i="162" s="1"/>
  <c r="P36" i="162" s="1"/>
  <c r="P37" i="162" s="1"/>
  <c r="P38" i="162" s="1"/>
  <c r="P39" i="162" s="1"/>
  <c r="P40" i="162" s="1"/>
  <c r="P41" i="162" s="1"/>
  <c r="P42" i="162" s="1"/>
  <c r="P43" i="162" s="1"/>
  <c r="P44" i="162" s="1"/>
  <c r="P45" i="162" s="1"/>
  <c r="P46" i="162" s="1"/>
  <c r="P47" i="162" s="1"/>
  <c r="P48" i="162" s="1"/>
  <c r="P49" i="162" s="1"/>
  <c r="P50" i="162" s="1"/>
  <c r="P51" i="162" s="1"/>
  <c r="P52" i="162" s="1"/>
  <c r="P53" i="162" s="1"/>
  <c r="P54" i="162" s="1"/>
  <c r="B503" i="100" l="1"/>
  <c r="H61" i="132" s="1"/>
  <c r="B504" i="100"/>
  <c r="U56" i="162"/>
  <c r="D503" i="100" s="1"/>
  <c r="D504" i="100" s="1"/>
  <c r="AI56" i="161"/>
  <c r="AN56" i="161" s="1"/>
  <c r="AQ55" i="161"/>
  <c r="AO55" i="161"/>
  <c r="AM55" i="161"/>
  <c r="AK55" i="161"/>
  <c r="AI55" i="161"/>
  <c r="AL8" i="161"/>
  <c r="AL9" i="161" s="1"/>
  <c r="AL10" i="161" s="1"/>
  <c r="AL11" i="161" s="1"/>
  <c r="AL12" i="161" s="1"/>
  <c r="AL13" i="161" s="1"/>
  <c r="AL14" i="161" s="1"/>
  <c r="AL15" i="161" s="1"/>
  <c r="AL16" i="161" s="1"/>
  <c r="AL17" i="161" s="1"/>
  <c r="AL18" i="161" s="1"/>
  <c r="AL19" i="161" s="1"/>
  <c r="AL20" i="161" s="1"/>
  <c r="AL21" i="161" s="1"/>
  <c r="AL22" i="161" s="1"/>
  <c r="AL23" i="161" s="1"/>
  <c r="AL24" i="161" s="1"/>
  <c r="AL25" i="161" s="1"/>
  <c r="AL26" i="161" s="1"/>
  <c r="AL27" i="161" s="1"/>
  <c r="AL28" i="161" s="1"/>
  <c r="AL29" i="161" s="1"/>
  <c r="AL30" i="161" s="1"/>
  <c r="AL31" i="161" s="1"/>
  <c r="AL32" i="161" s="1"/>
  <c r="AL33" i="161" s="1"/>
  <c r="AL34" i="161" s="1"/>
  <c r="AL35" i="161" s="1"/>
  <c r="AL36" i="161" s="1"/>
  <c r="AL37" i="161" s="1"/>
  <c r="AL38" i="161" s="1"/>
  <c r="AL39" i="161" s="1"/>
  <c r="AL40" i="161" s="1"/>
  <c r="AL41" i="161" s="1"/>
  <c r="AL42" i="161" s="1"/>
  <c r="AL43" i="161" s="1"/>
  <c r="AL44" i="161" s="1"/>
  <c r="AL45" i="161" s="1"/>
  <c r="AL46" i="161" s="1"/>
  <c r="AL47" i="161" s="1"/>
  <c r="AL48" i="161" s="1"/>
  <c r="AL49" i="161" s="1"/>
  <c r="AL50" i="161" s="1"/>
  <c r="AL51" i="161" s="1"/>
  <c r="AL52" i="161" s="1"/>
  <c r="AL53" i="161" s="1"/>
  <c r="AL54" i="161" s="1"/>
  <c r="X56" i="161"/>
  <c r="AC56" i="161" s="1"/>
  <c r="AF55" i="161"/>
  <c r="AD55" i="161"/>
  <c r="AB55" i="161"/>
  <c r="Z55" i="161"/>
  <c r="X55" i="161"/>
  <c r="AA8" i="161"/>
  <c r="AA9" i="161" s="1"/>
  <c r="AA10" i="161" s="1"/>
  <c r="AA11" i="161" s="1"/>
  <c r="AA12" i="161" s="1"/>
  <c r="AA13" i="161" s="1"/>
  <c r="AA14" i="161" s="1"/>
  <c r="AA15" i="161" s="1"/>
  <c r="AA16" i="161" s="1"/>
  <c r="AA17" i="161" s="1"/>
  <c r="AA18" i="161" s="1"/>
  <c r="AA19" i="161" s="1"/>
  <c r="AA20" i="161" s="1"/>
  <c r="AA21" i="161" s="1"/>
  <c r="AA22" i="161" s="1"/>
  <c r="AA23" i="161" s="1"/>
  <c r="AA24" i="161" s="1"/>
  <c r="AA25" i="161" s="1"/>
  <c r="AA26" i="161" s="1"/>
  <c r="AA27" i="161" s="1"/>
  <c r="AA28" i="161" s="1"/>
  <c r="AA29" i="161" s="1"/>
  <c r="AA30" i="161" s="1"/>
  <c r="AA31" i="161" s="1"/>
  <c r="AA32" i="161" s="1"/>
  <c r="AA33" i="161" s="1"/>
  <c r="AA34" i="161" s="1"/>
  <c r="AA35" i="161" s="1"/>
  <c r="AA36" i="161" s="1"/>
  <c r="AA37" i="161" s="1"/>
  <c r="AA38" i="161" s="1"/>
  <c r="AA39" i="161" s="1"/>
  <c r="AA40" i="161" s="1"/>
  <c r="AA41" i="161" s="1"/>
  <c r="AA42" i="161" s="1"/>
  <c r="AA43" i="161" s="1"/>
  <c r="AA44" i="161" s="1"/>
  <c r="AA45" i="161" s="1"/>
  <c r="AA46" i="161" s="1"/>
  <c r="AA47" i="161" s="1"/>
  <c r="AA48" i="161" s="1"/>
  <c r="AA49" i="161" s="1"/>
  <c r="AA50" i="161" s="1"/>
  <c r="AA51" i="161" s="1"/>
  <c r="AA52" i="161" s="1"/>
  <c r="AA53" i="161" s="1"/>
  <c r="AA54" i="161" s="1"/>
  <c r="M56" i="161"/>
  <c r="R56" i="161" s="1"/>
  <c r="U55" i="161"/>
  <c r="S55" i="161"/>
  <c r="Q55" i="161"/>
  <c r="O55" i="161"/>
  <c r="M55" i="161"/>
  <c r="P8" i="161"/>
  <c r="P9" i="161" s="1"/>
  <c r="P10" i="161" s="1"/>
  <c r="P11" i="161" s="1"/>
  <c r="P12" i="161" s="1"/>
  <c r="P13" i="161" s="1"/>
  <c r="P14" i="161" s="1"/>
  <c r="P15" i="161" s="1"/>
  <c r="P16" i="161" s="1"/>
  <c r="P17" i="161" s="1"/>
  <c r="P18" i="161" s="1"/>
  <c r="P19" i="161" s="1"/>
  <c r="P20" i="161" s="1"/>
  <c r="P21" i="161" s="1"/>
  <c r="P22" i="161" s="1"/>
  <c r="P23" i="161" s="1"/>
  <c r="P24" i="161" s="1"/>
  <c r="P25" i="161" s="1"/>
  <c r="P26" i="161" s="1"/>
  <c r="P27" i="161" s="1"/>
  <c r="P28" i="161" s="1"/>
  <c r="P29" i="161" s="1"/>
  <c r="P30" i="161" s="1"/>
  <c r="P31" i="161" s="1"/>
  <c r="P32" i="161" s="1"/>
  <c r="P33" i="161" s="1"/>
  <c r="P34" i="161" s="1"/>
  <c r="P35" i="161" s="1"/>
  <c r="P36" i="161" s="1"/>
  <c r="P37" i="161" s="1"/>
  <c r="P38" i="161" s="1"/>
  <c r="P39" i="161" s="1"/>
  <c r="P40" i="161" s="1"/>
  <c r="P41" i="161" s="1"/>
  <c r="P42" i="161" s="1"/>
  <c r="P43" i="161" s="1"/>
  <c r="P44" i="161" s="1"/>
  <c r="P45" i="161" s="1"/>
  <c r="P46" i="161" s="1"/>
  <c r="P47" i="161" s="1"/>
  <c r="P48" i="161" s="1"/>
  <c r="P49" i="161" s="1"/>
  <c r="P50" i="161" s="1"/>
  <c r="P51" i="161" s="1"/>
  <c r="P52" i="161" s="1"/>
  <c r="P53" i="161" s="1"/>
  <c r="P54" i="161" s="1"/>
  <c r="B58" i="161" l="1"/>
  <c r="B487" i="100"/>
  <c r="H60" i="132" s="1"/>
  <c r="K61" i="132"/>
  <c r="B486" i="100"/>
  <c r="H59" i="132" s="1"/>
  <c r="P56" i="161"/>
  <c r="B485" i="100"/>
  <c r="H58" i="132" s="1"/>
  <c r="AA56" i="161"/>
  <c r="C486" i="100" s="1"/>
  <c r="AL56" i="161"/>
  <c r="U56" i="161"/>
  <c r="F55" i="162"/>
  <c r="B55" i="162"/>
  <c r="F55" i="161"/>
  <c r="AI56" i="160"/>
  <c r="AN56" i="160" s="1"/>
  <c r="AQ55" i="160"/>
  <c r="AO55" i="160"/>
  <c r="AM55" i="160"/>
  <c r="AK55" i="160"/>
  <c r="AI55" i="160"/>
  <c r="AL8" i="160"/>
  <c r="AL9" i="160" s="1"/>
  <c r="AL10" i="160" s="1"/>
  <c r="AL11" i="160" s="1"/>
  <c r="AL12" i="160" s="1"/>
  <c r="AL13" i="160" s="1"/>
  <c r="AL14" i="160" s="1"/>
  <c r="AL15" i="160" s="1"/>
  <c r="AL16" i="160" s="1"/>
  <c r="AL17" i="160" s="1"/>
  <c r="AL18" i="160" s="1"/>
  <c r="AL19" i="160" s="1"/>
  <c r="AL20" i="160" s="1"/>
  <c r="AL21" i="160" s="1"/>
  <c r="AL22" i="160" s="1"/>
  <c r="AL23" i="160" s="1"/>
  <c r="AL24" i="160" s="1"/>
  <c r="AL25" i="160" s="1"/>
  <c r="AL26" i="160" s="1"/>
  <c r="AL27" i="160" s="1"/>
  <c r="AL28" i="160" s="1"/>
  <c r="AL29" i="160" s="1"/>
  <c r="AL30" i="160" s="1"/>
  <c r="AL31" i="160" s="1"/>
  <c r="AL32" i="160" s="1"/>
  <c r="AL33" i="160" s="1"/>
  <c r="AL34" i="160" s="1"/>
  <c r="AL35" i="160" s="1"/>
  <c r="AL36" i="160" s="1"/>
  <c r="AL37" i="160" s="1"/>
  <c r="AL38" i="160" s="1"/>
  <c r="AL39" i="160" s="1"/>
  <c r="AL40" i="160" s="1"/>
  <c r="AL41" i="160" s="1"/>
  <c r="AL42" i="160" s="1"/>
  <c r="AL43" i="160" s="1"/>
  <c r="AL44" i="160" s="1"/>
  <c r="AL45" i="160" s="1"/>
  <c r="AL46" i="160" s="1"/>
  <c r="AL47" i="160" s="1"/>
  <c r="AL48" i="160" s="1"/>
  <c r="AL49" i="160" s="1"/>
  <c r="AL50" i="160" s="1"/>
  <c r="AL51" i="160" s="1"/>
  <c r="AL52" i="160" s="1"/>
  <c r="AL53" i="160" s="1"/>
  <c r="AL54" i="160" s="1"/>
  <c r="X56" i="160"/>
  <c r="AC56" i="160" s="1"/>
  <c r="AF55" i="160"/>
  <c r="AD55" i="160"/>
  <c r="AB55" i="160"/>
  <c r="Z55" i="160"/>
  <c r="X55" i="160"/>
  <c r="AA8" i="160"/>
  <c r="AA9" i="160" s="1"/>
  <c r="AA10" i="160" s="1"/>
  <c r="AA11" i="160" s="1"/>
  <c r="AA12" i="160" s="1"/>
  <c r="AA13" i="160" s="1"/>
  <c r="AA14" i="160" s="1"/>
  <c r="AA15" i="160" s="1"/>
  <c r="AA16" i="160" s="1"/>
  <c r="AA17" i="160" s="1"/>
  <c r="AA18" i="160" s="1"/>
  <c r="AA19" i="160" s="1"/>
  <c r="AA20" i="160" s="1"/>
  <c r="AA21" i="160" s="1"/>
  <c r="AA22" i="160" s="1"/>
  <c r="AA23" i="160" s="1"/>
  <c r="AA24" i="160" s="1"/>
  <c r="AA25" i="160" s="1"/>
  <c r="AA26" i="160" s="1"/>
  <c r="AA27" i="160" s="1"/>
  <c r="AA28" i="160" s="1"/>
  <c r="AA29" i="160" s="1"/>
  <c r="AA30" i="160" s="1"/>
  <c r="AA31" i="160" s="1"/>
  <c r="AA32" i="160" s="1"/>
  <c r="AA33" i="160" s="1"/>
  <c r="AA34" i="160" s="1"/>
  <c r="AA35" i="160" s="1"/>
  <c r="AA36" i="160" s="1"/>
  <c r="AA37" i="160" s="1"/>
  <c r="AA38" i="160" s="1"/>
  <c r="AA39" i="160" s="1"/>
  <c r="AA40" i="160" s="1"/>
  <c r="AA41" i="160" s="1"/>
  <c r="AA42" i="160" s="1"/>
  <c r="AA43" i="160" s="1"/>
  <c r="AA44" i="160" s="1"/>
  <c r="AA45" i="160" s="1"/>
  <c r="AA46" i="160" s="1"/>
  <c r="AA47" i="160" s="1"/>
  <c r="AA48" i="160" s="1"/>
  <c r="AA49" i="160" s="1"/>
  <c r="AA50" i="160" s="1"/>
  <c r="AA51" i="160" s="1"/>
  <c r="AA52" i="160" s="1"/>
  <c r="AA53" i="160" s="1"/>
  <c r="AA54" i="160" s="1"/>
  <c r="M56" i="160"/>
  <c r="R56" i="160" s="1"/>
  <c r="U55" i="160"/>
  <c r="S55" i="160"/>
  <c r="Q55" i="160"/>
  <c r="O55" i="160"/>
  <c r="M55" i="160"/>
  <c r="P8" i="160"/>
  <c r="P9" i="160" s="1"/>
  <c r="P10" i="160" s="1"/>
  <c r="P11" i="160" s="1"/>
  <c r="P12" i="160" s="1"/>
  <c r="P13" i="160" s="1"/>
  <c r="P14" i="160" s="1"/>
  <c r="P15" i="160" s="1"/>
  <c r="P16" i="160" s="1"/>
  <c r="P17" i="160" s="1"/>
  <c r="P18" i="160" s="1"/>
  <c r="P19" i="160" s="1"/>
  <c r="P20" i="160" s="1"/>
  <c r="P21" i="160" s="1"/>
  <c r="P22" i="160" s="1"/>
  <c r="P23" i="160" s="1"/>
  <c r="P24" i="160" s="1"/>
  <c r="P25" i="160" s="1"/>
  <c r="P26" i="160" s="1"/>
  <c r="P27" i="160" s="1"/>
  <c r="P28" i="160" s="1"/>
  <c r="P29" i="160" s="1"/>
  <c r="P30" i="160" s="1"/>
  <c r="P31" i="160" s="1"/>
  <c r="P32" i="160" s="1"/>
  <c r="P33" i="160" s="1"/>
  <c r="P34" i="160" s="1"/>
  <c r="P35" i="160" s="1"/>
  <c r="P36" i="160" s="1"/>
  <c r="P37" i="160" s="1"/>
  <c r="P38" i="160" s="1"/>
  <c r="P39" i="160" s="1"/>
  <c r="P40" i="160" s="1"/>
  <c r="P41" i="160" s="1"/>
  <c r="P42" i="160" s="1"/>
  <c r="P43" i="160" s="1"/>
  <c r="P44" i="160" s="1"/>
  <c r="P45" i="160" s="1"/>
  <c r="P46" i="160" s="1"/>
  <c r="P47" i="160" s="1"/>
  <c r="P48" i="160" s="1"/>
  <c r="P49" i="160" s="1"/>
  <c r="P50" i="160" s="1"/>
  <c r="P51" i="160" s="1"/>
  <c r="P52" i="160" s="1"/>
  <c r="P53" i="160" s="1"/>
  <c r="P54" i="160" s="1"/>
  <c r="B488" i="100" l="1"/>
  <c r="D485" i="100"/>
  <c r="AQ56" i="161"/>
  <c r="D487" i="100" s="1"/>
  <c r="K60" i="132" s="1"/>
  <c r="C487" i="100"/>
  <c r="AF56" i="161"/>
  <c r="D486" i="100" s="1"/>
  <c r="K59" i="132" s="1"/>
  <c r="C485" i="100"/>
  <c r="E58" i="161"/>
  <c r="B470" i="100"/>
  <c r="H57" i="132" s="1"/>
  <c r="B468" i="100"/>
  <c r="H55" i="132" s="1"/>
  <c r="B58" i="160"/>
  <c r="B469" i="100"/>
  <c r="H56" i="132" s="1"/>
  <c r="AL56" i="160"/>
  <c r="AA56" i="160"/>
  <c r="P56" i="160"/>
  <c r="U56" i="160"/>
  <c r="B55" i="160"/>
  <c r="C488" i="100" l="1"/>
  <c r="K58" i="132"/>
  <c r="D488" i="100"/>
  <c r="J58" i="161"/>
  <c r="AQ56" i="160"/>
  <c r="D470" i="100" s="1"/>
  <c r="K57" i="132" s="1"/>
  <c r="C470" i="100"/>
  <c r="D468" i="100"/>
  <c r="K55" i="132" s="1"/>
  <c r="C468" i="100"/>
  <c r="E58" i="160"/>
  <c r="AF56" i="160"/>
  <c r="D469" i="100" s="1"/>
  <c r="K56" i="132" s="1"/>
  <c r="C469" i="100"/>
  <c r="B471" i="100"/>
  <c r="M56" i="152"/>
  <c r="R56" i="152" s="1"/>
  <c r="U55" i="152"/>
  <c r="S55" i="152"/>
  <c r="Q55" i="152"/>
  <c r="O55" i="152"/>
  <c r="M55" i="152"/>
  <c r="P8" i="152"/>
  <c r="P9" i="152" s="1"/>
  <c r="P10" i="152" s="1"/>
  <c r="P11" i="152" s="1"/>
  <c r="P12" i="152" s="1"/>
  <c r="P13" i="152" s="1"/>
  <c r="P14" i="152" s="1"/>
  <c r="P15" i="152" s="1"/>
  <c r="P16" i="152" s="1"/>
  <c r="P17" i="152" s="1"/>
  <c r="P18" i="152" s="1"/>
  <c r="P19" i="152" s="1"/>
  <c r="P20" i="152" s="1"/>
  <c r="P21" i="152" s="1"/>
  <c r="P22" i="152" s="1"/>
  <c r="P23" i="152" s="1"/>
  <c r="P24" i="152" s="1"/>
  <c r="P25" i="152" s="1"/>
  <c r="P26" i="152" s="1"/>
  <c r="P27" i="152" s="1"/>
  <c r="P28" i="152" s="1"/>
  <c r="P29" i="152" s="1"/>
  <c r="P30" i="152" s="1"/>
  <c r="P31" i="152" s="1"/>
  <c r="P32" i="152" s="1"/>
  <c r="P33" i="152" s="1"/>
  <c r="P34" i="152" s="1"/>
  <c r="P35" i="152" s="1"/>
  <c r="P36" i="152" s="1"/>
  <c r="P37" i="152" s="1"/>
  <c r="P38" i="152" s="1"/>
  <c r="P39" i="152" s="1"/>
  <c r="P40" i="152" s="1"/>
  <c r="P41" i="152" s="1"/>
  <c r="P42" i="152" s="1"/>
  <c r="P43" i="152" s="1"/>
  <c r="P44" i="152" s="1"/>
  <c r="P45" i="152" s="1"/>
  <c r="P46" i="152" s="1"/>
  <c r="P47" i="152" s="1"/>
  <c r="P48" i="152" s="1"/>
  <c r="P49" i="152" s="1"/>
  <c r="P50" i="152" s="1"/>
  <c r="P51" i="152" s="1"/>
  <c r="P52" i="152" s="1"/>
  <c r="P53" i="152" s="1"/>
  <c r="P54" i="152" s="1"/>
  <c r="P56" i="152" l="1"/>
  <c r="U56" i="152" s="1"/>
  <c r="C471" i="100"/>
  <c r="J58" i="160"/>
  <c r="D471" i="100"/>
  <c r="X56" i="159"/>
  <c r="AC56" i="159" s="1"/>
  <c r="AF55" i="159"/>
  <c r="AD55" i="159"/>
  <c r="AB55" i="159"/>
  <c r="Z55" i="159"/>
  <c r="X55" i="159"/>
  <c r="AA8" i="159"/>
  <c r="AA9" i="159" s="1"/>
  <c r="AA10" i="159" s="1"/>
  <c r="AA11" i="159" s="1"/>
  <c r="AA12" i="159" s="1"/>
  <c r="AA13" i="159" s="1"/>
  <c r="AA14" i="159" s="1"/>
  <c r="AA15" i="159" s="1"/>
  <c r="AA16" i="159" s="1"/>
  <c r="AA17" i="159" s="1"/>
  <c r="AA18" i="159" s="1"/>
  <c r="AA19" i="159" s="1"/>
  <c r="AA20" i="159" s="1"/>
  <c r="AA21" i="159" s="1"/>
  <c r="AA22" i="159" s="1"/>
  <c r="AA23" i="159" s="1"/>
  <c r="AA24" i="159" s="1"/>
  <c r="AA25" i="159" s="1"/>
  <c r="AA26" i="159" s="1"/>
  <c r="AA27" i="159" s="1"/>
  <c r="AA28" i="159" s="1"/>
  <c r="AA29" i="159" s="1"/>
  <c r="AA30" i="159" s="1"/>
  <c r="AA31" i="159" s="1"/>
  <c r="AA32" i="159" s="1"/>
  <c r="AA33" i="159" s="1"/>
  <c r="AA34" i="159" s="1"/>
  <c r="AA35" i="159" s="1"/>
  <c r="AA36" i="159" s="1"/>
  <c r="AA37" i="159" s="1"/>
  <c r="AA38" i="159" s="1"/>
  <c r="AA39" i="159" s="1"/>
  <c r="AA40" i="159" s="1"/>
  <c r="AA41" i="159" s="1"/>
  <c r="AA42" i="159" s="1"/>
  <c r="AA43" i="159" s="1"/>
  <c r="AA44" i="159" s="1"/>
  <c r="AA45" i="159" s="1"/>
  <c r="AA46" i="159" s="1"/>
  <c r="AA47" i="159" s="1"/>
  <c r="AA48" i="159" s="1"/>
  <c r="AA49" i="159" s="1"/>
  <c r="AA50" i="159" s="1"/>
  <c r="AA51" i="159" s="1"/>
  <c r="AA52" i="159" s="1"/>
  <c r="AA53" i="159" s="1"/>
  <c r="AA54" i="159" s="1"/>
  <c r="M56" i="159"/>
  <c r="R56" i="159" s="1"/>
  <c r="U55" i="159"/>
  <c r="S55" i="159"/>
  <c r="Q55" i="159"/>
  <c r="O55" i="159"/>
  <c r="M55" i="159"/>
  <c r="P8" i="159"/>
  <c r="P9" i="159" s="1"/>
  <c r="P10" i="159" s="1"/>
  <c r="P11" i="159" s="1"/>
  <c r="P12" i="159" s="1"/>
  <c r="P13" i="159" s="1"/>
  <c r="P14" i="159" s="1"/>
  <c r="P15" i="159" s="1"/>
  <c r="P16" i="159" s="1"/>
  <c r="P17" i="159" s="1"/>
  <c r="P18" i="159" s="1"/>
  <c r="P19" i="159" s="1"/>
  <c r="P20" i="159" s="1"/>
  <c r="P21" i="159" s="1"/>
  <c r="P22" i="159" s="1"/>
  <c r="P23" i="159" s="1"/>
  <c r="P24" i="159" s="1"/>
  <c r="P25" i="159" s="1"/>
  <c r="P26" i="159" s="1"/>
  <c r="P27" i="159" s="1"/>
  <c r="P28" i="159" s="1"/>
  <c r="P29" i="159" s="1"/>
  <c r="P30" i="159" s="1"/>
  <c r="P31" i="159" s="1"/>
  <c r="P32" i="159" s="1"/>
  <c r="P33" i="159" s="1"/>
  <c r="P34" i="159" s="1"/>
  <c r="P35" i="159" s="1"/>
  <c r="P36" i="159" s="1"/>
  <c r="P37" i="159" s="1"/>
  <c r="P38" i="159" s="1"/>
  <c r="P39" i="159" s="1"/>
  <c r="P40" i="159" s="1"/>
  <c r="P41" i="159" s="1"/>
  <c r="P42" i="159" s="1"/>
  <c r="P43" i="159" s="1"/>
  <c r="P44" i="159" s="1"/>
  <c r="P45" i="159" s="1"/>
  <c r="P46" i="159" s="1"/>
  <c r="P47" i="159" s="1"/>
  <c r="P48" i="159" s="1"/>
  <c r="P49" i="159" s="1"/>
  <c r="P50" i="159" s="1"/>
  <c r="P51" i="159" s="1"/>
  <c r="P52" i="159" s="1"/>
  <c r="P53" i="159" s="1"/>
  <c r="P54" i="159" s="1"/>
  <c r="M56" i="158"/>
  <c r="R56" i="158" s="1"/>
  <c r="U55" i="158"/>
  <c r="S55" i="158"/>
  <c r="Q55" i="158"/>
  <c r="O55" i="158"/>
  <c r="M55" i="158"/>
  <c r="P8" i="158"/>
  <c r="P9" i="158" s="1"/>
  <c r="P10" i="158" s="1"/>
  <c r="P11" i="158" s="1"/>
  <c r="P12" i="158" s="1"/>
  <c r="P13" i="158" s="1"/>
  <c r="P14" i="158" s="1"/>
  <c r="P15" i="158" s="1"/>
  <c r="P16" i="158" s="1"/>
  <c r="P17" i="158" s="1"/>
  <c r="P18" i="158" s="1"/>
  <c r="P19" i="158" s="1"/>
  <c r="P20" i="158" s="1"/>
  <c r="P21" i="158" s="1"/>
  <c r="P22" i="158" s="1"/>
  <c r="P23" i="158" s="1"/>
  <c r="P24" i="158" s="1"/>
  <c r="P25" i="158" s="1"/>
  <c r="P26" i="158" s="1"/>
  <c r="P27" i="158" s="1"/>
  <c r="P28" i="158" s="1"/>
  <c r="P29" i="158" s="1"/>
  <c r="P30" i="158" s="1"/>
  <c r="P31" i="158" s="1"/>
  <c r="P32" i="158" s="1"/>
  <c r="P33" i="158" s="1"/>
  <c r="P34" i="158" s="1"/>
  <c r="P35" i="158" s="1"/>
  <c r="P36" i="158" s="1"/>
  <c r="P37" i="158" s="1"/>
  <c r="P38" i="158" s="1"/>
  <c r="P39" i="158" s="1"/>
  <c r="P40" i="158" s="1"/>
  <c r="P41" i="158" s="1"/>
  <c r="P42" i="158" s="1"/>
  <c r="P43" i="158" s="1"/>
  <c r="P44" i="158" s="1"/>
  <c r="P45" i="158" s="1"/>
  <c r="P46" i="158" s="1"/>
  <c r="P47" i="158" s="1"/>
  <c r="P48" i="158" s="1"/>
  <c r="P49" i="158" s="1"/>
  <c r="P50" i="158" s="1"/>
  <c r="P51" i="158" s="1"/>
  <c r="P52" i="158" s="1"/>
  <c r="P53" i="158" s="1"/>
  <c r="P54" i="158" s="1"/>
  <c r="AA56" i="159" l="1"/>
  <c r="C453" i="100" s="1"/>
  <c r="P56" i="158"/>
  <c r="U56" i="158" s="1"/>
  <c r="B453" i="100"/>
  <c r="H54" i="132" s="1"/>
  <c r="B58" i="159"/>
  <c r="B452" i="100"/>
  <c r="AF56" i="159"/>
  <c r="D453" i="100" s="1"/>
  <c r="K54" i="132" s="1"/>
  <c r="P56" i="159"/>
  <c r="U56" i="159" s="1"/>
  <c r="D55" i="159"/>
  <c r="D452" i="100" l="1"/>
  <c r="J58" i="159"/>
  <c r="C452" i="100"/>
  <c r="C454" i="100" s="1"/>
  <c r="E58" i="159"/>
  <c r="H53" i="132"/>
  <c r="B454" i="100"/>
  <c r="D437" i="100"/>
  <c r="D438" i="100" s="1"/>
  <c r="C437" i="100"/>
  <c r="C438" i="100" s="1"/>
  <c r="B437" i="100"/>
  <c r="H52" i="132" s="1"/>
  <c r="X56" i="157"/>
  <c r="AC56" i="157" s="1"/>
  <c r="AF55" i="157"/>
  <c r="AD55" i="157"/>
  <c r="AB55" i="157"/>
  <c r="Z55" i="157"/>
  <c r="X55" i="157"/>
  <c r="AA8" i="157"/>
  <c r="AA9" i="157" s="1"/>
  <c r="AA10" i="157" s="1"/>
  <c r="AA11" i="157" s="1"/>
  <c r="AA12" i="157" s="1"/>
  <c r="AA13" i="157" s="1"/>
  <c r="AA14" i="157" s="1"/>
  <c r="AA15" i="157" s="1"/>
  <c r="AA16" i="157" s="1"/>
  <c r="AA17" i="157" s="1"/>
  <c r="AA18" i="157" s="1"/>
  <c r="AA19" i="157" s="1"/>
  <c r="AA20" i="157" s="1"/>
  <c r="AA21" i="157" s="1"/>
  <c r="AA22" i="157" s="1"/>
  <c r="AA23" i="157" s="1"/>
  <c r="AA24" i="157" s="1"/>
  <c r="AA25" i="157" s="1"/>
  <c r="AA26" i="157" s="1"/>
  <c r="AA27" i="157" s="1"/>
  <c r="AA28" i="157" s="1"/>
  <c r="AA29" i="157" s="1"/>
  <c r="AA30" i="157" s="1"/>
  <c r="AA31" i="157" s="1"/>
  <c r="AA32" i="157" s="1"/>
  <c r="AA33" i="157" s="1"/>
  <c r="AA34" i="157" s="1"/>
  <c r="AA35" i="157" s="1"/>
  <c r="AA36" i="157" s="1"/>
  <c r="AA37" i="157" s="1"/>
  <c r="AA38" i="157" s="1"/>
  <c r="AA39" i="157" s="1"/>
  <c r="AA40" i="157" s="1"/>
  <c r="AA41" i="157" s="1"/>
  <c r="AA42" i="157" s="1"/>
  <c r="AA43" i="157" s="1"/>
  <c r="AA44" i="157" s="1"/>
  <c r="AA45" i="157" s="1"/>
  <c r="AA46" i="157" s="1"/>
  <c r="AA47" i="157" s="1"/>
  <c r="AA48" i="157" s="1"/>
  <c r="AA49" i="157" s="1"/>
  <c r="AA50" i="157" s="1"/>
  <c r="AA51" i="157" s="1"/>
  <c r="AA52" i="157" s="1"/>
  <c r="AA53" i="157" s="1"/>
  <c r="AA54" i="157" s="1"/>
  <c r="M56" i="157"/>
  <c r="R56" i="157" s="1"/>
  <c r="U55" i="157"/>
  <c r="S55" i="157"/>
  <c r="Q55" i="157"/>
  <c r="O55" i="157"/>
  <c r="M55" i="157"/>
  <c r="P8" i="157"/>
  <c r="P9" i="157" s="1"/>
  <c r="P10" i="157" s="1"/>
  <c r="P11" i="157" s="1"/>
  <c r="P12" i="157" s="1"/>
  <c r="P13" i="157" s="1"/>
  <c r="P14" i="157" s="1"/>
  <c r="P15" i="157" s="1"/>
  <c r="P16" i="157" s="1"/>
  <c r="P17" i="157" s="1"/>
  <c r="P18" i="157" s="1"/>
  <c r="P19" i="157" s="1"/>
  <c r="P20" i="157" s="1"/>
  <c r="P21" i="157" s="1"/>
  <c r="P22" i="157" s="1"/>
  <c r="P23" i="157" s="1"/>
  <c r="P24" i="157" s="1"/>
  <c r="P25" i="157" s="1"/>
  <c r="P26" i="157" s="1"/>
  <c r="P27" i="157" s="1"/>
  <c r="P28" i="157" s="1"/>
  <c r="P29" i="157" s="1"/>
  <c r="P30" i="157" s="1"/>
  <c r="P31" i="157" s="1"/>
  <c r="P32" i="157" s="1"/>
  <c r="P33" i="157" s="1"/>
  <c r="P34" i="157" s="1"/>
  <c r="P35" i="157" s="1"/>
  <c r="P36" i="157" s="1"/>
  <c r="P37" i="157" s="1"/>
  <c r="P38" i="157" s="1"/>
  <c r="P39" i="157" s="1"/>
  <c r="P40" i="157" s="1"/>
  <c r="P41" i="157" s="1"/>
  <c r="P42" i="157" s="1"/>
  <c r="P43" i="157" s="1"/>
  <c r="P44" i="157" s="1"/>
  <c r="P45" i="157" s="1"/>
  <c r="P46" i="157" s="1"/>
  <c r="P47" i="157" s="1"/>
  <c r="P48" i="157" s="1"/>
  <c r="P49" i="157" s="1"/>
  <c r="P50" i="157" s="1"/>
  <c r="P51" i="157" s="1"/>
  <c r="P52" i="157" s="1"/>
  <c r="P53" i="157" s="1"/>
  <c r="P54" i="157" s="1"/>
  <c r="B438" i="100" l="1"/>
  <c r="B422" i="100"/>
  <c r="H51" i="132" s="1"/>
  <c r="B58" i="157"/>
  <c r="B421" i="100"/>
  <c r="K53" i="132"/>
  <c r="D454" i="100"/>
  <c r="K52" i="132"/>
  <c r="AA56" i="157"/>
  <c r="P56" i="157"/>
  <c r="B56" i="171"/>
  <c r="G56" i="171" s="1"/>
  <c r="J55" i="171"/>
  <c r="H55" i="171"/>
  <c r="F55" i="171"/>
  <c r="D55" i="171"/>
  <c r="B55" i="171"/>
  <c r="E8" i="171"/>
  <c r="E9" i="171" s="1"/>
  <c r="E10" i="171" s="1"/>
  <c r="E11" i="171" s="1"/>
  <c r="E12" i="171" s="1"/>
  <c r="E13" i="171" s="1"/>
  <c r="E14" i="171" s="1"/>
  <c r="E15" i="171" s="1"/>
  <c r="E16" i="171" s="1"/>
  <c r="E17" i="171" s="1"/>
  <c r="E18" i="171" s="1"/>
  <c r="E19" i="171" s="1"/>
  <c r="E20" i="171" s="1"/>
  <c r="E21" i="171" s="1"/>
  <c r="E22" i="171" s="1"/>
  <c r="E23" i="171" s="1"/>
  <c r="E24" i="171" s="1"/>
  <c r="E25" i="171" s="1"/>
  <c r="E26" i="171" s="1"/>
  <c r="E27" i="171" s="1"/>
  <c r="E28" i="171" s="1"/>
  <c r="E29" i="171" s="1"/>
  <c r="E30" i="171" s="1"/>
  <c r="E31" i="171" s="1"/>
  <c r="E32" i="171" s="1"/>
  <c r="E33" i="171" s="1"/>
  <c r="E34" i="171" s="1"/>
  <c r="E35" i="171" s="1"/>
  <c r="E36" i="171" s="1"/>
  <c r="E37" i="171" s="1"/>
  <c r="E38" i="171" s="1"/>
  <c r="E39" i="171" s="1"/>
  <c r="E40" i="171" s="1"/>
  <c r="E41" i="171" s="1"/>
  <c r="E42" i="171" s="1"/>
  <c r="E43" i="171" s="1"/>
  <c r="E44" i="171" s="1"/>
  <c r="E45" i="171" s="1"/>
  <c r="E46" i="171" s="1"/>
  <c r="E47" i="171" s="1"/>
  <c r="E48" i="171" s="1"/>
  <c r="E49" i="171" s="1"/>
  <c r="E50" i="171" s="1"/>
  <c r="E51" i="171" s="1"/>
  <c r="E52" i="171" s="1"/>
  <c r="E53" i="171" s="1"/>
  <c r="E54" i="171" s="1"/>
  <c r="B56" i="170"/>
  <c r="G56" i="170" s="1"/>
  <c r="J55" i="170"/>
  <c r="H55" i="170"/>
  <c r="F55" i="170"/>
  <c r="D55" i="170"/>
  <c r="B55" i="170"/>
  <c r="E8" i="170"/>
  <c r="E9" i="170" s="1"/>
  <c r="E10" i="170" s="1"/>
  <c r="E11" i="170" s="1"/>
  <c r="E12" i="170" s="1"/>
  <c r="E13" i="170" s="1"/>
  <c r="E14" i="170" s="1"/>
  <c r="E15" i="170" s="1"/>
  <c r="E16" i="170" s="1"/>
  <c r="E17" i="170" s="1"/>
  <c r="E18" i="170" s="1"/>
  <c r="E19" i="170" s="1"/>
  <c r="E20" i="170" s="1"/>
  <c r="E21" i="170" s="1"/>
  <c r="E22" i="170" s="1"/>
  <c r="E23" i="170" s="1"/>
  <c r="E24" i="170" s="1"/>
  <c r="E25" i="170" s="1"/>
  <c r="E26" i="170" s="1"/>
  <c r="E27" i="170" s="1"/>
  <c r="E28" i="170" s="1"/>
  <c r="E29" i="170" s="1"/>
  <c r="E30" i="170" s="1"/>
  <c r="E31" i="170" s="1"/>
  <c r="E32" i="170" s="1"/>
  <c r="E33" i="170" s="1"/>
  <c r="E34" i="170" s="1"/>
  <c r="E35" i="170" s="1"/>
  <c r="E36" i="170" s="1"/>
  <c r="E37" i="170" s="1"/>
  <c r="E38" i="170" s="1"/>
  <c r="E39" i="170" s="1"/>
  <c r="E40" i="170" s="1"/>
  <c r="E41" i="170" s="1"/>
  <c r="E42" i="170" s="1"/>
  <c r="E43" i="170" s="1"/>
  <c r="E44" i="170" s="1"/>
  <c r="E45" i="170" s="1"/>
  <c r="E46" i="170" s="1"/>
  <c r="E47" i="170" s="1"/>
  <c r="E48" i="170" s="1"/>
  <c r="E49" i="170" s="1"/>
  <c r="E50" i="170" s="1"/>
  <c r="E51" i="170" s="1"/>
  <c r="E52" i="170" s="1"/>
  <c r="E53" i="170" s="1"/>
  <c r="E54" i="170" s="1"/>
  <c r="B56" i="169"/>
  <c r="G56" i="169" s="1"/>
  <c r="J55" i="169"/>
  <c r="H55" i="169"/>
  <c r="F55" i="169"/>
  <c r="D55" i="169"/>
  <c r="B55" i="169"/>
  <c r="E8" i="169"/>
  <c r="E9" i="169" s="1"/>
  <c r="E10" i="169" s="1"/>
  <c r="E11" i="169" s="1"/>
  <c r="E12" i="169" s="1"/>
  <c r="E13" i="169" s="1"/>
  <c r="E14" i="169" s="1"/>
  <c r="E15" i="169" s="1"/>
  <c r="E16" i="169" s="1"/>
  <c r="E17" i="169" s="1"/>
  <c r="E18" i="169" s="1"/>
  <c r="E19" i="169" s="1"/>
  <c r="E20" i="169" s="1"/>
  <c r="E21" i="169" s="1"/>
  <c r="E22" i="169" s="1"/>
  <c r="E23" i="169" s="1"/>
  <c r="E24" i="169" s="1"/>
  <c r="E25" i="169" s="1"/>
  <c r="E26" i="169" s="1"/>
  <c r="E27" i="169" s="1"/>
  <c r="E28" i="169" s="1"/>
  <c r="E29" i="169" s="1"/>
  <c r="E30" i="169" s="1"/>
  <c r="E31" i="169" s="1"/>
  <c r="E32" i="169" s="1"/>
  <c r="E33" i="169" s="1"/>
  <c r="E34" i="169" s="1"/>
  <c r="E35" i="169" s="1"/>
  <c r="E36" i="169" s="1"/>
  <c r="E37" i="169" s="1"/>
  <c r="E38" i="169" s="1"/>
  <c r="E39" i="169" s="1"/>
  <c r="E40" i="169" s="1"/>
  <c r="E41" i="169" s="1"/>
  <c r="E42" i="169" s="1"/>
  <c r="E43" i="169" s="1"/>
  <c r="E44" i="169" s="1"/>
  <c r="E45" i="169" s="1"/>
  <c r="E46" i="169" s="1"/>
  <c r="E47" i="169" s="1"/>
  <c r="E48" i="169" s="1"/>
  <c r="E49" i="169" s="1"/>
  <c r="E50" i="169" s="1"/>
  <c r="E51" i="169" s="1"/>
  <c r="E52" i="169" s="1"/>
  <c r="E53" i="169" s="1"/>
  <c r="E54" i="169" s="1"/>
  <c r="B56" i="168"/>
  <c r="G56" i="168" s="1"/>
  <c r="J55" i="168"/>
  <c r="H55" i="168"/>
  <c r="F55" i="168"/>
  <c r="D55" i="168"/>
  <c r="B55" i="168"/>
  <c r="E8" i="168"/>
  <c r="E9" i="168" s="1"/>
  <c r="E10" i="168" s="1"/>
  <c r="E11" i="168" s="1"/>
  <c r="E12" i="168" s="1"/>
  <c r="E13" i="168" s="1"/>
  <c r="E14" i="168" s="1"/>
  <c r="E15" i="168" s="1"/>
  <c r="E16" i="168" s="1"/>
  <c r="E17" i="168" s="1"/>
  <c r="E18" i="168" s="1"/>
  <c r="E19" i="168" s="1"/>
  <c r="E20" i="168" s="1"/>
  <c r="E21" i="168" s="1"/>
  <c r="E22" i="168" s="1"/>
  <c r="E23" i="168" s="1"/>
  <c r="E24" i="168" s="1"/>
  <c r="E25" i="168" s="1"/>
  <c r="E26" i="168" s="1"/>
  <c r="E27" i="168" s="1"/>
  <c r="E28" i="168" s="1"/>
  <c r="E29" i="168" s="1"/>
  <c r="E30" i="168" s="1"/>
  <c r="E31" i="168" s="1"/>
  <c r="E32" i="168" s="1"/>
  <c r="E33" i="168" s="1"/>
  <c r="E34" i="168" s="1"/>
  <c r="E35" i="168" s="1"/>
  <c r="E36" i="168" s="1"/>
  <c r="E37" i="168" s="1"/>
  <c r="E38" i="168" s="1"/>
  <c r="E39" i="168" s="1"/>
  <c r="E40" i="168" s="1"/>
  <c r="E41" i="168" s="1"/>
  <c r="E42" i="168" s="1"/>
  <c r="E43" i="168" s="1"/>
  <c r="E44" i="168" s="1"/>
  <c r="E45" i="168" s="1"/>
  <c r="E46" i="168" s="1"/>
  <c r="E47" i="168" s="1"/>
  <c r="E48" i="168" s="1"/>
  <c r="E49" i="168" s="1"/>
  <c r="E50" i="168" s="1"/>
  <c r="E51" i="168" s="1"/>
  <c r="E52" i="168" s="1"/>
  <c r="E53" i="168" s="1"/>
  <c r="E54" i="168" s="1"/>
  <c r="B56" i="167"/>
  <c r="G56" i="167" s="1"/>
  <c r="J55" i="167"/>
  <c r="H55" i="167"/>
  <c r="F55" i="167"/>
  <c r="D55" i="167"/>
  <c r="B55" i="167"/>
  <c r="E8" i="167"/>
  <c r="E9" i="167" s="1"/>
  <c r="E10" i="167" s="1"/>
  <c r="E11" i="167" s="1"/>
  <c r="E12" i="167" s="1"/>
  <c r="E13" i="167" s="1"/>
  <c r="E14" i="167" s="1"/>
  <c r="E15" i="167" s="1"/>
  <c r="E16" i="167" s="1"/>
  <c r="E17" i="167" s="1"/>
  <c r="E18" i="167" s="1"/>
  <c r="E19" i="167" s="1"/>
  <c r="E20" i="167" s="1"/>
  <c r="E21" i="167" s="1"/>
  <c r="E22" i="167" s="1"/>
  <c r="E23" i="167" s="1"/>
  <c r="E24" i="167" s="1"/>
  <c r="E25" i="167" s="1"/>
  <c r="E26" i="167" s="1"/>
  <c r="E27" i="167" s="1"/>
  <c r="E28" i="167" s="1"/>
  <c r="E29" i="167" s="1"/>
  <c r="E30" i="167" s="1"/>
  <c r="E31" i="167" s="1"/>
  <c r="E32" i="167" s="1"/>
  <c r="E33" i="167" s="1"/>
  <c r="E34" i="167" s="1"/>
  <c r="E35" i="167" s="1"/>
  <c r="E36" i="167" s="1"/>
  <c r="E37" i="167" s="1"/>
  <c r="E38" i="167" s="1"/>
  <c r="E39" i="167" s="1"/>
  <c r="E40" i="167" s="1"/>
  <c r="E41" i="167" s="1"/>
  <c r="E42" i="167" s="1"/>
  <c r="E43" i="167" s="1"/>
  <c r="E44" i="167" s="1"/>
  <c r="E45" i="167" s="1"/>
  <c r="E46" i="167" s="1"/>
  <c r="E47" i="167" s="1"/>
  <c r="E48" i="167" s="1"/>
  <c r="E49" i="167" s="1"/>
  <c r="E50" i="167" s="1"/>
  <c r="E51" i="167" s="1"/>
  <c r="E52" i="167" s="1"/>
  <c r="E53" i="167" s="1"/>
  <c r="E54" i="167" s="1"/>
  <c r="B56" i="166"/>
  <c r="G56" i="166" s="1"/>
  <c r="J55" i="166"/>
  <c r="H55" i="166"/>
  <c r="F55" i="166"/>
  <c r="D55" i="166"/>
  <c r="E8" i="166"/>
  <c r="E9" i="166" s="1"/>
  <c r="E10" i="166" s="1"/>
  <c r="E11" i="166" s="1"/>
  <c r="E12" i="166" s="1"/>
  <c r="E13" i="166" s="1"/>
  <c r="E14" i="166" s="1"/>
  <c r="E15" i="166" s="1"/>
  <c r="E16" i="166" s="1"/>
  <c r="E17" i="166" s="1"/>
  <c r="E18" i="166" s="1"/>
  <c r="E19" i="166" s="1"/>
  <c r="E20" i="166" s="1"/>
  <c r="E21" i="166" s="1"/>
  <c r="E22" i="166" s="1"/>
  <c r="E23" i="166" s="1"/>
  <c r="E24" i="166" s="1"/>
  <c r="E25" i="166" s="1"/>
  <c r="E26" i="166" s="1"/>
  <c r="E27" i="166" s="1"/>
  <c r="E28" i="166" s="1"/>
  <c r="E29" i="166" s="1"/>
  <c r="E30" i="166" s="1"/>
  <c r="E31" i="166" s="1"/>
  <c r="E32" i="166" s="1"/>
  <c r="E33" i="166" s="1"/>
  <c r="E34" i="166" s="1"/>
  <c r="E35" i="166" s="1"/>
  <c r="E36" i="166" s="1"/>
  <c r="E37" i="166" s="1"/>
  <c r="E38" i="166" s="1"/>
  <c r="E39" i="166" s="1"/>
  <c r="E40" i="166" s="1"/>
  <c r="E41" i="166" s="1"/>
  <c r="E42" i="166" s="1"/>
  <c r="E43" i="166" s="1"/>
  <c r="E44" i="166" s="1"/>
  <c r="E45" i="166" s="1"/>
  <c r="E46" i="166" s="1"/>
  <c r="E47" i="166" s="1"/>
  <c r="E48" i="166" s="1"/>
  <c r="E49" i="166" s="1"/>
  <c r="E50" i="166" s="1"/>
  <c r="E51" i="166" s="1"/>
  <c r="E52" i="166" s="1"/>
  <c r="E53" i="166" s="1"/>
  <c r="E54" i="166" s="1"/>
  <c r="B56" i="165"/>
  <c r="G56" i="165" s="1"/>
  <c r="J55" i="165"/>
  <c r="H55" i="165"/>
  <c r="F55" i="165"/>
  <c r="E8" i="165"/>
  <c r="E9" i="165" s="1"/>
  <c r="E10" i="165" s="1"/>
  <c r="E11" i="165" s="1"/>
  <c r="E12" i="165" s="1"/>
  <c r="E13" i="165" s="1"/>
  <c r="E14" i="165" s="1"/>
  <c r="E15" i="165" s="1"/>
  <c r="E16" i="165" s="1"/>
  <c r="E17" i="165" s="1"/>
  <c r="E18" i="165" s="1"/>
  <c r="E19" i="165" s="1"/>
  <c r="E20" i="165" s="1"/>
  <c r="E21" i="165" s="1"/>
  <c r="E22" i="165" s="1"/>
  <c r="E23" i="165" s="1"/>
  <c r="E24" i="165" s="1"/>
  <c r="E25" i="165" s="1"/>
  <c r="E26" i="165" s="1"/>
  <c r="E27" i="165" s="1"/>
  <c r="E28" i="165" s="1"/>
  <c r="E29" i="165" s="1"/>
  <c r="E30" i="165" s="1"/>
  <c r="E31" i="165" s="1"/>
  <c r="E32" i="165" s="1"/>
  <c r="E33" i="165" s="1"/>
  <c r="E34" i="165" s="1"/>
  <c r="E35" i="165" s="1"/>
  <c r="E36" i="165" s="1"/>
  <c r="E37" i="165" s="1"/>
  <c r="E38" i="165" s="1"/>
  <c r="E39" i="165" s="1"/>
  <c r="E40" i="165" s="1"/>
  <c r="E41" i="165" s="1"/>
  <c r="E42" i="165" s="1"/>
  <c r="E43" i="165" s="1"/>
  <c r="E44" i="165" s="1"/>
  <c r="E45" i="165" s="1"/>
  <c r="E46" i="165" s="1"/>
  <c r="E47" i="165" s="1"/>
  <c r="E48" i="165" s="1"/>
  <c r="E49" i="165" s="1"/>
  <c r="E50" i="165" s="1"/>
  <c r="E51" i="165" s="1"/>
  <c r="E52" i="165" s="1"/>
  <c r="E53" i="165" s="1"/>
  <c r="E54" i="165" s="1"/>
  <c r="B56" i="164"/>
  <c r="G56" i="164" s="1"/>
  <c r="J55" i="164"/>
  <c r="H55" i="164"/>
  <c r="F55" i="164"/>
  <c r="D55" i="164"/>
  <c r="B55" i="164"/>
  <c r="E8" i="164"/>
  <c r="E9" i="164" s="1"/>
  <c r="E10" i="164" s="1"/>
  <c r="E11" i="164" s="1"/>
  <c r="E12" i="164" s="1"/>
  <c r="E13" i="164" s="1"/>
  <c r="E14" i="164" s="1"/>
  <c r="E15" i="164" s="1"/>
  <c r="E16" i="164" s="1"/>
  <c r="E17" i="164" s="1"/>
  <c r="E18" i="164" s="1"/>
  <c r="E19" i="164" s="1"/>
  <c r="E20" i="164" s="1"/>
  <c r="E21" i="164" s="1"/>
  <c r="E22" i="164" s="1"/>
  <c r="E23" i="164" s="1"/>
  <c r="E24" i="164" s="1"/>
  <c r="E25" i="164" s="1"/>
  <c r="E26" i="164" s="1"/>
  <c r="E27" i="164" s="1"/>
  <c r="E28" i="164" s="1"/>
  <c r="E29" i="164" s="1"/>
  <c r="E30" i="164" s="1"/>
  <c r="E31" i="164" s="1"/>
  <c r="E32" i="164" s="1"/>
  <c r="E33" i="164" s="1"/>
  <c r="E34" i="164" s="1"/>
  <c r="E35" i="164" s="1"/>
  <c r="E36" i="164" s="1"/>
  <c r="E37" i="164" s="1"/>
  <c r="E38" i="164" s="1"/>
  <c r="E39" i="164" s="1"/>
  <c r="E40" i="164" s="1"/>
  <c r="E41" i="164" s="1"/>
  <c r="E42" i="164" s="1"/>
  <c r="E43" i="164" s="1"/>
  <c r="E44" i="164" s="1"/>
  <c r="E45" i="164" s="1"/>
  <c r="E46" i="164" s="1"/>
  <c r="E47" i="164" s="1"/>
  <c r="E48" i="164" s="1"/>
  <c r="E49" i="164" s="1"/>
  <c r="E50" i="164" s="1"/>
  <c r="E51" i="164" s="1"/>
  <c r="E52" i="164" s="1"/>
  <c r="E53" i="164" s="1"/>
  <c r="E54" i="164" s="1"/>
  <c r="B56" i="163"/>
  <c r="G56" i="163" s="1"/>
  <c r="J55" i="163"/>
  <c r="H55" i="163"/>
  <c r="D55" i="163"/>
  <c r="B55" i="163"/>
  <c r="E8" i="163"/>
  <c r="E9" i="163" s="1"/>
  <c r="E10" i="163" s="1"/>
  <c r="E11" i="163" s="1"/>
  <c r="E12" i="163" s="1"/>
  <c r="E13" i="163" s="1"/>
  <c r="E14" i="163" s="1"/>
  <c r="E15" i="163" s="1"/>
  <c r="E16" i="163" s="1"/>
  <c r="E17" i="163" s="1"/>
  <c r="E18" i="163" s="1"/>
  <c r="E19" i="163" s="1"/>
  <c r="E20" i="163" s="1"/>
  <c r="E21" i="163" s="1"/>
  <c r="E22" i="163" s="1"/>
  <c r="E23" i="163" s="1"/>
  <c r="E24" i="163" s="1"/>
  <c r="E25" i="163" s="1"/>
  <c r="E26" i="163" s="1"/>
  <c r="E27" i="163" s="1"/>
  <c r="E28" i="163" s="1"/>
  <c r="E29" i="163" s="1"/>
  <c r="E30" i="163" s="1"/>
  <c r="E31" i="163" s="1"/>
  <c r="E32" i="163" s="1"/>
  <c r="E33" i="163" s="1"/>
  <c r="E34" i="163" s="1"/>
  <c r="E35" i="163" s="1"/>
  <c r="E36" i="163" s="1"/>
  <c r="E37" i="163" s="1"/>
  <c r="E38" i="163" s="1"/>
  <c r="E39" i="163" s="1"/>
  <c r="E40" i="163" s="1"/>
  <c r="E41" i="163" s="1"/>
  <c r="E42" i="163" s="1"/>
  <c r="E43" i="163" s="1"/>
  <c r="E44" i="163" s="1"/>
  <c r="E45" i="163" s="1"/>
  <c r="E46" i="163" s="1"/>
  <c r="E47" i="163" s="1"/>
  <c r="E48" i="163" s="1"/>
  <c r="E49" i="163" s="1"/>
  <c r="E50" i="163" s="1"/>
  <c r="E51" i="163" s="1"/>
  <c r="E52" i="163" s="1"/>
  <c r="E53" i="163" s="1"/>
  <c r="E54" i="163" s="1"/>
  <c r="B56" i="162"/>
  <c r="G56" i="162" s="1"/>
  <c r="J55" i="162"/>
  <c r="H55" i="162"/>
  <c r="D55" i="162"/>
  <c r="E8" i="162"/>
  <c r="E9" i="162" s="1"/>
  <c r="E10" i="162" s="1"/>
  <c r="E11" i="162" s="1"/>
  <c r="E12" i="162" s="1"/>
  <c r="E13" i="162" s="1"/>
  <c r="E14" i="162" s="1"/>
  <c r="E15" i="162" s="1"/>
  <c r="E16" i="162" s="1"/>
  <c r="E17" i="162" s="1"/>
  <c r="E18" i="162" s="1"/>
  <c r="E19" i="162" s="1"/>
  <c r="E20" i="162" s="1"/>
  <c r="E21" i="162" s="1"/>
  <c r="E22" i="162" s="1"/>
  <c r="E23" i="162" s="1"/>
  <c r="E24" i="162" s="1"/>
  <c r="E25" i="162" s="1"/>
  <c r="E26" i="162" s="1"/>
  <c r="E27" i="162" s="1"/>
  <c r="E28" i="162" s="1"/>
  <c r="E29" i="162" s="1"/>
  <c r="E30" i="162" s="1"/>
  <c r="E31" i="162" s="1"/>
  <c r="E32" i="162" s="1"/>
  <c r="E33" i="162" s="1"/>
  <c r="E34" i="162" s="1"/>
  <c r="E35" i="162" s="1"/>
  <c r="E36" i="162" s="1"/>
  <c r="E37" i="162" s="1"/>
  <c r="E38" i="162" s="1"/>
  <c r="E39" i="162" s="1"/>
  <c r="E40" i="162" s="1"/>
  <c r="E41" i="162" s="1"/>
  <c r="E42" i="162" s="1"/>
  <c r="E43" i="162" s="1"/>
  <c r="E44" i="162" s="1"/>
  <c r="E45" i="162" s="1"/>
  <c r="E46" i="162" s="1"/>
  <c r="E47" i="162" s="1"/>
  <c r="E48" i="162" s="1"/>
  <c r="E49" i="162" s="1"/>
  <c r="E50" i="162" s="1"/>
  <c r="E51" i="162" s="1"/>
  <c r="E52" i="162" s="1"/>
  <c r="E53" i="162" s="1"/>
  <c r="E54" i="162" s="1"/>
  <c r="F55" i="158"/>
  <c r="F55" i="157"/>
  <c r="D55" i="157"/>
  <c r="E56" i="167" l="1"/>
  <c r="F68" i="132" s="1"/>
  <c r="E56" i="171"/>
  <c r="F72" i="132" s="1"/>
  <c r="E56" i="163"/>
  <c r="F62" i="132" s="1"/>
  <c r="E64" i="132"/>
  <c r="E69" i="132"/>
  <c r="U56" i="157"/>
  <c r="E58" i="157"/>
  <c r="C421" i="100"/>
  <c r="E56" i="162"/>
  <c r="E56" i="166"/>
  <c r="E56" i="170"/>
  <c r="E66" i="132"/>
  <c r="E70" i="132"/>
  <c r="AF56" i="157"/>
  <c r="D422" i="100" s="1"/>
  <c r="K51" i="132" s="1"/>
  <c r="C422" i="100"/>
  <c r="H50" i="132"/>
  <c r="B423" i="100"/>
  <c r="E56" i="165"/>
  <c r="E56" i="169"/>
  <c r="E61" i="132"/>
  <c r="E67" i="132"/>
  <c r="E71" i="132"/>
  <c r="J56" i="163"/>
  <c r="G62" i="132" s="1"/>
  <c r="E56" i="164"/>
  <c r="E56" i="168"/>
  <c r="E62" i="132"/>
  <c r="E68" i="132"/>
  <c r="E72" i="132"/>
  <c r="J56" i="171"/>
  <c r="G72" i="132" s="1"/>
  <c r="J56" i="167"/>
  <c r="G68" i="132" s="1"/>
  <c r="J56" i="168" l="1"/>
  <c r="G69" i="132" s="1"/>
  <c r="F69" i="132"/>
  <c r="J56" i="165"/>
  <c r="G66" i="132" s="1"/>
  <c r="F66" i="132"/>
  <c r="J56" i="166"/>
  <c r="G67" i="132" s="1"/>
  <c r="F67" i="132"/>
  <c r="D421" i="100"/>
  <c r="J58" i="157"/>
  <c r="J56" i="170"/>
  <c r="G71" i="132" s="1"/>
  <c r="F71" i="132"/>
  <c r="J56" i="162"/>
  <c r="G61" i="132" s="1"/>
  <c r="F61" i="132"/>
  <c r="J56" i="169"/>
  <c r="G70" i="132" s="1"/>
  <c r="F70" i="132"/>
  <c r="J56" i="164"/>
  <c r="G64" i="132" s="1"/>
  <c r="F64" i="132"/>
  <c r="C423" i="100"/>
  <c r="K50" i="132" l="1"/>
  <c r="D423" i="100"/>
  <c r="X56" i="156"/>
  <c r="AF55" i="156"/>
  <c r="AD55" i="156"/>
  <c r="AB55" i="156"/>
  <c r="Z55" i="156"/>
  <c r="X55" i="156"/>
  <c r="AA8" i="156"/>
  <c r="AA9" i="156" s="1"/>
  <c r="AA10" i="156" s="1"/>
  <c r="AA11" i="156" s="1"/>
  <c r="AA12" i="156" s="1"/>
  <c r="AA13" i="156" s="1"/>
  <c r="AA14" i="156" s="1"/>
  <c r="AA15" i="156" s="1"/>
  <c r="AA16" i="156" s="1"/>
  <c r="AA17" i="156" s="1"/>
  <c r="AA18" i="156" s="1"/>
  <c r="AA19" i="156" s="1"/>
  <c r="AA20" i="156" s="1"/>
  <c r="AA21" i="156" s="1"/>
  <c r="AA22" i="156" s="1"/>
  <c r="AA23" i="156" s="1"/>
  <c r="AA24" i="156" s="1"/>
  <c r="AA25" i="156" s="1"/>
  <c r="AA26" i="156" s="1"/>
  <c r="AA27" i="156" s="1"/>
  <c r="AA28" i="156" s="1"/>
  <c r="AA29" i="156" s="1"/>
  <c r="AA30" i="156" s="1"/>
  <c r="AA31" i="156" s="1"/>
  <c r="AA32" i="156" s="1"/>
  <c r="AA33" i="156" s="1"/>
  <c r="AA34" i="156" s="1"/>
  <c r="AA35" i="156" s="1"/>
  <c r="AA36" i="156" s="1"/>
  <c r="AA37" i="156" s="1"/>
  <c r="AA38" i="156" s="1"/>
  <c r="AA39" i="156" s="1"/>
  <c r="AA40" i="156" s="1"/>
  <c r="AA41" i="156" s="1"/>
  <c r="AA42" i="156" s="1"/>
  <c r="AA43" i="156" s="1"/>
  <c r="AA44" i="156" s="1"/>
  <c r="AA45" i="156" s="1"/>
  <c r="AA46" i="156" s="1"/>
  <c r="AA47" i="156" s="1"/>
  <c r="AA48" i="156" s="1"/>
  <c r="AA49" i="156" s="1"/>
  <c r="AA50" i="156" s="1"/>
  <c r="AA51" i="156" s="1"/>
  <c r="AA52" i="156" s="1"/>
  <c r="AA53" i="156" s="1"/>
  <c r="AA54" i="156" s="1"/>
  <c r="M56" i="156"/>
  <c r="U55" i="156"/>
  <c r="S55" i="156"/>
  <c r="Q55" i="156"/>
  <c r="O55" i="156"/>
  <c r="M55" i="156"/>
  <c r="P8" i="156"/>
  <c r="P9" i="156" s="1"/>
  <c r="P10" i="156" s="1"/>
  <c r="P11" i="156" s="1"/>
  <c r="P12" i="156" s="1"/>
  <c r="P13" i="156" s="1"/>
  <c r="P14" i="156" s="1"/>
  <c r="P15" i="156" s="1"/>
  <c r="P16" i="156" s="1"/>
  <c r="P17" i="156" s="1"/>
  <c r="P18" i="156" s="1"/>
  <c r="P19" i="156" s="1"/>
  <c r="P20" i="156" s="1"/>
  <c r="P21" i="156" s="1"/>
  <c r="P22" i="156" s="1"/>
  <c r="P23" i="156" s="1"/>
  <c r="P24" i="156" s="1"/>
  <c r="P25" i="156" s="1"/>
  <c r="P26" i="156" s="1"/>
  <c r="P27" i="156" s="1"/>
  <c r="P28" i="156" s="1"/>
  <c r="P29" i="156" s="1"/>
  <c r="P30" i="156" s="1"/>
  <c r="P31" i="156" s="1"/>
  <c r="P32" i="156" s="1"/>
  <c r="P33" i="156" s="1"/>
  <c r="P34" i="156" s="1"/>
  <c r="P35" i="156" s="1"/>
  <c r="P36" i="156" s="1"/>
  <c r="P37" i="156" s="1"/>
  <c r="P38" i="156" s="1"/>
  <c r="P39" i="156" s="1"/>
  <c r="P40" i="156" s="1"/>
  <c r="P41" i="156" s="1"/>
  <c r="P42" i="156" s="1"/>
  <c r="P43" i="156" s="1"/>
  <c r="P44" i="156" s="1"/>
  <c r="P45" i="156" s="1"/>
  <c r="P46" i="156" s="1"/>
  <c r="P47" i="156" s="1"/>
  <c r="P48" i="156" s="1"/>
  <c r="P49" i="156" s="1"/>
  <c r="P50" i="156" s="1"/>
  <c r="P51" i="156" s="1"/>
  <c r="P52" i="156" s="1"/>
  <c r="P53" i="156" s="1"/>
  <c r="P54" i="156" s="1"/>
  <c r="AC56" i="156" l="1"/>
  <c r="B406" i="100"/>
  <c r="H49" i="132" s="1"/>
  <c r="R56" i="156"/>
  <c r="B58" i="156"/>
  <c r="B405" i="100"/>
  <c r="AA56" i="156"/>
  <c r="P56" i="156"/>
  <c r="B55" i="157"/>
  <c r="H55" i="156"/>
  <c r="F55" i="156"/>
  <c r="D55" i="156"/>
  <c r="U56" i="156" l="1"/>
  <c r="C405" i="100"/>
  <c r="E58" i="156"/>
  <c r="AF56" i="156"/>
  <c r="D406" i="100" s="1"/>
  <c r="K49" i="132" s="1"/>
  <c r="C406" i="100"/>
  <c r="H48" i="132"/>
  <c r="B407" i="100"/>
  <c r="M56" i="155"/>
  <c r="R56" i="155" s="1"/>
  <c r="U55" i="155"/>
  <c r="S55" i="155"/>
  <c r="Q55" i="155"/>
  <c r="O55" i="155"/>
  <c r="M55" i="155"/>
  <c r="P8" i="155"/>
  <c r="P9" i="155" s="1"/>
  <c r="P10" i="155" s="1"/>
  <c r="P11" i="155" s="1"/>
  <c r="P12" i="155" s="1"/>
  <c r="P13" i="155" s="1"/>
  <c r="P14" i="155" s="1"/>
  <c r="P15" i="155" s="1"/>
  <c r="P16" i="155" s="1"/>
  <c r="P17" i="155" s="1"/>
  <c r="P18" i="155" s="1"/>
  <c r="P19" i="155" s="1"/>
  <c r="P20" i="155" s="1"/>
  <c r="P21" i="155" s="1"/>
  <c r="P22" i="155" s="1"/>
  <c r="P23" i="155" s="1"/>
  <c r="P24" i="155" s="1"/>
  <c r="P25" i="155" s="1"/>
  <c r="P26" i="155" s="1"/>
  <c r="P27" i="155" s="1"/>
  <c r="P28" i="155" s="1"/>
  <c r="P29" i="155" s="1"/>
  <c r="P30" i="155" s="1"/>
  <c r="P31" i="155" s="1"/>
  <c r="P32" i="155" s="1"/>
  <c r="P33" i="155" s="1"/>
  <c r="P34" i="155" s="1"/>
  <c r="P35" i="155" s="1"/>
  <c r="P36" i="155" s="1"/>
  <c r="P37" i="155" s="1"/>
  <c r="P38" i="155" s="1"/>
  <c r="P39" i="155" s="1"/>
  <c r="P40" i="155" s="1"/>
  <c r="P41" i="155" s="1"/>
  <c r="P42" i="155" s="1"/>
  <c r="P43" i="155" s="1"/>
  <c r="P44" i="155" s="1"/>
  <c r="P45" i="155" s="1"/>
  <c r="P46" i="155" s="1"/>
  <c r="P47" i="155" s="1"/>
  <c r="P48" i="155" s="1"/>
  <c r="P49" i="155" s="1"/>
  <c r="P50" i="155" s="1"/>
  <c r="P51" i="155" s="1"/>
  <c r="P52" i="155" s="1"/>
  <c r="P53" i="155" s="1"/>
  <c r="P54" i="155" s="1"/>
  <c r="P56" i="155" l="1"/>
  <c r="U56" i="155" s="1"/>
  <c r="D389" i="100" s="1"/>
  <c r="C407" i="100"/>
  <c r="K47" i="132"/>
  <c r="D390" i="100"/>
  <c r="B389" i="100"/>
  <c r="H47" i="132" s="1"/>
  <c r="C389" i="100"/>
  <c r="C390" i="100" s="1"/>
  <c r="D405" i="100"/>
  <c r="J58" i="156"/>
  <c r="B390" i="100"/>
  <c r="F55" i="155"/>
  <c r="B55" i="155"/>
  <c r="X56" i="153"/>
  <c r="AC56" i="153" s="1"/>
  <c r="AF55" i="153"/>
  <c r="AD55" i="153"/>
  <c r="AB55" i="153"/>
  <c r="Z55" i="153"/>
  <c r="X55" i="153"/>
  <c r="AA8" i="153"/>
  <c r="AA9" i="153" s="1"/>
  <c r="AA10" i="153" s="1"/>
  <c r="AA11" i="153" s="1"/>
  <c r="AA12" i="153" s="1"/>
  <c r="AA13" i="153" s="1"/>
  <c r="AA14" i="153" s="1"/>
  <c r="AA15" i="153" s="1"/>
  <c r="AA16" i="153" s="1"/>
  <c r="AA17" i="153" s="1"/>
  <c r="AA18" i="153" s="1"/>
  <c r="AA19" i="153" s="1"/>
  <c r="AA20" i="153" s="1"/>
  <c r="AA21" i="153" s="1"/>
  <c r="AA22" i="153" s="1"/>
  <c r="AA23" i="153" s="1"/>
  <c r="AA24" i="153" s="1"/>
  <c r="AA25" i="153" s="1"/>
  <c r="AA26" i="153" s="1"/>
  <c r="AA27" i="153" s="1"/>
  <c r="AA28" i="153" s="1"/>
  <c r="AA29" i="153" s="1"/>
  <c r="AA30" i="153" s="1"/>
  <c r="AA31" i="153" s="1"/>
  <c r="AA32" i="153" s="1"/>
  <c r="AA33" i="153" s="1"/>
  <c r="AA34" i="153" s="1"/>
  <c r="AA35" i="153" s="1"/>
  <c r="AA36" i="153" s="1"/>
  <c r="AA37" i="153" s="1"/>
  <c r="AA38" i="153" s="1"/>
  <c r="AA39" i="153" s="1"/>
  <c r="AA40" i="153" s="1"/>
  <c r="AA41" i="153" s="1"/>
  <c r="AA42" i="153" s="1"/>
  <c r="AA43" i="153" s="1"/>
  <c r="AA44" i="153" s="1"/>
  <c r="AA45" i="153" s="1"/>
  <c r="AA46" i="153" s="1"/>
  <c r="AA47" i="153" s="1"/>
  <c r="AA48" i="153" s="1"/>
  <c r="AA49" i="153" s="1"/>
  <c r="AA50" i="153" s="1"/>
  <c r="AA51" i="153" s="1"/>
  <c r="AA52" i="153" s="1"/>
  <c r="AA53" i="153" s="1"/>
  <c r="AA54" i="153" s="1"/>
  <c r="M56" i="153"/>
  <c r="R56" i="153" s="1"/>
  <c r="U55" i="153"/>
  <c r="S55" i="153"/>
  <c r="Q55" i="153"/>
  <c r="O55" i="153"/>
  <c r="M55" i="153"/>
  <c r="P8" i="153"/>
  <c r="P9" i="153" s="1"/>
  <c r="P10" i="153" s="1"/>
  <c r="P11" i="153" s="1"/>
  <c r="P12" i="153" s="1"/>
  <c r="P13" i="153" s="1"/>
  <c r="P14" i="153" s="1"/>
  <c r="P15" i="153" s="1"/>
  <c r="P16" i="153" s="1"/>
  <c r="P17" i="153" s="1"/>
  <c r="P18" i="153" s="1"/>
  <c r="P19" i="153" s="1"/>
  <c r="P20" i="153" s="1"/>
  <c r="P21" i="153" s="1"/>
  <c r="P22" i="153" s="1"/>
  <c r="P23" i="153" s="1"/>
  <c r="P24" i="153" s="1"/>
  <c r="P25" i="153" s="1"/>
  <c r="P26" i="153" s="1"/>
  <c r="P27" i="153" s="1"/>
  <c r="P28" i="153" s="1"/>
  <c r="P29" i="153" s="1"/>
  <c r="P30" i="153" s="1"/>
  <c r="P31" i="153" s="1"/>
  <c r="P32" i="153" s="1"/>
  <c r="P33" i="153" s="1"/>
  <c r="P34" i="153" s="1"/>
  <c r="P35" i="153" s="1"/>
  <c r="P36" i="153" s="1"/>
  <c r="P37" i="153" s="1"/>
  <c r="P38" i="153" s="1"/>
  <c r="P39" i="153" s="1"/>
  <c r="P40" i="153" s="1"/>
  <c r="P41" i="153" s="1"/>
  <c r="P42" i="153" s="1"/>
  <c r="P43" i="153" s="1"/>
  <c r="P44" i="153" s="1"/>
  <c r="P45" i="153" s="1"/>
  <c r="P46" i="153" s="1"/>
  <c r="P47" i="153" s="1"/>
  <c r="P48" i="153" s="1"/>
  <c r="P49" i="153" s="1"/>
  <c r="P50" i="153" s="1"/>
  <c r="P51" i="153" s="1"/>
  <c r="P52" i="153" s="1"/>
  <c r="P53" i="153" s="1"/>
  <c r="P54" i="153" s="1"/>
  <c r="K48" i="132" l="1"/>
  <c r="D407" i="100"/>
  <c r="B373" i="100"/>
  <c r="B58" i="153"/>
  <c r="B374" i="100"/>
  <c r="H46" i="132" s="1"/>
  <c r="AA56" i="153"/>
  <c r="C374" i="100" s="1"/>
  <c r="P56" i="153"/>
  <c r="F55" i="153"/>
  <c r="D55" i="153"/>
  <c r="B55" i="153"/>
  <c r="F55" i="154"/>
  <c r="X56" i="154"/>
  <c r="AC56" i="154" s="1"/>
  <c r="AF55" i="154"/>
  <c r="AD55" i="154"/>
  <c r="AB55" i="154"/>
  <c r="Z55" i="154"/>
  <c r="X55" i="154"/>
  <c r="AA8" i="154"/>
  <c r="AA9" i="154" s="1"/>
  <c r="AA10" i="154" s="1"/>
  <c r="AA11" i="154" s="1"/>
  <c r="AA12" i="154" s="1"/>
  <c r="AA13" i="154" s="1"/>
  <c r="AA14" i="154" s="1"/>
  <c r="AA15" i="154" s="1"/>
  <c r="AA16" i="154" s="1"/>
  <c r="AA17" i="154" s="1"/>
  <c r="AA18" i="154" s="1"/>
  <c r="AA19" i="154" s="1"/>
  <c r="AA20" i="154" s="1"/>
  <c r="AA21" i="154" s="1"/>
  <c r="AA22" i="154" s="1"/>
  <c r="AA23" i="154" s="1"/>
  <c r="AA24" i="154" s="1"/>
  <c r="AA25" i="154" s="1"/>
  <c r="AA26" i="154" s="1"/>
  <c r="AA27" i="154" s="1"/>
  <c r="AA28" i="154" s="1"/>
  <c r="AA29" i="154" s="1"/>
  <c r="AA30" i="154" s="1"/>
  <c r="AA31" i="154" s="1"/>
  <c r="AA32" i="154" s="1"/>
  <c r="AA33" i="154" s="1"/>
  <c r="AA34" i="154" s="1"/>
  <c r="AA35" i="154" s="1"/>
  <c r="AA36" i="154" s="1"/>
  <c r="AA37" i="154" s="1"/>
  <c r="AA38" i="154" s="1"/>
  <c r="AA39" i="154" s="1"/>
  <c r="AA40" i="154" s="1"/>
  <c r="AA41" i="154" s="1"/>
  <c r="AA42" i="154" s="1"/>
  <c r="AA43" i="154" s="1"/>
  <c r="AA44" i="154" s="1"/>
  <c r="AA45" i="154" s="1"/>
  <c r="AA46" i="154" s="1"/>
  <c r="AA47" i="154" s="1"/>
  <c r="AA48" i="154" s="1"/>
  <c r="AA49" i="154" s="1"/>
  <c r="AA50" i="154" s="1"/>
  <c r="AA51" i="154" s="1"/>
  <c r="AA52" i="154" s="1"/>
  <c r="AA53" i="154" s="1"/>
  <c r="AA54" i="154" s="1"/>
  <c r="M56" i="154"/>
  <c r="R56" i="154" s="1"/>
  <c r="U55" i="154"/>
  <c r="S55" i="154"/>
  <c r="Q55" i="154"/>
  <c r="O55" i="154"/>
  <c r="M55" i="154"/>
  <c r="P8" i="154"/>
  <c r="P9" i="154" s="1"/>
  <c r="P10" i="154" s="1"/>
  <c r="P11" i="154" s="1"/>
  <c r="P12" i="154" s="1"/>
  <c r="P13" i="154" s="1"/>
  <c r="P14" i="154" s="1"/>
  <c r="P15" i="154" s="1"/>
  <c r="P16" i="154" s="1"/>
  <c r="P17" i="154" s="1"/>
  <c r="P18" i="154" s="1"/>
  <c r="P19" i="154" s="1"/>
  <c r="P20" i="154" s="1"/>
  <c r="P21" i="154" s="1"/>
  <c r="P22" i="154" s="1"/>
  <c r="P23" i="154" s="1"/>
  <c r="P24" i="154" s="1"/>
  <c r="P25" i="154" s="1"/>
  <c r="P26" i="154" s="1"/>
  <c r="P27" i="154" s="1"/>
  <c r="P28" i="154" s="1"/>
  <c r="P29" i="154" s="1"/>
  <c r="P30" i="154" s="1"/>
  <c r="P31" i="154" s="1"/>
  <c r="P32" i="154" s="1"/>
  <c r="P33" i="154" s="1"/>
  <c r="P34" i="154" s="1"/>
  <c r="P35" i="154" s="1"/>
  <c r="P36" i="154" s="1"/>
  <c r="P37" i="154" s="1"/>
  <c r="P38" i="154" s="1"/>
  <c r="P39" i="154" s="1"/>
  <c r="P40" i="154" s="1"/>
  <c r="P41" i="154" s="1"/>
  <c r="P42" i="154" s="1"/>
  <c r="P43" i="154" s="1"/>
  <c r="P44" i="154" s="1"/>
  <c r="P45" i="154" s="1"/>
  <c r="P46" i="154" s="1"/>
  <c r="P47" i="154" s="1"/>
  <c r="P48" i="154" s="1"/>
  <c r="P49" i="154" s="1"/>
  <c r="P50" i="154" s="1"/>
  <c r="P51" i="154" s="1"/>
  <c r="P52" i="154" s="1"/>
  <c r="P53" i="154" s="1"/>
  <c r="P54" i="154" s="1"/>
  <c r="AF56" i="153" l="1"/>
  <c r="D374" i="100" s="1"/>
  <c r="K46" i="132" s="1"/>
  <c r="D340" i="100"/>
  <c r="D341" i="100" s="1"/>
  <c r="C373" i="100"/>
  <c r="C375" i="100" s="1"/>
  <c r="U56" i="153"/>
  <c r="E58" i="153"/>
  <c r="B375" i="100"/>
  <c r="H45" i="132"/>
  <c r="B357" i="100"/>
  <c r="H43" i="132" s="1"/>
  <c r="B358" i="100"/>
  <c r="H44" i="132" s="1"/>
  <c r="B58" i="154"/>
  <c r="B340" i="100"/>
  <c r="AA56" i="154"/>
  <c r="P56" i="154"/>
  <c r="D55" i="154"/>
  <c r="B55" i="154"/>
  <c r="B55" i="152"/>
  <c r="K42" i="132" l="1"/>
  <c r="D373" i="100"/>
  <c r="J58" i="153"/>
  <c r="C340" i="100"/>
  <c r="C341" i="100" s="1"/>
  <c r="AF56" i="154"/>
  <c r="D358" i="100" s="1"/>
  <c r="K44" i="132" s="1"/>
  <c r="C358" i="100"/>
  <c r="H42" i="132"/>
  <c r="B341" i="100"/>
  <c r="U56" i="154"/>
  <c r="E58" i="154"/>
  <c r="C357" i="100"/>
  <c r="B359" i="100"/>
  <c r="M56" i="151"/>
  <c r="R56" i="151" s="1"/>
  <c r="U55" i="151"/>
  <c r="S55" i="151"/>
  <c r="Q55" i="151"/>
  <c r="O55" i="151"/>
  <c r="M55" i="151"/>
  <c r="P8" i="151"/>
  <c r="P9" i="151" s="1"/>
  <c r="P10" i="151" s="1"/>
  <c r="P11" i="151" s="1"/>
  <c r="P12" i="151" s="1"/>
  <c r="P13" i="151" s="1"/>
  <c r="P14" i="151" s="1"/>
  <c r="P15" i="151" s="1"/>
  <c r="P16" i="151" s="1"/>
  <c r="P17" i="151" s="1"/>
  <c r="P18" i="151" s="1"/>
  <c r="P19" i="151" s="1"/>
  <c r="P20" i="151" s="1"/>
  <c r="P21" i="151" s="1"/>
  <c r="P22" i="151" s="1"/>
  <c r="P23" i="151" s="1"/>
  <c r="P24" i="151" s="1"/>
  <c r="P25" i="151" s="1"/>
  <c r="P26" i="151" s="1"/>
  <c r="P27" i="151" s="1"/>
  <c r="P28" i="151" s="1"/>
  <c r="P29" i="151" s="1"/>
  <c r="P30" i="151" s="1"/>
  <c r="P31" i="151" s="1"/>
  <c r="P32" i="151" s="1"/>
  <c r="P33" i="151" s="1"/>
  <c r="P34" i="151" s="1"/>
  <c r="P35" i="151" s="1"/>
  <c r="P36" i="151" s="1"/>
  <c r="P37" i="151" s="1"/>
  <c r="P38" i="151" s="1"/>
  <c r="P39" i="151" s="1"/>
  <c r="P40" i="151" s="1"/>
  <c r="P41" i="151" s="1"/>
  <c r="P42" i="151" s="1"/>
  <c r="P43" i="151" s="1"/>
  <c r="P44" i="151" s="1"/>
  <c r="P45" i="151" s="1"/>
  <c r="P46" i="151" s="1"/>
  <c r="P47" i="151" s="1"/>
  <c r="P48" i="151" s="1"/>
  <c r="P49" i="151" s="1"/>
  <c r="P50" i="151" s="1"/>
  <c r="P51" i="151" s="1"/>
  <c r="P52" i="151" s="1"/>
  <c r="P53" i="151" s="1"/>
  <c r="P54" i="151" s="1"/>
  <c r="K45" i="132" l="1"/>
  <c r="D375" i="100"/>
  <c r="C359" i="100"/>
  <c r="P56" i="151"/>
  <c r="C324" i="100" s="1"/>
  <c r="C325" i="100" s="1"/>
  <c r="J58" i="154"/>
  <c r="D357" i="100"/>
  <c r="B324" i="100"/>
  <c r="H41" i="132" s="1"/>
  <c r="F55" i="151"/>
  <c r="U56" i="151" l="1"/>
  <c r="D324" i="100" s="1"/>
  <c r="K41" i="132" s="1"/>
  <c r="K43" i="132"/>
  <c r="D359" i="100"/>
  <c r="B325" i="100"/>
  <c r="X56" i="150"/>
  <c r="AC56" i="150" s="1"/>
  <c r="AF55" i="150"/>
  <c r="AD55" i="150"/>
  <c r="AB55" i="150"/>
  <c r="Z55" i="150"/>
  <c r="X55" i="150"/>
  <c r="AA8" i="150"/>
  <c r="AA9" i="150" s="1"/>
  <c r="AA10" i="150" s="1"/>
  <c r="AA11" i="150" s="1"/>
  <c r="AA12" i="150" s="1"/>
  <c r="AA13" i="150" s="1"/>
  <c r="AA14" i="150" s="1"/>
  <c r="AA15" i="150" s="1"/>
  <c r="AA16" i="150" s="1"/>
  <c r="AA17" i="150" s="1"/>
  <c r="AA18" i="150" s="1"/>
  <c r="AA19" i="150" s="1"/>
  <c r="AA20" i="150" s="1"/>
  <c r="AA21" i="150" s="1"/>
  <c r="AA22" i="150" s="1"/>
  <c r="AA23" i="150" s="1"/>
  <c r="AA24" i="150" s="1"/>
  <c r="AA25" i="150" s="1"/>
  <c r="AA26" i="150" s="1"/>
  <c r="AA27" i="150" s="1"/>
  <c r="AA28" i="150" s="1"/>
  <c r="AA29" i="150" s="1"/>
  <c r="AA30" i="150" s="1"/>
  <c r="AA31" i="150" s="1"/>
  <c r="AA32" i="150" s="1"/>
  <c r="AA33" i="150" s="1"/>
  <c r="AA34" i="150" s="1"/>
  <c r="AA35" i="150" s="1"/>
  <c r="AA36" i="150" s="1"/>
  <c r="AA37" i="150" s="1"/>
  <c r="AA38" i="150" s="1"/>
  <c r="AA39" i="150" s="1"/>
  <c r="AA40" i="150" s="1"/>
  <c r="AA41" i="150" s="1"/>
  <c r="AA42" i="150" s="1"/>
  <c r="AA43" i="150" s="1"/>
  <c r="AA44" i="150" s="1"/>
  <c r="AA45" i="150" s="1"/>
  <c r="AA46" i="150" s="1"/>
  <c r="AA47" i="150" s="1"/>
  <c r="AA48" i="150" s="1"/>
  <c r="AA49" i="150" s="1"/>
  <c r="AA50" i="150" s="1"/>
  <c r="AA51" i="150" s="1"/>
  <c r="AA52" i="150" s="1"/>
  <c r="AA53" i="150" s="1"/>
  <c r="AA54" i="150" s="1"/>
  <c r="M56" i="150"/>
  <c r="R56" i="150" s="1"/>
  <c r="U55" i="150"/>
  <c r="S55" i="150"/>
  <c r="Q55" i="150"/>
  <c r="O55" i="150"/>
  <c r="M55" i="150"/>
  <c r="P8" i="150"/>
  <c r="P9" i="150" s="1"/>
  <c r="P10" i="150" s="1"/>
  <c r="P11" i="150" s="1"/>
  <c r="P12" i="150" s="1"/>
  <c r="P13" i="150" s="1"/>
  <c r="P14" i="150" s="1"/>
  <c r="P15" i="150" s="1"/>
  <c r="P16" i="150" s="1"/>
  <c r="P17" i="150" s="1"/>
  <c r="P18" i="150" s="1"/>
  <c r="P19" i="150" s="1"/>
  <c r="P20" i="150" s="1"/>
  <c r="P21" i="150" s="1"/>
  <c r="P22" i="150" s="1"/>
  <c r="P23" i="150" s="1"/>
  <c r="P24" i="150" s="1"/>
  <c r="P25" i="150" s="1"/>
  <c r="P26" i="150" s="1"/>
  <c r="P27" i="150" s="1"/>
  <c r="P28" i="150" s="1"/>
  <c r="P29" i="150" s="1"/>
  <c r="P30" i="150" s="1"/>
  <c r="P31" i="150" s="1"/>
  <c r="P32" i="150" s="1"/>
  <c r="P33" i="150" s="1"/>
  <c r="P34" i="150" s="1"/>
  <c r="P35" i="150" s="1"/>
  <c r="P36" i="150" s="1"/>
  <c r="P37" i="150" s="1"/>
  <c r="P38" i="150" s="1"/>
  <c r="P39" i="150" s="1"/>
  <c r="P40" i="150" s="1"/>
  <c r="P41" i="150" s="1"/>
  <c r="P42" i="150" s="1"/>
  <c r="P43" i="150" s="1"/>
  <c r="P44" i="150" s="1"/>
  <c r="P45" i="150" s="1"/>
  <c r="P46" i="150" s="1"/>
  <c r="P47" i="150" s="1"/>
  <c r="P48" i="150" s="1"/>
  <c r="P49" i="150" s="1"/>
  <c r="P50" i="150" s="1"/>
  <c r="P51" i="150" s="1"/>
  <c r="P52" i="150" s="1"/>
  <c r="P53" i="150" s="1"/>
  <c r="P54" i="150" s="1"/>
  <c r="X56" i="149"/>
  <c r="AC56" i="149" s="1"/>
  <c r="AF55" i="149"/>
  <c r="AD55" i="149"/>
  <c r="AB55" i="149"/>
  <c r="Z55" i="149"/>
  <c r="X55" i="149"/>
  <c r="AA8" i="149"/>
  <c r="AA9" i="149" s="1"/>
  <c r="AA10" i="149" s="1"/>
  <c r="AA11" i="149" s="1"/>
  <c r="AA12" i="149" s="1"/>
  <c r="AA13" i="149" s="1"/>
  <c r="AA14" i="149" s="1"/>
  <c r="AA15" i="149" s="1"/>
  <c r="AA16" i="149" s="1"/>
  <c r="AA17" i="149" s="1"/>
  <c r="AA18" i="149" s="1"/>
  <c r="AA19" i="149" s="1"/>
  <c r="AA20" i="149" s="1"/>
  <c r="AA21" i="149" s="1"/>
  <c r="AA22" i="149" s="1"/>
  <c r="AA23" i="149" s="1"/>
  <c r="AA24" i="149" s="1"/>
  <c r="AA25" i="149" s="1"/>
  <c r="AA26" i="149" s="1"/>
  <c r="AA27" i="149" s="1"/>
  <c r="AA28" i="149" s="1"/>
  <c r="AA29" i="149" s="1"/>
  <c r="AA30" i="149" s="1"/>
  <c r="AA31" i="149" s="1"/>
  <c r="AA32" i="149" s="1"/>
  <c r="AA33" i="149" s="1"/>
  <c r="AA34" i="149" s="1"/>
  <c r="AA35" i="149" s="1"/>
  <c r="AA36" i="149" s="1"/>
  <c r="AA37" i="149" s="1"/>
  <c r="AA38" i="149" s="1"/>
  <c r="AA39" i="149" s="1"/>
  <c r="AA40" i="149" s="1"/>
  <c r="AA41" i="149" s="1"/>
  <c r="AA42" i="149" s="1"/>
  <c r="AA43" i="149" s="1"/>
  <c r="AA44" i="149" s="1"/>
  <c r="AA45" i="149" s="1"/>
  <c r="AA46" i="149" s="1"/>
  <c r="AA47" i="149" s="1"/>
  <c r="AA48" i="149" s="1"/>
  <c r="AA49" i="149" s="1"/>
  <c r="AA50" i="149" s="1"/>
  <c r="AA51" i="149" s="1"/>
  <c r="AA52" i="149" s="1"/>
  <c r="AA53" i="149" s="1"/>
  <c r="AA54" i="149" s="1"/>
  <c r="M56" i="149"/>
  <c r="R56" i="149" s="1"/>
  <c r="U55" i="149"/>
  <c r="S55" i="149"/>
  <c r="Q55" i="149"/>
  <c r="O55" i="149"/>
  <c r="M55" i="149"/>
  <c r="P8" i="149"/>
  <c r="P9" i="149" s="1"/>
  <c r="P10" i="149" s="1"/>
  <c r="P11" i="149" s="1"/>
  <c r="P12" i="149" s="1"/>
  <c r="P13" i="149" s="1"/>
  <c r="P14" i="149" s="1"/>
  <c r="P15" i="149" s="1"/>
  <c r="P16" i="149" s="1"/>
  <c r="P17" i="149" s="1"/>
  <c r="P18" i="149" s="1"/>
  <c r="P19" i="149" s="1"/>
  <c r="P20" i="149" s="1"/>
  <c r="P21" i="149" s="1"/>
  <c r="P22" i="149" s="1"/>
  <c r="P23" i="149" s="1"/>
  <c r="P24" i="149" s="1"/>
  <c r="P25" i="149" s="1"/>
  <c r="P26" i="149" s="1"/>
  <c r="P27" i="149" s="1"/>
  <c r="P28" i="149" s="1"/>
  <c r="P29" i="149" s="1"/>
  <c r="P30" i="149" s="1"/>
  <c r="P31" i="149" s="1"/>
  <c r="P32" i="149" s="1"/>
  <c r="P33" i="149" s="1"/>
  <c r="P34" i="149" s="1"/>
  <c r="P35" i="149" s="1"/>
  <c r="P36" i="149" s="1"/>
  <c r="P37" i="149" s="1"/>
  <c r="P38" i="149" s="1"/>
  <c r="P39" i="149" s="1"/>
  <c r="P40" i="149" s="1"/>
  <c r="P41" i="149" s="1"/>
  <c r="P42" i="149" s="1"/>
  <c r="P43" i="149" s="1"/>
  <c r="P44" i="149" s="1"/>
  <c r="P45" i="149" s="1"/>
  <c r="P46" i="149" s="1"/>
  <c r="P47" i="149" s="1"/>
  <c r="P48" i="149" s="1"/>
  <c r="P49" i="149" s="1"/>
  <c r="P50" i="149" s="1"/>
  <c r="P51" i="149" s="1"/>
  <c r="P52" i="149" s="1"/>
  <c r="P53" i="149" s="1"/>
  <c r="P54" i="149" s="1"/>
  <c r="D325" i="100" l="1"/>
  <c r="B289" i="100"/>
  <c r="H37" i="132" s="1"/>
  <c r="B58" i="150"/>
  <c r="B290" i="100"/>
  <c r="H38" i="132" s="1"/>
  <c r="B58" i="149"/>
  <c r="B307" i="100"/>
  <c r="B308" i="100"/>
  <c r="H40" i="132" s="1"/>
  <c r="AA56" i="150"/>
  <c r="P56" i="150"/>
  <c r="AA56" i="149"/>
  <c r="C290" i="100" s="1"/>
  <c r="P56" i="149"/>
  <c r="F55" i="150"/>
  <c r="D55" i="150"/>
  <c r="B55" i="150"/>
  <c r="H55" i="149"/>
  <c r="AF56" i="149" l="1"/>
  <c r="D290" i="100" s="1"/>
  <c r="K38" i="132" s="1"/>
  <c r="U56" i="150"/>
  <c r="E58" i="150"/>
  <c r="C307" i="100"/>
  <c r="U56" i="149"/>
  <c r="E58" i="149"/>
  <c r="C289" i="100"/>
  <c r="C291" i="100" s="1"/>
  <c r="AF56" i="150"/>
  <c r="D308" i="100" s="1"/>
  <c r="K40" i="132" s="1"/>
  <c r="C308" i="100"/>
  <c r="B291" i="100"/>
  <c r="B309" i="100"/>
  <c r="H39" i="132"/>
  <c r="B56" i="161"/>
  <c r="G56" i="161" s="1"/>
  <c r="J55" i="161"/>
  <c r="H55" i="161"/>
  <c r="D55" i="161"/>
  <c r="B55" i="161"/>
  <c r="E8" i="161"/>
  <c r="E9" i="161" s="1"/>
  <c r="E10" i="161" s="1"/>
  <c r="E11" i="161" s="1"/>
  <c r="E12" i="161" s="1"/>
  <c r="E13" i="161" s="1"/>
  <c r="E14" i="161" s="1"/>
  <c r="E15" i="161" s="1"/>
  <c r="E16" i="161" s="1"/>
  <c r="E17" i="161" s="1"/>
  <c r="E18" i="161" s="1"/>
  <c r="E19" i="161" s="1"/>
  <c r="E20" i="161" s="1"/>
  <c r="E21" i="161" s="1"/>
  <c r="E22" i="161" s="1"/>
  <c r="E23" i="161" s="1"/>
  <c r="E24" i="161" s="1"/>
  <c r="E25" i="161" s="1"/>
  <c r="E26" i="161" s="1"/>
  <c r="E27" i="161" s="1"/>
  <c r="E28" i="161" s="1"/>
  <c r="E29" i="161" s="1"/>
  <c r="E30" i="161" s="1"/>
  <c r="E31" i="161" s="1"/>
  <c r="E32" i="161" s="1"/>
  <c r="E33" i="161" s="1"/>
  <c r="E34" i="161" s="1"/>
  <c r="E35" i="161" s="1"/>
  <c r="E36" i="161" s="1"/>
  <c r="E37" i="161" s="1"/>
  <c r="E38" i="161" s="1"/>
  <c r="E39" i="161" s="1"/>
  <c r="E40" i="161" s="1"/>
  <c r="E41" i="161" s="1"/>
  <c r="E42" i="161" s="1"/>
  <c r="E43" i="161" s="1"/>
  <c r="E44" i="161" s="1"/>
  <c r="E45" i="161" s="1"/>
  <c r="E46" i="161" s="1"/>
  <c r="E47" i="161" s="1"/>
  <c r="E48" i="161" s="1"/>
  <c r="E49" i="161" s="1"/>
  <c r="E50" i="161" s="1"/>
  <c r="E51" i="161" s="1"/>
  <c r="E52" i="161" s="1"/>
  <c r="E53" i="161" s="1"/>
  <c r="E54" i="161" s="1"/>
  <c r="B56" i="160"/>
  <c r="G56" i="160" s="1"/>
  <c r="J55" i="160"/>
  <c r="H55" i="160"/>
  <c r="F55" i="160"/>
  <c r="D55" i="160"/>
  <c r="E8" i="160"/>
  <c r="E9" i="160" s="1"/>
  <c r="E10" i="160" s="1"/>
  <c r="E11" i="160" s="1"/>
  <c r="E12" i="160" s="1"/>
  <c r="E13" i="160" s="1"/>
  <c r="E14" i="160" s="1"/>
  <c r="E15" i="160" s="1"/>
  <c r="E16" i="160" s="1"/>
  <c r="E17" i="160" s="1"/>
  <c r="E18" i="160" s="1"/>
  <c r="E19" i="160" s="1"/>
  <c r="E20" i="160" s="1"/>
  <c r="E21" i="160" s="1"/>
  <c r="E22" i="160" s="1"/>
  <c r="E23" i="160" s="1"/>
  <c r="E24" i="160" s="1"/>
  <c r="E25" i="160" s="1"/>
  <c r="E26" i="160" s="1"/>
  <c r="E27" i="160" s="1"/>
  <c r="E28" i="160" s="1"/>
  <c r="E29" i="160" s="1"/>
  <c r="E30" i="160" s="1"/>
  <c r="E31" i="160" s="1"/>
  <c r="E32" i="160" s="1"/>
  <c r="E33" i="160" s="1"/>
  <c r="E34" i="160" s="1"/>
  <c r="E35" i="160" s="1"/>
  <c r="E36" i="160" s="1"/>
  <c r="E37" i="160" s="1"/>
  <c r="E38" i="160" s="1"/>
  <c r="E39" i="160" s="1"/>
  <c r="E40" i="160" s="1"/>
  <c r="E41" i="160" s="1"/>
  <c r="E42" i="160" s="1"/>
  <c r="E43" i="160" s="1"/>
  <c r="E44" i="160" s="1"/>
  <c r="E45" i="160" s="1"/>
  <c r="E46" i="160" s="1"/>
  <c r="E47" i="160" s="1"/>
  <c r="E48" i="160" s="1"/>
  <c r="E49" i="160" s="1"/>
  <c r="E50" i="160" s="1"/>
  <c r="E51" i="160" s="1"/>
  <c r="E52" i="160" s="1"/>
  <c r="E53" i="160" s="1"/>
  <c r="E54" i="160" s="1"/>
  <c r="B56" i="159"/>
  <c r="G56" i="159" s="1"/>
  <c r="J55" i="159"/>
  <c r="H55" i="159"/>
  <c r="F55" i="159"/>
  <c r="B55" i="159"/>
  <c r="E8" i="159"/>
  <c r="E9" i="159" s="1"/>
  <c r="E10" i="159" s="1"/>
  <c r="E11" i="159" s="1"/>
  <c r="E12" i="159" s="1"/>
  <c r="E13" i="159" s="1"/>
  <c r="E14" i="159" s="1"/>
  <c r="E15" i="159" s="1"/>
  <c r="E16" i="159" s="1"/>
  <c r="E17" i="159" s="1"/>
  <c r="E18" i="159" s="1"/>
  <c r="E19" i="159" s="1"/>
  <c r="E20" i="159" s="1"/>
  <c r="E21" i="159" s="1"/>
  <c r="E22" i="159" s="1"/>
  <c r="E23" i="159" s="1"/>
  <c r="E24" i="159" s="1"/>
  <c r="E25" i="159" s="1"/>
  <c r="E26" i="159" s="1"/>
  <c r="E27" i="159" s="1"/>
  <c r="E28" i="159" s="1"/>
  <c r="E29" i="159" s="1"/>
  <c r="E30" i="159" s="1"/>
  <c r="E31" i="159" s="1"/>
  <c r="E32" i="159" s="1"/>
  <c r="E33" i="159" s="1"/>
  <c r="E34" i="159" s="1"/>
  <c r="E35" i="159" s="1"/>
  <c r="E36" i="159" s="1"/>
  <c r="E37" i="159" s="1"/>
  <c r="E38" i="159" s="1"/>
  <c r="E39" i="159" s="1"/>
  <c r="E40" i="159" s="1"/>
  <c r="E41" i="159" s="1"/>
  <c r="E42" i="159" s="1"/>
  <c r="E43" i="159" s="1"/>
  <c r="E44" i="159" s="1"/>
  <c r="E45" i="159" s="1"/>
  <c r="E46" i="159" s="1"/>
  <c r="E47" i="159" s="1"/>
  <c r="E48" i="159" s="1"/>
  <c r="E49" i="159" s="1"/>
  <c r="E50" i="159" s="1"/>
  <c r="E51" i="159" s="1"/>
  <c r="E52" i="159" s="1"/>
  <c r="E53" i="159" s="1"/>
  <c r="E54" i="159" s="1"/>
  <c r="B56" i="158"/>
  <c r="G56" i="158" s="1"/>
  <c r="J55" i="158"/>
  <c r="H55" i="158"/>
  <c r="D55" i="158"/>
  <c r="B55" i="158"/>
  <c r="E8" i="158"/>
  <c r="E9" i="158" s="1"/>
  <c r="E10" i="158" s="1"/>
  <c r="E11" i="158" s="1"/>
  <c r="E12" i="158" s="1"/>
  <c r="E13" i="158" s="1"/>
  <c r="E14" i="158" s="1"/>
  <c r="E15" i="158" s="1"/>
  <c r="E16" i="158" s="1"/>
  <c r="E17" i="158" s="1"/>
  <c r="E18" i="158" s="1"/>
  <c r="E19" i="158" s="1"/>
  <c r="E20" i="158" s="1"/>
  <c r="E21" i="158" s="1"/>
  <c r="E22" i="158" s="1"/>
  <c r="E23" i="158" s="1"/>
  <c r="E24" i="158" s="1"/>
  <c r="E25" i="158" s="1"/>
  <c r="E26" i="158" s="1"/>
  <c r="E27" i="158" s="1"/>
  <c r="E28" i="158" s="1"/>
  <c r="E29" i="158" s="1"/>
  <c r="E30" i="158" s="1"/>
  <c r="E31" i="158" s="1"/>
  <c r="E32" i="158" s="1"/>
  <c r="E33" i="158" s="1"/>
  <c r="E34" i="158" s="1"/>
  <c r="E35" i="158" s="1"/>
  <c r="E36" i="158" s="1"/>
  <c r="E37" i="158" s="1"/>
  <c r="E38" i="158" s="1"/>
  <c r="E39" i="158" s="1"/>
  <c r="E40" i="158" s="1"/>
  <c r="E41" i="158" s="1"/>
  <c r="E42" i="158" s="1"/>
  <c r="E43" i="158" s="1"/>
  <c r="E44" i="158" s="1"/>
  <c r="E45" i="158" s="1"/>
  <c r="E46" i="158" s="1"/>
  <c r="E47" i="158" s="1"/>
  <c r="E48" i="158" s="1"/>
  <c r="E49" i="158" s="1"/>
  <c r="E50" i="158" s="1"/>
  <c r="E51" i="158" s="1"/>
  <c r="E52" i="158" s="1"/>
  <c r="E53" i="158" s="1"/>
  <c r="E54" i="158" s="1"/>
  <c r="B56" i="157"/>
  <c r="G56" i="157" s="1"/>
  <c r="J55" i="157"/>
  <c r="H55" i="157"/>
  <c r="E8" i="157"/>
  <c r="E9" i="157" s="1"/>
  <c r="E10" i="157" s="1"/>
  <c r="E11" i="157" s="1"/>
  <c r="E12" i="157" s="1"/>
  <c r="E13" i="157" s="1"/>
  <c r="E14" i="157" s="1"/>
  <c r="E15" i="157" s="1"/>
  <c r="E16" i="157" s="1"/>
  <c r="E17" i="157" s="1"/>
  <c r="E18" i="157" s="1"/>
  <c r="E19" i="157" s="1"/>
  <c r="E20" i="157" s="1"/>
  <c r="E21" i="157" s="1"/>
  <c r="E22" i="157" s="1"/>
  <c r="E23" i="157" s="1"/>
  <c r="E24" i="157" s="1"/>
  <c r="E25" i="157" s="1"/>
  <c r="E26" i="157" s="1"/>
  <c r="E27" i="157" s="1"/>
  <c r="E28" i="157" s="1"/>
  <c r="E29" i="157" s="1"/>
  <c r="E30" i="157" s="1"/>
  <c r="E31" i="157" s="1"/>
  <c r="E32" i="157" s="1"/>
  <c r="E33" i="157" s="1"/>
  <c r="E34" i="157" s="1"/>
  <c r="E35" i="157" s="1"/>
  <c r="E36" i="157" s="1"/>
  <c r="E37" i="157" s="1"/>
  <c r="E38" i="157" s="1"/>
  <c r="E39" i="157" s="1"/>
  <c r="E40" i="157" s="1"/>
  <c r="E41" i="157" s="1"/>
  <c r="E42" i="157" s="1"/>
  <c r="E43" i="157" s="1"/>
  <c r="E44" i="157" s="1"/>
  <c r="E45" i="157" s="1"/>
  <c r="E46" i="157" s="1"/>
  <c r="E47" i="157" s="1"/>
  <c r="E48" i="157" s="1"/>
  <c r="E49" i="157" s="1"/>
  <c r="E50" i="157" s="1"/>
  <c r="E51" i="157" s="1"/>
  <c r="E52" i="157" s="1"/>
  <c r="E53" i="157" s="1"/>
  <c r="E54" i="157" s="1"/>
  <c r="B56" i="156"/>
  <c r="G56" i="156" s="1"/>
  <c r="J55" i="156"/>
  <c r="B55" i="156"/>
  <c r="E8" i="156"/>
  <c r="E9" i="156" s="1"/>
  <c r="E10" i="156" s="1"/>
  <c r="E11" i="156" s="1"/>
  <c r="E12" i="156" s="1"/>
  <c r="E13" i="156" s="1"/>
  <c r="E14" i="156" s="1"/>
  <c r="E15" i="156" s="1"/>
  <c r="E16" i="156" s="1"/>
  <c r="E17" i="156" s="1"/>
  <c r="E18" i="156" s="1"/>
  <c r="E19" i="156" s="1"/>
  <c r="E20" i="156" s="1"/>
  <c r="E21" i="156" s="1"/>
  <c r="E22" i="156" s="1"/>
  <c r="E23" i="156" s="1"/>
  <c r="E24" i="156" s="1"/>
  <c r="E25" i="156" s="1"/>
  <c r="E26" i="156" s="1"/>
  <c r="E27" i="156" s="1"/>
  <c r="E28" i="156" s="1"/>
  <c r="E29" i="156" s="1"/>
  <c r="E30" i="156" s="1"/>
  <c r="E31" i="156" s="1"/>
  <c r="E32" i="156" s="1"/>
  <c r="E33" i="156" s="1"/>
  <c r="E34" i="156" s="1"/>
  <c r="E35" i="156" s="1"/>
  <c r="E36" i="156" s="1"/>
  <c r="E37" i="156" s="1"/>
  <c r="E38" i="156" s="1"/>
  <c r="E39" i="156" s="1"/>
  <c r="E40" i="156" s="1"/>
  <c r="E41" i="156" s="1"/>
  <c r="E42" i="156" s="1"/>
  <c r="E43" i="156" s="1"/>
  <c r="E44" i="156" s="1"/>
  <c r="E45" i="156" s="1"/>
  <c r="E46" i="156" s="1"/>
  <c r="E47" i="156" s="1"/>
  <c r="E48" i="156" s="1"/>
  <c r="E49" i="156" s="1"/>
  <c r="E50" i="156" s="1"/>
  <c r="E51" i="156" s="1"/>
  <c r="E52" i="156" s="1"/>
  <c r="E53" i="156" s="1"/>
  <c r="E54" i="156" s="1"/>
  <c r="B56" i="155"/>
  <c r="G56" i="155" s="1"/>
  <c r="J55" i="155"/>
  <c r="H55" i="155"/>
  <c r="D55" i="155"/>
  <c r="E8" i="155"/>
  <c r="E9" i="155" s="1"/>
  <c r="E10" i="155" s="1"/>
  <c r="E11" i="155" s="1"/>
  <c r="E12" i="155" s="1"/>
  <c r="E13" i="155" s="1"/>
  <c r="E14" i="155" s="1"/>
  <c r="E15" i="155" s="1"/>
  <c r="E16" i="155" s="1"/>
  <c r="E17" i="155" s="1"/>
  <c r="E18" i="155" s="1"/>
  <c r="E19" i="155" s="1"/>
  <c r="E20" i="155" s="1"/>
  <c r="E21" i="155" s="1"/>
  <c r="E22" i="155" s="1"/>
  <c r="E23" i="155" s="1"/>
  <c r="E24" i="155" s="1"/>
  <c r="E25" i="155" s="1"/>
  <c r="E26" i="155" s="1"/>
  <c r="E27" i="155" s="1"/>
  <c r="E28" i="155" s="1"/>
  <c r="E29" i="155" s="1"/>
  <c r="E30" i="155" s="1"/>
  <c r="E31" i="155" s="1"/>
  <c r="E32" i="155" s="1"/>
  <c r="E33" i="155" s="1"/>
  <c r="E34" i="155" s="1"/>
  <c r="E35" i="155" s="1"/>
  <c r="E36" i="155" s="1"/>
  <c r="E37" i="155" s="1"/>
  <c r="E38" i="155" s="1"/>
  <c r="E39" i="155" s="1"/>
  <c r="E40" i="155" s="1"/>
  <c r="E41" i="155" s="1"/>
  <c r="E42" i="155" s="1"/>
  <c r="E43" i="155" s="1"/>
  <c r="E44" i="155" s="1"/>
  <c r="E45" i="155" s="1"/>
  <c r="E46" i="155" s="1"/>
  <c r="E47" i="155" s="1"/>
  <c r="E48" i="155" s="1"/>
  <c r="E49" i="155" s="1"/>
  <c r="E50" i="155" s="1"/>
  <c r="E51" i="155" s="1"/>
  <c r="E52" i="155" s="1"/>
  <c r="E53" i="155" s="1"/>
  <c r="E54" i="155" s="1"/>
  <c r="B56" i="154"/>
  <c r="G56" i="154" s="1"/>
  <c r="J55" i="154"/>
  <c r="H55" i="154"/>
  <c r="E8" i="154"/>
  <c r="E9" i="154" s="1"/>
  <c r="E10" i="154" s="1"/>
  <c r="E11" i="154" s="1"/>
  <c r="E12" i="154" s="1"/>
  <c r="E13" i="154" s="1"/>
  <c r="E14" i="154" s="1"/>
  <c r="E15" i="154" s="1"/>
  <c r="E16" i="154" s="1"/>
  <c r="E17" i="154" s="1"/>
  <c r="E18" i="154" s="1"/>
  <c r="E19" i="154" s="1"/>
  <c r="E20" i="154" s="1"/>
  <c r="E21" i="154" s="1"/>
  <c r="E22" i="154" s="1"/>
  <c r="E23" i="154" s="1"/>
  <c r="E24" i="154" s="1"/>
  <c r="E25" i="154" s="1"/>
  <c r="E26" i="154" s="1"/>
  <c r="E27" i="154" s="1"/>
  <c r="E28" i="154" s="1"/>
  <c r="E29" i="154" s="1"/>
  <c r="E30" i="154" s="1"/>
  <c r="E31" i="154" s="1"/>
  <c r="E32" i="154" s="1"/>
  <c r="E33" i="154" s="1"/>
  <c r="E34" i="154" s="1"/>
  <c r="E35" i="154" s="1"/>
  <c r="E36" i="154" s="1"/>
  <c r="E37" i="154" s="1"/>
  <c r="E38" i="154" s="1"/>
  <c r="E39" i="154" s="1"/>
  <c r="E40" i="154" s="1"/>
  <c r="E41" i="154" s="1"/>
  <c r="E42" i="154" s="1"/>
  <c r="E43" i="154" s="1"/>
  <c r="E44" i="154" s="1"/>
  <c r="E45" i="154" s="1"/>
  <c r="E46" i="154" s="1"/>
  <c r="E47" i="154" s="1"/>
  <c r="E48" i="154" s="1"/>
  <c r="E49" i="154" s="1"/>
  <c r="E50" i="154" s="1"/>
  <c r="E51" i="154" s="1"/>
  <c r="E52" i="154" s="1"/>
  <c r="E53" i="154" s="1"/>
  <c r="E54" i="154" s="1"/>
  <c r="B56" i="153"/>
  <c r="G56" i="153" s="1"/>
  <c r="J55" i="153"/>
  <c r="H55" i="153"/>
  <c r="E8" i="153"/>
  <c r="E9" i="153" s="1"/>
  <c r="E10" i="153" s="1"/>
  <c r="E11" i="153" s="1"/>
  <c r="E12" i="153" s="1"/>
  <c r="E13" i="153" s="1"/>
  <c r="E14" i="153" s="1"/>
  <c r="E15" i="153" s="1"/>
  <c r="E16" i="153" s="1"/>
  <c r="E17" i="153" s="1"/>
  <c r="E18" i="153" s="1"/>
  <c r="E19" i="153" s="1"/>
  <c r="E20" i="153" s="1"/>
  <c r="E21" i="153" s="1"/>
  <c r="E22" i="153" s="1"/>
  <c r="E23" i="153" s="1"/>
  <c r="E24" i="153" s="1"/>
  <c r="E25" i="153" s="1"/>
  <c r="E26" i="153" s="1"/>
  <c r="E27" i="153" s="1"/>
  <c r="E28" i="153" s="1"/>
  <c r="E29" i="153" s="1"/>
  <c r="E30" i="153" s="1"/>
  <c r="E31" i="153" s="1"/>
  <c r="E32" i="153" s="1"/>
  <c r="E33" i="153" s="1"/>
  <c r="E34" i="153" s="1"/>
  <c r="E35" i="153" s="1"/>
  <c r="E36" i="153" s="1"/>
  <c r="E37" i="153" s="1"/>
  <c r="E38" i="153" s="1"/>
  <c r="E39" i="153" s="1"/>
  <c r="E40" i="153" s="1"/>
  <c r="E41" i="153" s="1"/>
  <c r="E42" i="153" s="1"/>
  <c r="E43" i="153" s="1"/>
  <c r="E44" i="153" s="1"/>
  <c r="E45" i="153" s="1"/>
  <c r="E46" i="153" s="1"/>
  <c r="E47" i="153" s="1"/>
  <c r="E48" i="153" s="1"/>
  <c r="E49" i="153" s="1"/>
  <c r="E50" i="153" s="1"/>
  <c r="E51" i="153" s="1"/>
  <c r="E52" i="153" s="1"/>
  <c r="E53" i="153" s="1"/>
  <c r="E54" i="153" s="1"/>
  <c r="B56" i="152"/>
  <c r="G56" i="152" s="1"/>
  <c r="J55" i="152"/>
  <c r="H55" i="152"/>
  <c r="F55" i="152"/>
  <c r="D55" i="152"/>
  <c r="E8" i="152"/>
  <c r="E9" i="152" s="1"/>
  <c r="E10" i="152" s="1"/>
  <c r="E11" i="152" s="1"/>
  <c r="E12" i="152" s="1"/>
  <c r="E13" i="152" s="1"/>
  <c r="E14" i="152" s="1"/>
  <c r="E15" i="152" s="1"/>
  <c r="E16" i="152" s="1"/>
  <c r="E17" i="152" s="1"/>
  <c r="E18" i="152" s="1"/>
  <c r="E19" i="152" s="1"/>
  <c r="E20" i="152" s="1"/>
  <c r="E21" i="152" s="1"/>
  <c r="E22" i="152" s="1"/>
  <c r="E23" i="152" s="1"/>
  <c r="E24" i="152" s="1"/>
  <c r="E25" i="152" s="1"/>
  <c r="E26" i="152" s="1"/>
  <c r="E27" i="152" s="1"/>
  <c r="E28" i="152" s="1"/>
  <c r="E29" i="152" s="1"/>
  <c r="E30" i="152" s="1"/>
  <c r="E31" i="152" s="1"/>
  <c r="E32" i="152" s="1"/>
  <c r="E33" i="152" s="1"/>
  <c r="E34" i="152" s="1"/>
  <c r="E35" i="152" s="1"/>
  <c r="E36" i="152" s="1"/>
  <c r="E37" i="152" s="1"/>
  <c r="E38" i="152" s="1"/>
  <c r="E39" i="152" s="1"/>
  <c r="E40" i="152" s="1"/>
  <c r="E41" i="152" s="1"/>
  <c r="E42" i="152" s="1"/>
  <c r="E43" i="152" s="1"/>
  <c r="E44" i="152" s="1"/>
  <c r="E45" i="152" s="1"/>
  <c r="E46" i="152" s="1"/>
  <c r="E47" i="152" s="1"/>
  <c r="E48" i="152" s="1"/>
  <c r="E49" i="152" s="1"/>
  <c r="E50" i="152" s="1"/>
  <c r="E51" i="152" s="1"/>
  <c r="E52" i="152" s="1"/>
  <c r="E53" i="152" s="1"/>
  <c r="E54" i="152" s="1"/>
  <c r="F55" i="149"/>
  <c r="D55" i="149"/>
  <c r="E56" i="154" l="1"/>
  <c r="F43" i="132" s="1"/>
  <c r="E50" i="132"/>
  <c r="E56" i="158"/>
  <c r="J56" i="158" s="1"/>
  <c r="G52" i="132" s="1"/>
  <c r="E58" i="132"/>
  <c r="J56" i="154"/>
  <c r="G43" i="132" s="1"/>
  <c r="D289" i="100"/>
  <c r="J58" i="149"/>
  <c r="E56" i="157"/>
  <c r="E56" i="161"/>
  <c r="E45" i="132"/>
  <c r="E52" i="132"/>
  <c r="C309" i="100"/>
  <c r="E56" i="152"/>
  <c r="F42" i="132" s="1"/>
  <c r="E56" i="156"/>
  <c r="E56" i="160"/>
  <c r="E43" i="132"/>
  <c r="E47" i="132"/>
  <c r="E53" i="132"/>
  <c r="E56" i="153"/>
  <c r="E56" i="155"/>
  <c r="E56" i="159"/>
  <c r="E42" i="132"/>
  <c r="E48" i="132"/>
  <c r="E55" i="132"/>
  <c r="D307" i="100"/>
  <c r="J58" i="150"/>
  <c r="J56" i="152"/>
  <c r="G42" i="132" s="1"/>
  <c r="H55" i="148"/>
  <c r="F55" i="148"/>
  <c r="X56" i="148"/>
  <c r="AC56" i="148" s="1"/>
  <c r="AF55" i="148"/>
  <c r="AD55" i="148"/>
  <c r="AB55" i="148"/>
  <c r="Z55" i="148"/>
  <c r="X55" i="148"/>
  <c r="AA8" i="148"/>
  <c r="AA9" i="148" s="1"/>
  <c r="AA10" i="148" s="1"/>
  <c r="AA11" i="148" s="1"/>
  <c r="AA12" i="148" s="1"/>
  <c r="AA13" i="148" s="1"/>
  <c r="AA14" i="148" s="1"/>
  <c r="AA15" i="148" s="1"/>
  <c r="AA16" i="148" s="1"/>
  <c r="AA17" i="148" s="1"/>
  <c r="AA18" i="148" s="1"/>
  <c r="AA19" i="148" s="1"/>
  <c r="AA20" i="148" s="1"/>
  <c r="AA21" i="148" s="1"/>
  <c r="AA22" i="148" s="1"/>
  <c r="AA23" i="148" s="1"/>
  <c r="AA24" i="148" s="1"/>
  <c r="AA25" i="148" s="1"/>
  <c r="AA26" i="148" s="1"/>
  <c r="AA27" i="148" s="1"/>
  <c r="AA28" i="148" s="1"/>
  <c r="AA29" i="148" s="1"/>
  <c r="AA30" i="148" s="1"/>
  <c r="AA31" i="148" s="1"/>
  <c r="AA32" i="148" s="1"/>
  <c r="AA33" i="148" s="1"/>
  <c r="AA34" i="148" s="1"/>
  <c r="AA35" i="148" s="1"/>
  <c r="AA36" i="148" s="1"/>
  <c r="AA37" i="148" s="1"/>
  <c r="AA38" i="148" s="1"/>
  <c r="AA39" i="148" s="1"/>
  <c r="AA40" i="148" s="1"/>
  <c r="AA41" i="148" s="1"/>
  <c r="AA42" i="148" s="1"/>
  <c r="AA43" i="148" s="1"/>
  <c r="AA44" i="148" s="1"/>
  <c r="AA45" i="148" s="1"/>
  <c r="AA46" i="148" s="1"/>
  <c r="AA47" i="148" s="1"/>
  <c r="AA48" i="148" s="1"/>
  <c r="AA49" i="148" s="1"/>
  <c r="AA50" i="148" s="1"/>
  <c r="AA51" i="148" s="1"/>
  <c r="AA52" i="148" s="1"/>
  <c r="AA53" i="148" s="1"/>
  <c r="AA54" i="148" s="1"/>
  <c r="M56" i="148"/>
  <c r="R56" i="148" s="1"/>
  <c r="U55" i="148"/>
  <c r="S55" i="148"/>
  <c r="Q55" i="148"/>
  <c r="O55" i="148"/>
  <c r="M55" i="148"/>
  <c r="P8" i="148"/>
  <c r="P9" i="148" s="1"/>
  <c r="P10" i="148" s="1"/>
  <c r="P11" i="148" s="1"/>
  <c r="P12" i="148" s="1"/>
  <c r="P13" i="148" s="1"/>
  <c r="P14" i="148" s="1"/>
  <c r="P15" i="148" s="1"/>
  <c r="P16" i="148" s="1"/>
  <c r="P17" i="148" s="1"/>
  <c r="P18" i="148" s="1"/>
  <c r="P19" i="148" s="1"/>
  <c r="P20" i="148" s="1"/>
  <c r="P21" i="148" s="1"/>
  <c r="P22" i="148" s="1"/>
  <c r="P23" i="148" s="1"/>
  <c r="P24" i="148" s="1"/>
  <c r="P25" i="148" s="1"/>
  <c r="P26" i="148" s="1"/>
  <c r="P27" i="148" s="1"/>
  <c r="P28" i="148" s="1"/>
  <c r="P29" i="148" s="1"/>
  <c r="P30" i="148" s="1"/>
  <c r="P31" i="148" s="1"/>
  <c r="P32" i="148" s="1"/>
  <c r="P33" i="148" s="1"/>
  <c r="P34" i="148" s="1"/>
  <c r="P35" i="148" s="1"/>
  <c r="P36" i="148" s="1"/>
  <c r="P37" i="148" s="1"/>
  <c r="P38" i="148" s="1"/>
  <c r="P39" i="148" s="1"/>
  <c r="P40" i="148" s="1"/>
  <c r="P41" i="148" s="1"/>
  <c r="P42" i="148" s="1"/>
  <c r="P43" i="148" s="1"/>
  <c r="P44" i="148" s="1"/>
  <c r="P45" i="148" s="1"/>
  <c r="P46" i="148" s="1"/>
  <c r="P47" i="148" s="1"/>
  <c r="P48" i="148" s="1"/>
  <c r="P49" i="148" s="1"/>
  <c r="P50" i="148" s="1"/>
  <c r="P51" i="148" s="1"/>
  <c r="P52" i="148" s="1"/>
  <c r="P53" i="148" s="1"/>
  <c r="P54" i="148" s="1"/>
  <c r="B257" i="100"/>
  <c r="H34" i="132" s="1"/>
  <c r="AI56" i="147"/>
  <c r="AN56" i="147" s="1"/>
  <c r="AQ55" i="147"/>
  <c r="AO55" i="147"/>
  <c r="AM55" i="147"/>
  <c r="AK55" i="147"/>
  <c r="AI55" i="147"/>
  <c r="AL8" i="147"/>
  <c r="AL9" i="147" s="1"/>
  <c r="AL10" i="147" s="1"/>
  <c r="AL11" i="147" s="1"/>
  <c r="AL12" i="147" s="1"/>
  <c r="AL13" i="147" s="1"/>
  <c r="AL14" i="147" s="1"/>
  <c r="AL15" i="147" s="1"/>
  <c r="AL16" i="147" s="1"/>
  <c r="AL17" i="147" s="1"/>
  <c r="AL18" i="147" s="1"/>
  <c r="AL19" i="147" s="1"/>
  <c r="AL20" i="147" s="1"/>
  <c r="AL21" i="147" s="1"/>
  <c r="AL22" i="147" s="1"/>
  <c r="AL23" i="147" s="1"/>
  <c r="AL24" i="147" s="1"/>
  <c r="AL25" i="147" s="1"/>
  <c r="AL26" i="147" s="1"/>
  <c r="AL27" i="147" s="1"/>
  <c r="AL28" i="147" s="1"/>
  <c r="AL29" i="147" s="1"/>
  <c r="AL30" i="147" s="1"/>
  <c r="AL31" i="147" s="1"/>
  <c r="AL32" i="147" s="1"/>
  <c r="AL33" i="147" s="1"/>
  <c r="AL34" i="147" s="1"/>
  <c r="AL35" i="147" s="1"/>
  <c r="AL36" i="147" s="1"/>
  <c r="AL37" i="147" s="1"/>
  <c r="AL38" i="147" s="1"/>
  <c r="AL39" i="147" s="1"/>
  <c r="AL40" i="147" s="1"/>
  <c r="AL41" i="147" s="1"/>
  <c r="AL42" i="147" s="1"/>
  <c r="AL43" i="147" s="1"/>
  <c r="AL44" i="147" s="1"/>
  <c r="AL45" i="147" s="1"/>
  <c r="AL46" i="147" s="1"/>
  <c r="AL47" i="147" s="1"/>
  <c r="AL48" i="147" s="1"/>
  <c r="AL49" i="147" s="1"/>
  <c r="AL50" i="147" s="1"/>
  <c r="AL51" i="147" s="1"/>
  <c r="AL52" i="147" s="1"/>
  <c r="AL53" i="147" s="1"/>
  <c r="AL54" i="147" s="1"/>
  <c r="X56" i="147"/>
  <c r="AC56" i="147" s="1"/>
  <c r="AF55" i="147"/>
  <c r="AD55" i="147"/>
  <c r="AB55" i="147"/>
  <c r="Z55" i="147"/>
  <c r="X55" i="147"/>
  <c r="AA8" i="147"/>
  <c r="AA9" i="147" s="1"/>
  <c r="AA10" i="147" s="1"/>
  <c r="AA11" i="147" s="1"/>
  <c r="AA12" i="147" s="1"/>
  <c r="AA13" i="147" s="1"/>
  <c r="AA14" i="147" s="1"/>
  <c r="AA15" i="147" s="1"/>
  <c r="AA16" i="147" s="1"/>
  <c r="AA17" i="147" s="1"/>
  <c r="AA18" i="147" s="1"/>
  <c r="AA19" i="147" s="1"/>
  <c r="AA20" i="147" s="1"/>
  <c r="AA21" i="147" s="1"/>
  <c r="AA22" i="147" s="1"/>
  <c r="AA23" i="147" s="1"/>
  <c r="AA24" i="147" s="1"/>
  <c r="AA25" i="147" s="1"/>
  <c r="AA26" i="147" s="1"/>
  <c r="AA27" i="147" s="1"/>
  <c r="AA28" i="147" s="1"/>
  <c r="AA29" i="147" s="1"/>
  <c r="AA30" i="147" s="1"/>
  <c r="AA31" i="147" s="1"/>
  <c r="AA32" i="147" s="1"/>
  <c r="AA33" i="147" s="1"/>
  <c r="AA34" i="147" s="1"/>
  <c r="AA35" i="147" s="1"/>
  <c r="AA36" i="147" s="1"/>
  <c r="AA37" i="147" s="1"/>
  <c r="AA38" i="147" s="1"/>
  <c r="AA39" i="147" s="1"/>
  <c r="AA40" i="147" s="1"/>
  <c r="AA41" i="147" s="1"/>
  <c r="AA42" i="147" s="1"/>
  <c r="AA43" i="147" s="1"/>
  <c r="AA44" i="147" s="1"/>
  <c r="AA45" i="147" s="1"/>
  <c r="AA46" i="147" s="1"/>
  <c r="AA47" i="147" s="1"/>
  <c r="AA48" i="147" s="1"/>
  <c r="AA49" i="147" s="1"/>
  <c r="AA50" i="147" s="1"/>
  <c r="AA51" i="147" s="1"/>
  <c r="AA52" i="147" s="1"/>
  <c r="AA53" i="147" s="1"/>
  <c r="AA54" i="147" s="1"/>
  <c r="M56" i="147"/>
  <c r="R56" i="147" s="1"/>
  <c r="U55" i="147"/>
  <c r="S55" i="147"/>
  <c r="Q55" i="147"/>
  <c r="O55" i="147"/>
  <c r="M55" i="147"/>
  <c r="P8" i="147"/>
  <c r="P9" i="147" s="1"/>
  <c r="P10" i="147" s="1"/>
  <c r="P11" i="147" s="1"/>
  <c r="P12" i="147" s="1"/>
  <c r="P13" i="147" s="1"/>
  <c r="P14" i="147" s="1"/>
  <c r="P15" i="147" s="1"/>
  <c r="P16" i="147" s="1"/>
  <c r="P17" i="147" s="1"/>
  <c r="P18" i="147" s="1"/>
  <c r="P19" i="147" s="1"/>
  <c r="P20" i="147" s="1"/>
  <c r="P21" i="147" s="1"/>
  <c r="P22" i="147" s="1"/>
  <c r="P23" i="147" s="1"/>
  <c r="P24" i="147" s="1"/>
  <c r="P25" i="147" s="1"/>
  <c r="P26" i="147" s="1"/>
  <c r="P27" i="147" s="1"/>
  <c r="P28" i="147" s="1"/>
  <c r="P29" i="147" s="1"/>
  <c r="P30" i="147" s="1"/>
  <c r="P31" i="147" s="1"/>
  <c r="P32" i="147" s="1"/>
  <c r="P33" i="147" s="1"/>
  <c r="P34" i="147" s="1"/>
  <c r="P35" i="147" s="1"/>
  <c r="P36" i="147" s="1"/>
  <c r="P37" i="147" s="1"/>
  <c r="P38" i="147" s="1"/>
  <c r="P39" i="147" s="1"/>
  <c r="P40" i="147" s="1"/>
  <c r="P41" i="147" s="1"/>
  <c r="P42" i="147" s="1"/>
  <c r="P43" i="147" s="1"/>
  <c r="P44" i="147" s="1"/>
  <c r="P45" i="147" s="1"/>
  <c r="P46" i="147" s="1"/>
  <c r="P47" i="147" s="1"/>
  <c r="P48" i="147" s="1"/>
  <c r="P49" i="147" s="1"/>
  <c r="P50" i="147" s="1"/>
  <c r="P51" i="147" s="1"/>
  <c r="P52" i="147" s="1"/>
  <c r="P53" i="147" s="1"/>
  <c r="P54" i="147" s="1"/>
  <c r="F52" i="132" l="1"/>
  <c r="J56" i="155"/>
  <c r="G47" i="132" s="1"/>
  <c r="F47" i="132"/>
  <c r="J56" i="153"/>
  <c r="G45" i="132" s="1"/>
  <c r="F45" i="132"/>
  <c r="J56" i="160"/>
  <c r="G55" i="132" s="1"/>
  <c r="F55" i="132"/>
  <c r="J56" i="157"/>
  <c r="G50" i="132" s="1"/>
  <c r="F50" i="132"/>
  <c r="J56" i="156"/>
  <c r="G48" i="132" s="1"/>
  <c r="F48" i="132"/>
  <c r="J56" i="161"/>
  <c r="G58" i="132" s="1"/>
  <c r="F58" i="132"/>
  <c r="K39" i="132"/>
  <c r="D309" i="100"/>
  <c r="J56" i="159"/>
  <c r="G53" i="132" s="1"/>
  <c r="F53" i="132"/>
  <c r="D291" i="100"/>
  <c r="K37" i="132"/>
  <c r="B273" i="100"/>
  <c r="H35" i="132" s="1"/>
  <c r="AA56" i="148"/>
  <c r="C274" i="100" s="1"/>
  <c r="B58" i="147"/>
  <c r="B256" i="100"/>
  <c r="B58" i="148"/>
  <c r="B255" i="100"/>
  <c r="H32" i="132" s="1"/>
  <c r="B274" i="100"/>
  <c r="H36" i="132" s="1"/>
  <c r="P56" i="148"/>
  <c r="AL56" i="147"/>
  <c r="AA56" i="147"/>
  <c r="C256" i="100" s="1"/>
  <c r="P56" i="147"/>
  <c r="D55" i="148"/>
  <c r="B55" i="148"/>
  <c r="D55" i="147"/>
  <c r="X56" i="146"/>
  <c r="AC56" i="146" s="1"/>
  <c r="AF55" i="146"/>
  <c r="AD55" i="146"/>
  <c r="AB55" i="146"/>
  <c r="Z55" i="146"/>
  <c r="X55" i="146"/>
  <c r="AA8" i="146"/>
  <c r="AA9" i="146" s="1"/>
  <c r="AA10" i="146" s="1"/>
  <c r="AA11" i="146" s="1"/>
  <c r="AA12" i="146" s="1"/>
  <c r="AA13" i="146" s="1"/>
  <c r="AA14" i="146" s="1"/>
  <c r="AA15" i="146" s="1"/>
  <c r="AA16" i="146" s="1"/>
  <c r="AA17" i="146" s="1"/>
  <c r="AA18" i="146" s="1"/>
  <c r="AA19" i="146" s="1"/>
  <c r="AA20" i="146" s="1"/>
  <c r="AA21" i="146" s="1"/>
  <c r="AA22" i="146" s="1"/>
  <c r="AA23" i="146" s="1"/>
  <c r="AA24" i="146" s="1"/>
  <c r="AA25" i="146" s="1"/>
  <c r="AA26" i="146" s="1"/>
  <c r="AA27" i="146" s="1"/>
  <c r="AA28" i="146" s="1"/>
  <c r="AA29" i="146" s="1"/>
  <c r="AA30" i="146" s="1"/>
  <c r="AA31" i="146" s="1"/>
  <c r="AA32" i="146" s="1"/>
  <c r="AA33" i="146" s="1"/>
  <c r="AA34" i="146" s="1"/>
  <c r="AA35" i="146" s="1"/>
  <c r="AA36" i="146" s="1"/>
  <c r="AA37" i="146" s="1"/>
  <c r="AA38" i="146" s="1"/>
  <c r="AA39" i="146" s="1"/>
  <c r="AA40" i="146" s="1"/>
  <c r="AA41" i="146" s="1"/>
  <c r="AA42" i="146" s="1"/>
  <c r="AA43" i="146" s="1"/>
  <c r="AA44" i="146" s="1"/>
  <c r="AA45" i="146" s="1"/>
  <c r="AA46" i="146" s="1"/>
  <c r="AA47" i="146" s="1"/>
  <c r="AA48" i="146" s="1"/>
  <c r="AA49" i="146" s="1"/>
  <c r="AA50" i="146" s="1"/>
  <c r="AA51" i="146" s="1"/>
  <c r="AA52" i="146" s="1"/>
  <c r="AA53" i="146" s="1"/>
  <c r="AA54" i="146" s="1"/>
  <c r="M56" i="146"/>
  <c r="R56" i="146" s="1"/>
  <c r="U55" i="146"/>
  <c r="S55" i="146"/>
  <c r="Q55" i="146"/>
  <c r="O55" i="146"/>
  <c r="M55" i="146"/>
  <c r="P8" i="146"/>
  <c r="P9" i="146" s="1"/>
  <c r="P10" i="146" s="1"/>
  <c r="P11" i="146" s="1"/>
  <c r="P12" i="146" s="1"/>
  <c r="P13" i="146" s="1"/>
  <c r="P14" i="146" s="1"/>
  <c r="P15" i="146" s="1"/>
  <c r="P16" i="146" s="1"/>
  <c r="P17" i="146" s="1"/>
  <c r="P18" i="146" s="1"/>
  <c r="P19" i="146" s="1"/>
  <c r="P20" i="146" s="1"/>
  <c r="P21" i="146" s="1"/>
  <c r="P22" i="146" s="1"/>
  <c r="P23" i="146" s="1"/>
  <c r="P24" i="146" s="1"/>
  <c r="P25" i="146" s="1"/>
  <c r="P26" i="146" s="1"/>
  <c r="P27" i="146" s="1"/>
  <c r="P28" i="146" s="1"/>
  <c r="P29" i="146" s="1"/>
  <c r="P30" i="146" s="1"/>
  <c r="P31" i="146" s="1"/>
  <c r="P32" i="146" s="1"/>
  <c r="P33" i="146" s="1"/>
  <c r="P34" i="146" s="1"/>
  <c r="P35" i="146" s="1"/>
  <c r="P36" i="146" s="1"/>
  <c r="P37" i="146" s="1"/>
  <c r="P38" i="146" s="1"/>
  <c r="P39" i="146" s="1"/>
  <c r="P40" i="146" s="1"/>
  <c r="P41" i="146" s="1"/>
  <c r="P42" i="146" s="1"/>
  <c r="P43" i="146" s="1"/>
  <c r="P44" i="146" s="1"/>
  <c r="P45" i="146" s="1"/>
  <c r="P46" i="146" s="1"/>
  <c r="P47" i="146" s="1"/>
  <c r="P48" i="146" s="1"/>
  <c r="P49" i="146" s="1"/>
  <c r="P50" i="146" s="1"/>
  <c r="P51" i="146" s="1"/>
  <c r="P52" i="146" s="1"/>
  <c r="P53" i="146" s="1"/>
  <c r="P54" i="146" s="1"/>
  <c r="AF56" i="147" l="1"/>
  <c r="D256" i="100" s="1"/>
  <c r="K33" i="132" s="1"/>
  <c r="B258" i="100"/>
  <c r="H33" i="132"/>
  <c r="AQ56" i="147"/>
  <c r="D257" i="100" s="1"/>
  <c r="C257" i="100"/>
  <c r="U56" i="147"/>
  <c r="C255" i="100"/>
  <c r="E58" i="147"/>
  <c r="U56" i="148"/>
  <c r="C273" i="100"/>
  <c r="C275" i="100" s="1"/>
  <c r="E58" i="148"/>
  <c r="AF56" i="148"/>
  <c r="D274" i="100" s="1"/>
  <c r="K36" i="132" s="1"/>
  <c r="B275" i="100"/>
  <c r="B238" i="100"/>
  <c r="H30" i="132" s="1"/>
  <c r="B58" i="146"/>
  <c r="B239" i="100"/>
  <c r="AA56" i="146"/>
  <c r="P56" i="146"/>
  <c r="B55" i="147"/>
  <c r="B56" i="147"/>
  <c r="K34" i="132" l="1"/>
  <c r="C258" i="100"/>
  <c r="D273" i="100"/>
  <c r="J58" i="148"/>
  <c r="D255" i="100"/>
  <c r="K32" i="132" s="1"/>
  <c r="J58" i="147"/>
  <c r="B240" i="100"/>
  <c r="H31" i="132"/>
  <c r="U56" i="146"/>
  <c r="D238" i="100" s="1"/>
  <c r="K30" i="132" s="1"/>
  <c r="C238" i="100"/>
  <c r="AF56" i="146"/>
  <c r="C239" i="100"/>
  <c r="E58" i="146"/>
  <c r="D55" i="146"/>
  <c r="B56" i="151"/>
  <c r="G56" i="151" s="1"/>
  <c r="J55" i="151"/>
  <c r="H55" i="151"/>
  <c r="D55" i="151"/>
  <c r="B55" i="151"/>
  <c r="E8" i="151"/>
  <c r="E9" i="151" s="1"/>
  <c r="E10" i="151" s="1"/>
  <c r="E11" i="151" s="1"/>
  <c r="E12" i="151" s="1"/>
  <c r="E13" i="151" s="1"/>
  <c r="E14" i="151" s="1"/>
  <c r="E15" i="151" s="1"/>
  <c r="E16" i="151" s="1"/>
  <c r="E17" i="151" s="1"/>
  <c r="E18" i="151" s="1"/>
  <c r="E19" i="151" s="1"/>
  <c r="E20" i="151" s="1"/>
  <c r="E21" i="151" s="1"/>
  <c r="E22" i="151" s="1"/>
  <c r="E23" i="151" s="1"/>
  <c r="E24" i="151" s="1"/>
  <c r="E25" i="151" s="1"/>
  <c r="E26" i="151" s="1"/>
  <c r="E27" i="151" s="1"/>
  <c r="E28" i="151" s="1"/>
  <c r="E29" i="151" s="1"/>
  <c r="E30" i="151" s="1"/>
  <c r="E31" i="151" s="1"/>
  <c r="E32" i="151" s="1"/>
  <c r="E33" i="151" s="1"/>
  <c r="E34" i="151" s="1"/>
  <c r="E35" i="151" s="1"/>
  <c r="E36" i="151" s="1"/>
  <c r="E37" i="151" s="1"/>
  <c r="E38" i="151" s="1"/>
  <c r="E39" i="151" s="1"/>
  <c r="E40" i="151" s="1"/>
  <c r="E41" i="151" s="1"/>
  <c r="E42" i="151" s="1"/>
  <c r="E43" i="151" s="1"/>
  <c r="E44" i="151" s="1"/>
  <c r="E45" i="151" s="1"/>
  <c r="E46" i="151" s="1"/>
  <c r="E47" i="151" s="1"/>
  <c r="E48" i="151" s="1"/>
  <c r="E49" i="151" s="1"/>
  <c r="E50" i="151" s="1"/>
  <c r="E51" i="151" s="1"/>
  <c r="E52" i="151" s="1"/>
  <c r="E53" i="151" s="1"/>
  <c r="E54" i="151" s="1"/>
  <c r="B56" i="150"/>
  <c r="G56" i="150" s="1"/>
  <c r="J55" i="150"/>
  <c r="H55" i="150"/>
  <c r="E8" i="150"/>
  <c r="E9" i="150" s="1"/>
  <c r="E10" i="150" s="1"/>
  <c r="E11" i="150" s="1"/>
  <c r="E12" i="150" s="1"/>
  <c r="E13" i="150" s="1"/>
  <c r="E14" i="150" s="1"/>
  <c r="E15" i="150" s="1"/>
  <c r="E16" i="150" s="1"/>
  <c r="E17" i="150" s="1"/>
  <c r="E18" i="150" s="1"/>
  <c r="E19" i="150" s="1"/>
  <c r="E20" i="150" s="1"/>
  <c r="E21" i="150" s="1"/>
  <c r="E22" i="150" s="1"/>
  <c r="E23" i="150" s="1"/>
  <c r="E24" i="150" s="1"/>
  <c r="E25" i="150" s="1"/>
  <c r="E26" i="150" s="1"/>
  <c r="E27" i="150" s="1"/>
  <c r="E28" i="150" s="1"/>
  <c r="E29" i="150" s="1"/>
  <c r="E30" i="150" s="1"/>
  <c r="E31" i="150" s="1"/>
  <c r="E32" i="150" s="1"/>
  <c r="E33" i="150" s="1"/>
  <c r="E34" i="150" s="1"/>
  <c r="E35" i="150" s="1"/>
  <c r="E36" i="150" s="1"/>
  <c r="E37" i="150" s="1"/>
  <c r="E38" i="150" s="1"/>
  <c r="E39" i="150" s="1"/>
  <c r="E40" i="150" s="1"/>
  <c r="E41" i="150" s="1"/>
  <c r="E42" i="150" s="1"/>
  <c r="E43" i="150" s="1"/>
  <c r="E44" i="150" s="1"/>
  <c r="E45" i="150" s="1"/>
  <c r="E46" i="150" s="1"/>
  <c r="E47" i="150" s="1"/>
  <c r="E48" i="150" s="1"/>
  <c r="E49" i="150" s="1"/>
  <c r="E50" i="150" s="1"/>
  <c r="E51" i="150" s="1"/>
  <c r="E52" i="150" s="1"/>
  <c r="E53" i="150" s="1"/>
  <c r="E54" i="150" s="1"/>
  <c r="B56" i="149"/>
  <c r="G56" i="149" s="1"/>
  <c r="J55" i="149"/>
  <c r="B55" i="149"/>
  <c r="E8" i="149"/>
  <c r="E9" i="149" s="1"/>
  <c r="E10" i="149" s="1"/>
  <c r="E11" i="149" s="1"/>
  <c r="E12" i="149" s="1"/>
  <c r="E13" i="149" s="1"/>
  <c r="E14" i="149" s="1"/>
  <c r="E15" i="149" s="1"/>
  <c r="E16" i="149" s="1"/>
  <c r="E17" i="149" s="1"/>
  <c r="E18" i="149" s="1"/>
  <c r="E19" i="149" s="1"/>
  <c r="E20" i="149" s="1"/>
  <c r="E21" i="149" s="1"/>
  <c r="E22" i="149" s="1"/>
  <c r="E23" i="149" s="1"/>
  <c r="E24" i="149" s="1"/>
  <c r="E25" i="149" s="1"/>
  <c r="E26" i="149" s="1"/>
  <c r="E27" i="149" s="1"/>
  <c r="E28" i="149" s="1"/>
  <c r="E29" i="149" s="1"/>
  <c r="E30" i="149" s="1"/>
  <c r="E31" i="149" s="1"/>
  <c r="E32" i="149" s="1"/>
  <c r="E33" i="149" s="1"/>
  <c r="E34" i="149" s="1"/>
  <c r="E35" i="149" s="1"/>
  <c r="E36" i="149" s="1"/>
  <c r="E37" i="149" s="1"/>
  <c r="E38" i="149" s="1"/>
  <c r="E39" i="149" s="1"/>
  <c r="E40" i="149" s="1"/>
  <c r="E41" i="149" s="1"/>
  <c r="E42" i="149" s="1"/>
  <c r="E43" i="149" s="1"/>
  <c r="E44" i="149" s="1"/>
  <c r="E45" i="149" s="1"/>
  <c r="E46" i="149" s="1"/>
  <c r="E47" i="149" s="1"/>
  <c r="E48" i="149" s="1"/>
  <c r="E49" i="149" s="1"/>
  <c r="E50" i="149" s="1"/>
  <c r="E51" i="149" s="1"/>
  <c r="E52" i="149" s="1"/>
  <c r="E53" i="149" s="1"/>
  <c r="E54" i="149" s="1"/>
  <c r="B56" i="148"/>
  <c r="G56" i="148" s="1"/>
  <c r="J55" i="148"/>
  <c r="E8" i="148"/>
  <c r="E9" i="148" s="1"/>
  <c r="E10" i="148" s="1"/>
  <c r="E11" i="148" s="1"/>
  <c r="E12" i="148" s="1"/>
  <c r="E13" i="148" s="1"/>
  <c r="E14" i="148" s="1"/>
  <c r="E15" i="148" s="1"/>
  <c r="E16" i="148" s="1"/>
  <c r="E17" i="148" s="1"/>
  <c r="E18" i="148" s="1"/>
  <c r="E19" i="148" s="1"/>
  <c r="E20" i="148" s="1"/>
  <c r="E21" i="148" s="1"/>
  <c r="E22" i="148" s="1"/>
  <c r="E23" i="148" s="1"/>
  <c r="E24" i="148" s="1"/>
  <c r="E25" i="148" s="1"/>
  <c r="E26" i="148" s="1"/>
  <c r="E27" i="148" s="1"/>
  <c r="E28" i="148" s="1"/>
  <c r="E29" i="148" s="1"/>
  <c r="E30" i="148" s="1"/>
  <c r="E31" i="148" s="1"/>
  <c r="E32" i="148" s="1"/>
  <c r="E33" i="148" s="1"/>
  <c r="E34" i="148" s="1"/>
  <c r="E35" i="148" s="1"/>
  <c r="E36" i="148" s="1"/>
  <c r="E37" i="148" s="1"/>
  <c r="E38" i="148" s="1"/>
  <c r="E39" i="148" s="1"/>
  <c r="E40" i="148" s="1"/>
  <c r="E41" i="148" s="1"/>
  <c r="E42" i="148" s="1"/>
  <c r="E43" i="148" s="1"/>
  <c r="E44" i="148" s="1"/>
  <c r="E45" i="148" s="1"/>
  <c r="E46" i="148" s="1"/>
  <c r="E47" i="148" s="1"/>
  <c r="E48" i="148" s="1"/>
  <c r="E49" i="148" s="1"/>
  <c r="E50" i="148" s="1"/>
  <c r="E51" i="148" s="1"/>
  <c r="E52" i="148" s="1"/>
  <c r="E53" i="148" s="1"/>
  <c r="E54" i="148" s="1"/>
  <c r="G56" i="147"/>
  <c r="J55" i="147"/>
  <c r="H55" i="147"/>
  <c r="F55" i="147"/>
  <c r="E8" i="147"/>
  <c r="E9" i="147" s="1"/>
  <c r="E10" i="147" s="1"/>
  <c r="E11" i="147" s="1"/>
  <c r="E12" i="147" s="1"/>
  <c r="E13" i="147" s="1"/>
  <c r="E14" i="147" s="1"/>
  <c r="E15" i="147" s="1"/>
  <c r="E16" i="147" s="1"/>
  <c r="E17" i="147" s="1"/>
  <c r="E18" i="147" s="1"/>
  <c r="E19" i="147" s="1"/>
  <c r="E20" i="147" s="1"/>
  <c r="E21" i="147" s="1"/>
  <c r="E22" i="147" s="1"/>
  <c r="E23" i="147" s="1"/>
  <c r="E24" i="147" s="1"/>
  <c r="E25" i="147" s="1"/>
  <c r="E26" i="147" s="1"/>
  <c r="E27" i="147" s="1"/>
  <c r="E28" i="147" s="1"/>
  <c r="E29" i="147" s="1"/>
  <c r="E30" i="147" s="1"/>
  <c r="E31" i="147" s="1"/>
  <c r="E32" i="147" s="1"/>
  <c r="E33" i="147" s="1"/>
  <c r="E34" i="147" s="1"/>
  <c r="E35" i="147" s="1"/>
  <c r="E36" i="147" s="1"/>
  <c r="E37" i="147" s="1"/>
  <c r="E38" i="147" s="1"/>
  <c r="E39" i="147" s="1"/>
  <c r="E40" i="147" s="1"/>
  <c r="E41" i="147" s="1"/>
  <c r="E42" i="147" s="1"/>
  <c r="E43" i="147" s="1"/>
  <c r="E44" i="147" s="1"/>
  <c r="E45" i="147" s="1"/>
  <c r="E46" i="147" s="1"/>
  <c r="E47" i="147" s="1"/>
  <c r="E48" i="147" s="1"/>
  <c r="E49" i="147" s="1"/>
  <c r="E50" i="147" s="1"/>
  <c r="E51" i="147" s="1"/>
  <c r="E52" i="147" s="1"/>
  <c r="E53" i="147" s="1"/>
  <c r="E54" i="147" s="1"/>
  <c r="X56" i="145"/>
  <c r="AC56" i="145" s="1"/>
  <c r="AF55" i="145"/>
  <c r="AD55" i="145"/>
  <c r="AB55" i="145"/>
  <c r="Z55" i="145"/>
  <c r="X55" i="145"/>
  <c r="AA8" i="145"/>
  <c r="AA9" i="145" s="1"/>
  <c r="AA10" i="145" s="1"/>
  <c r="AA11" i="145" s="1"/>
  <c r="AA12" i="145" s="1"/>
  <c r="AA13" i="145" s="1"/>
  <c r="AA14" i="145" s="1"/>
  <c r="AA15" i="145" s="1"/>
  <c r="AA16" i="145" s="1"/>
  <c r="AA17" i="145" s="1"/>
  <c r="AA18" i="145" s="1"/>
  <c r="AA19" i="145" s="1"/>
  <c r="AA20" i="145" s="1"/>
  <c r="AA21" i="145" s="1"/>
  <c r="AA22" i="145" s="1"/>
  <c r="AA23" i="145" s="1"/>
  <c r="AA24" i="145" s="1"/>
  <c r="AA25" i="145" s="1"/>
  <c r="AA26" i="145" s="1"/>
  <c r="AA27" i="145" s="1"/>
  <c r="AA28" i="145" s="1"/>
  <c r="AA29" i="145" s="1"/>
  <c r="AA30" i="145" s="1"/>
  <c r="AA31" i="145" s="1"/>
  <c r="AA32" i="145" s="1"/>
  <c r="AA33" i="145" s="1"/>
  <c r="AA34" i="145" s="1"/>
  <c r="AA35" i="145" s="1"/>
  <c r="AA36" i="145" s="1"/>
  <c r="AA37" i="145" s="1"/>
  <c r="AA38" i="145" s="1"/>
  <c r="AA39" i="145" s="1"/>
  <c r="AA40" i="145" s="1"/>
  <c r="AA41" i="145" s="1"/>
  <c r="AA42" i="145" s="1"/>
  <c r="AA43" i="145" s="1"/>
  <c r="AA44" i="145" s="1"/>
  <c r="AA45" i="145" s="1"/>
  <c r="AA46" i="145" s="1"/>
  <c r="AA47" i="145" s="1"/>
  <c r="AA48" i="145" s="1"/>
  <c r="AA49" i="145" s="1"/>
  <c r="AA50" i="145" s="1"/>
  <c r="AA51" i="145" s="1"/>
  <c r="AA52" i="145" s="1"/>
  <c r="AA53" i="145" s="1"/>
  <c r="AA54" i="145" s="1"/>
  <c r="M56" i="145"/>
  <c r="R56" i="145" s="1"/>
  <c r="U55" i="145"/>
  <c r="S55" i="145"/>
  <c r="Q55" i="145"/>
  <c r="O55" i="145"/>
  <c r="M55" i="145"/>
  <c r="P8" i="145"/>
  <c r="P9" i="145" s="1"/>
  <c r="P10" i="145" s="1"/>
  <c r="P11" i="145" s="1"/>
  <c r="P12" i="145" s="1"/>
  <c r="P13" i="145" s="1"/>
  <c r="P14" i="145" s="1"/>
  <c r="P15" i="145" s="1"/>
  <c r="P16" i="145" s="1"/>
  <c r="P17" i="145" s="1"/>
  <c r="P18" i="145" s="1"/>
  <c r="P19" i="145" s="1"/>
  <c r="P20" i="145" s="1"/>
  <c r="P21" i="145" s="1"/>
  <c r="P22" i="145" s="1"/>
  <c r="P23" i="145" s="1"/>
  <c r="P24" i="145" s="1"/>
  <c r="P25" i="145" s="1"/>
  <c r="P26" i="145" s="1"/>
  <c r="P27" i="145" s="1"/>
  <c r="P28" i="145" s="1"/>
  <c r="P29" i="145" s="1"/>
  <c r="P30" i="145" s="1"/>
  <c r="P31" i="145" s="1"/>
  <c r="P32" i="145" s="1"/>
  <c r="P33" i="145" s="1"/>
  <c r="P34" i="145" s="1"/>
  <c r="P35" i="145" s="1"/>
  <c r="P36" i="145" s="1"/>
  <c r="P37" i="145" s="1"/>
  <c r="P38" i="145" s="1"/>
  <c r="P39" i="145" s="1"/>
  <c r="P40" i="145" s="1"/>
  <c r="P41" i="145" s="1"/>
  <c r="P42" i="145" s="1"/>
  <c r="P43" i="145" s="1"/>
  <c r="P44" i="145" s="1"/>
  <c r="P45" i="145" s="1"/>
  <c r="P46" i="145" s="1"/>
  <c r="P47" i="145" s="1"/>
  <c r="P48" i="145" s="1"/>
  <c r="P49" i="145" s="1"/>
  <c r="P50" i="145" s="1"/>
  <c r="P51" i="145" s="1"/>
  <c r="P52" i="145" s="1"/>
  <c r="P53" i="145" s="1"/>
  <c r="P54" i="145" s="1"/>
  <c r="X56" i="144"/>
  <c r="AC56" i="144" s="1"/>
  <c r="AF55" i="144"/>
  <c r="AD55" i="144"/>
  <c r="AB55" i="144"/>
  <c r="Z55" i="144"/>
  <c r="X55" i="144"/>
  <c r="AA8" i="144"/>
  <c r="AA9" i="144" s="1"/>
  <c r="AA10" i="144" s="1"/>
  <c r="AA11" i="144" s="1"/>
  <c r="AA12" i="144" s="1"/>
  <c r="AA13" i="144" s="1"/>
  <c r="AA14" i="144" s="1"/>
  <c r="AA15" i="144" s="1"/>
  <c r="AA16" i="144" s="1"/>
  <c r="AA17" i="144" s="1"/>
  <c r="AA18" i="144" s="1"/>
  <c r="AA19" i="144" s="1"/>
  <c r="AA20" i="144" s="1"/>
  <c r="AA21" i="144" s="1"/>
  <c r="AA22" i="144" s="1"/>
  <c r="AA23" i="144" s="1"/>
  <c r="AA24" i="144" s="1"/>
  <c r="AA25" i="144" s="1"/>
  <c r="AA26" i="144" s="1"/>
  <c r="AA27" i="144" s="1"/>
  <c r="AA28" i="144" s="1"/>
  <c r="AA29" i="144" s="1"/>
  <c r="AA30" i="144" s="1"/>
  <c r="AA31" i="144" s="1"/>
  <c r="AA32" i="144" s="1"/>
  <c r="AA33" i="144" s="1"/>
  <c r="AA34" i="144" s="1"/>
  <c r="AA35" i="144" s="1"/>
  <c r="AA36" i="144" s="1"/>
  <c r="AA37" i="144" s="1"/>
  <c r="AA38" i="144" s="1"/>
  <c r="AA39" i="144" s="1"/>
  <c r="AA40" i="144" s="1"/>
  <c r="AA41" i="144" s="1"/>
  <c r="AA42" i="144" s="1"/>
  <c r="AA43" i="144" s="1"/>
  <c r="AA44" i="144" s="1"/>
  <c r="AA45" i="144" s="1"/>
  <c r="AA46" i="144" s="1"/>
  <c r="AA47" i="144" s="1"/>
  <c r="AA48" i="144" s="1"/>
  <c r="AA49" i="144" s="1"/>
  <c r="AA50" i="144" s="1"/>
  <c r="AA51" i="144" s="1"/>
  <c r="AA52" i="144" s="1"/>
  <c r="AA53" i="144" s="1"/>
  <c r="AA54" i="144" s="1"/>
  <c r="M56" i="144"/>
  <c r="R56" i="144" s="1"/>
  <c r="U55" i="144"/>
  <c r="S55" i="144"/>
  <c r="Q55" i="144"/>
  <c r="O55" i="144"/>
  <c r="M55" i="144"/>
  <c r="P8" i="144"/>
  <c r="P9" i="144" s="1"/>
  <c r="P10" i="144" s="1"/>
  <c r="P11" i="144" s="1"/>
  <c r="P12" i="144" s="1"/>
  <c r="P13" i="144" s="1"/>
  <c r="P14" i="144" s="1"/>
  <c r="P15" i="144" s="1"/>
  <c r="P16" i="144" s="1"/>
  <c r="P17" i="144" s="1"/>
  <c r="P18" i="144" s="1"/>
  <c r="P19" i="144" s="1"/>
  <c r="P20" i="144" s="1"/>
  <c r="P21" i="144" s="1"/>
  <c r="P22" i="144" s="1"/>
  <c r="P23" i="144" s="1"/>
  <c r="P24" i="144" s="1"/>
  <c r="P25" i="144" s="1"/>
  <c r="P26" i="144" s="1"/>
  <c r="P27" i="144" s="1"/>
  <c r="P28" i="144" s="1"/>
  <c r="P29" i="144" s="1"/>
  <c r="P30" i="144" s="1"/>
  <c r="P31" i="144" s="1"/>
  <c r="P32" i="144" s="1"/>
  <c r="P33" i="144" s="1"/>
  <c r="P34" i="144" s="1"/>
  <c r="P35" i="144" s="1"/>
  <c r="P36" i="144" s="1"/>
  <c r="P37" i="144" s="1"/>
  <c r="P38" i="144" s="1"/>
  <c r="P39" i="144" s="1"/>
  <c r="P40" i="144" s="1"/>
  <c r="P41" i="144" s="1"/>
  <c r="P42" i="144" s="1"/>
  <c r="P43" i="144" s="1"/>
  <c r="P44" i="144" s="1"/>
  <c r="P45" i="144" s="1"/>
  <c r="P46" i="144" s="1"/>
  <c r="P47" i="144" s="1"/>
  <c r="P48" i="144" s="1"/>
  <c r="P49" i="144" s="1"/>
  <c r="P50" i="144" s="1"/>
  <c r="P51" i="144" s="1"/>
  <c r="P52" i="144" s="1"/>
  <c r="P53" i="144" s="1"/>
  <c r="P54" i="144" s="1"/>
  <c r="F55" i="145"/>
  <c r="K35" i="132" l="1"/>
  <c r="D275" i="100"/>
  <c r="D258" i="100"/>
  <c r="E56" i="150"/>
  <c r="F39" i="132" s="1"/>
  <c r="E35" i="132"/>
  <c r="C240" i="100"/>
  <c r="B223" i="100"/>
  <c r="H29" i="132" s="1"/>
  <c r="E37" i="132"/>
  <c r="D239" i="100"/>
  <c r="J58" i="146"/>
  <c r="B207" i="100"/>
  <c r="H27" i="132" s="1"/>
  <c r="B58" i="144"/>
  <c r="E56" i="149"/>
  <c r="E32" i="132"/>
  <c r="E56" i="148"/>
  <c r="E39" i="132"/>
  <c r="B206" i="100"/>
  <c r="B58" i="145"/>
  <c r="B222" i="100"/>
  <c r="E56" i="147"/>
  <c r="E56" i="151"/>
  <c r="F41" i="132" s="1"/>
  <c r="E41" i="132"/>
  <c r="AA56" i="145"/>
  <c r="P56" i="145"/>
  <c r="AA56" i="144"/>
  <c r="P56" i="144"/>
  <c r="D55" i="145"/>
  <c r="J56" i="150" l="1"/>
  <c r="G39" i="132" s="1"/>
  <c r="D240" i="100"/>
  <c r="K31" i="132"/>
  <c r="U56" i="145"/>
  <c r="C222" i="100"/>
  <c r="E58" i="145"/>
  <c r="AF56" i="145"/>
  <c r="D223" i="100" s="1"/>
  <c r="K29" i="132" s="1"/>
  <c r="C223" i="100"/>
  <c r="J56" i="149"/>
  <c r="G37" i="132" s="1"/>
  <c r="F37" i="132"/>
  <c r="H26" i="132"/>
  <c r="B208" i="100"/>
  <c r="U56" i="144"/>
  <c r="E58" i="144"/>
  <c r="C206" i="100"/>
  <c r="J56" i="147"/>
  <c r="G32" i="132" s="1"/>
  <c r="F32" i="132"/>
  <c r="AF56" i="144"/>
  <c r="D207" i="100" s="1"/>
  <c r="K27" i="132" s="1"/>
  <c r="C207" i="100"/>
  <c r="J56" i="151"/>
  <c r="G41" i="132" s="1"/>
  <c r="H28" i="132"/>
  <c r="B224" i="100"/>
  <c r="J56" i="148"/>
  <c r="G35" i="132" s="1"/>
  <c r="F35" i="132"/>
  <c r="B56" i="144"/>
  <c r="B55" i="144"/>
  <c r="D55" i="144"/>
  <c r="X56" i="139"/>
  <c r="AC56" i="139" s="1"/>
  <c r="AF55" i="139"/>
  <c r="AD55" i="139"/>
  <c r="AB55" i="139"/>
  <c r="Z55" i="139"/>
  <c r="X55" i="139"/>
  <c r="AA8" i="139"/>
  <c r="AA9" i="139" s="1"/>
  <c r="AA10" i="139" s="1"/>
  <c r="AA11" i="139" s="1"/>
  <c r="AA12" i="139" s="1"/>
  <c r="AA13" i="139" s="1"/>
  <c r="AA14" i="139" s="1"/>
  <c r="AA15" i="139" s="1"/>
  <c r="AA16" i="139" s="1"/>
  <c r="AA17" i="139" s="1"/>
  <c r="AA18" i="139" s="1"/>
  <c r="AA19" i="139" s="1"/>
  <c r="AA20" i="139" s="1"/>
  <c r="AA21" i="139" s="1"/>
  <c r="AA22" i="139" s="1"/>
  <c r="AA23" i="139" s="1"/>
  <c r="AA24" i="139" s="1"/>
  <c r="AA25" i="139" s="1"/>
  <c r="AA26" i="139" s="1"/>
  <c r="AA27" i="139" s="1"/>
  <c r="AA28" i="139" s="1"/>
  <c r="AA29" i="139" s="1"/>
  <c r="AA30" i="139" s="1"/>
  <c r="AA31" i="139" s="1"/>
  <c r="AA32" i="139" s="1"/>
  <c r="AA33" i="139" s="1"/>
  <c r="AA34" i="139" s="1"/>
  <c r="AA35" i="139" s="1"/>
  <c r="AA36" i="139" s="1"/>
  <c r="AA37" i="139" s="1"/>
  <c r="AA38" i="139" s="1"/>
  <c r="AA39" i="139" s="1"/>
  <c r="AA40" i="139" s="1"/>
  <c r="AA41" i="139" s="1"/>
  <c r="AA42" i="139" s="1"/>
  <c r="AA43" i="139" s="1"/>
  <c r="AA44" i="139" s="1"/>
  <c r="AA45" i="139" s="1"/>
  <c r="AA46" i="139" s="1"/>
  <c r="AA47" i="139" s="1"/>
  <c r="AA48" i="139" s="1"/>
  <c r="AA49" i="139" s="1"/>
  <c r="AA50" i="139" s="1"/>
  <c r="AA51" i="139" s="1"/>
  <c r="AA52" i="139" s="1"/>
  <c r="AA53" i="139" s="1"/>
  <c r="AA54" i="139" s="1"/>
  <c r="X56" i="143"/>
  <c r="AC56" i="143" s="1"/>
  <c r="AF55" i="143"/>
  <c r="AD55" i="143"/>
  <c r="AB55" i="143"/>
  <c r="Z55" i="143"/>
  <c r="X55" i="143"/>
  <c r="AA8" i="143"/>
  <c r="AA9" i="143" s="1"/>
  <c r="AA10" i="143" s="1"/>
  <c r="AA11" i="143" s="1"/>
  <c r="AA12" i="143" s="1"/>
  <c r="AA13" i="143" s="1"/>
  <c r="AA14" i="143" s="1"/>
  <c r="AA15" i="143" s="1"/>
  <c r="AA16" i="143" s="1"/>
  <c r="AA17" i="143" s="1"/>
  <c r="AA18" i="143" s="1"/>
  <c r="AA19" i="143" s="1"/>
  <c r="AA20" i="143" s="1"/>
  <c r="AA21" i="143" s="1"/>
  <c r="AA22" i="143" s="1"/>
  <c r="AA23" i="143" s="1"/>
  <c r="AA24" i="143" s="1"/>
  <c r="AA25" i="143" s="1"/>
  <c r="AA26" i="143" s="1"/>
  <c r="AA27" i="143" s="1"/>
  <c r="AA28" i="143" s="1"/>
  <c r="AA29" i="143" s="1"/>
  <c r="AA30" i="143" s="1"/>
  <c r="AA31" i="143" s="1"/>
  <c r="AA32" i="143" s="1"/>
  <c r="AA33" i="143" s="1"/>
  <c r="AA34" i="143" s="1"/>
  <c r="AA35" i="143" s="1"/>
  <c r="AA36" i="143" s="1"/>
  <c r="AA37" i="143" s="1"/>
  <c r="AA38" i="143" s="1"/>
  <c r="AA39" i="143" s="1"/>
  <c r="AA40" i="143" s="1"/>
  <c r="AA41" i="143" s="1"/>
  <c r="AA42" i="143" s="1"/>
  <c r="AA43" i="143" s="1"/>
  <c r="AA44" i="143" s="1"/>
  <c r="AA45" i="143" s="1"/>
  <c r="AA46" i="143" s="1"/>
  <c r="AA47" i="143" s="1"/>
  <c r="AA48" i="143" s="1"/>
  <c r="AA49" i="143" s="1"/>
  <c r="AA50" i="143" s="1"/>
  <c r="AA51" i="143" s="1"/>
  <c r="AA52" i="143" s="1"/>
  <c r="AA53" i="143" s="1"/>
  <c r="AA54" i="143" s="1"/>
  <c r="M56" i="143"/>
  <c r="U55" i="143"/>
  <c r="S55" i="143"/>
  <c r="Q55" i="143"/>
  <c r="O55" i="143"/>
  <c r="M55" i="143"/>
  <c r="P8" i="143"/>
  <c r="P9" i="143" s="1"/>
  <c r="P10" i="143" s="1"/>
  <c r="P11" i="143" s="1"/>
  <c r="P12" i="143" s="1"/>
  <c r="P13" i="143" s="1"/>
  <c r="P14" i="143" s="1"/>
  <c r="P15" i="143" s="1"/>
  <c r="P16" i="143" s="1"/>
  <c r="P17" i="143" s="1"/>
  <c r="P18" i="143" s="1"/>
  <c r="P19" i="143" s="1"/>
  <c r="P20" i="143" s="1"/>
  <c r="P21" i="143" s="1"/>
  <c r="P22" i="143" s="1"/>
  <c r="P23" i="143" s="1"/>
  <c r="P24" i="143" s="1"/>
  <c r="P25" i="143" s="1"/>
  <c r="P26" i="143" s="1"/>
  <c r="P27" i="143" s="1"/>
  <c r="P28" i="143" s="1"/>
  <c r="P29" i="143" s="1"/>
  <c r="P30" i="143" s="1"/>
  <c r="P31" i="143" s="1"/>
  <c r="P32" i="143" s="1"/>
  <c r="P33" i="143" s="1"/>
  <c r="P34" i="143" s="1"/>
  <c r="P35" i="143" s="1"/>
  <c r="P36" i="143" s="1"/>
  <c r="P37" i="143" s="1"/>
  <c r="P38" i="143" s="1"/>
  <c r="P39" i="143" s="1"/>
  <c r="P40" i="143" s="1"/>
  <c r="P41" i="143" s="1"/>
  <c r="P42" i="143" s="1"/>
  <c r="P43" i="143" s="1"/>
  <c r="P44" i="143" s="1"/>
  <c r="P45" i="143" s="1"/>
  <c r="P46" i="143" s="1"/>
  <c r="P47" i="143" s="1"/>
  <c r="P48" i="143" s="1"/>
  <c r="P49" i="143" s="1"/>
  <c r="P50" i="143" s="1"/>
  <c r="P51" i="143" s="1"/>
  <c r="P52" i="143" s="1"/>
  <c r="P53" i="143" s="1"/>
  <c r="P54" i="143" s="1"/>
  <c r="X56" i="142"/>
  <c r="AC56" i="142" s="1"/>
  <c r="AF55" i="142"/>
  <c r="AD55" i="142"/>
  <c r="AB55" i="142"/>
  <c r="Z55" i="142"/>
  <c r="X55" i="142"/>
  <c r="AA8" i="142"/>
  <c r="AA9" i="142" s="1"/>
  <c r="AA10" i="142" s="1"/>
  <c r="AA11" i="142" s="1"/>
  <c r="AA12" i="142" s="1"/>
  <c r="AA13" i="142" s="1"/>
  <c r="AA14" i="142" s="1"/>
  <c r="AA15" i="142" s="1"/>
  <c r="AA16" i="142" s="1"/>
  <c r="AA17" i="142" s="1"/>
  <c r="AA18" i="142" s="1"/>
  <c r="AA19" i="142" s="1"/>
  <c r="AA20" i="142" s="1"/>
  <c r="AA21" i="142" s="1"/>
  <c r="AA22" i="142" s="1"/>
  <c r="AA23" i="142" s="1"/>
  <c r="AA24" i="142" s="1"/>
  <c r="AA25" i="142" s="1"/>
  <c r="AA26" i="142" s="1"/>
  <c r="AA27" i="142" s="1"/>
  <c r="AA28" i="142" s="1"/>
  <c r="AA29" i="142" s="1"/>
  <c r="AA30" i="142" s="1"/>
  <c r="AA31" i="142" s="1"/>
  <c r="AA32" i="142" s="1"/>
  <c r="AA33" i="142" s="1"/>
  <c r="AA34" i="142" s="1"/>
  <c r="AA35" i="142" s="1"/>
  <c r="AA36" i="142" s="1"/>
  <c r="AA37" i="142" s="1"/>
  <c r="AA38" i="142" s="1"/>
  <c r="AA39" i="142" s="1"/>
  <c r="AA40" i="142" s="1"/>
  <c r="AA41" i="142" s="1"/>
  <c r="AA42" i="142" s="1"/>
  <c r="AA43" i="142" s="1"/>
  <c r="AA44" i="142" s="1"/>
  <c r="AA45" i="142" s="1"/>
  <c r="AA46" i="142" s="1"/>
  <c r="AA47" i="142" s="1"/>
  <c r="AA48" i="142" s="1"/>
  <c r="AA49" i="142" s="1"/>
  <c r="AA50" i="142" s="1"/>
  <c r="AA51" i="142" s="1"/>
  <c r="AA52" i="142" s="1"/>
  <c r="AA53" i="142" s="1"/>
  <c r="AA54" i="142" s="1"/>
  <c r="M56" i="142"/>
  <c r="R56" i="142" s="1"/>
  <c r="U55" i="142"/>
  <c r="S55" i="142"/>
  <c r="Q55" i="142"/>
  <c r="O55" i="142"/>
  <c r="M55" i="142"/>
  <c r="P8" i="142"/>
  <c r="P9" i="142" s="1"/>
  <c r="P10" i="142" s="1"/>
  <c r="P11" i="142" s="1"/>
  <c r="P12" i="142" s="1"/>
  <c r="P13" i="142" s="1"/>
  <c r="P14" i="142" s="1"/>
  <c r="P15" i="142" s="1"/>
  <c r="P16" i="142" s="1"/>
  <c r="P17" i="142" s="1"/>
  <c r="P18" i="142" s="1"/>
  <c r="P19" i="142" s="1"/>
  <c r="P20" i="142" s="1"/>
  <c r="P21" i="142" s="1"/>
  <c r="P22" i="142" s="1"/>
  <c r="P23" i="142" s="1"/>
  <c r="P24" i="142" s="1"/>
  <c r="P25" i="142" s="1"/>
  <c r="P26" i="142" s="1"/>
  <c r="P27" i="142" s="1"/>
  <c r="P28" i="142" s="1"/>
  <c r="P29" i="142" s="1"/>
  <c r="P30" i="142" s="1"/>
  <c r="P31" i="142" s="1"/>
  <c r="P32" i="142" s="1"/>
  <c r="P33" i="142" s="1"/>
  <c r="P34" i="142" s="1"/>
  <c r="P35" i="142" s="1"/>
  <c r="P36" i="142" s="1"/>
  <c r="P37" i="142" s="1"/>
  <c r="P38" i="142" s="1"/>
  <c r="P39" i="142" s="1"/>
  <c r="P40" i="142" s="1"/>
  <c r="P41" i="142" s="1"/>
  <c r="P42" i="142" s="1"/>
  <c r="P43" i="142" s="1"/>
  <c r="P44" i="142" s="1"/>
  <c r="P45" i="142" s="1"/>
  <c r="P46" i="142" s="1"/>
  <c r="P47" i="142" s="1"/>
  <c r="P48" i="142" s="1"/>
  <c r="P49" i="142" s="1"/>
  <c r="P50" i="142" s="1"/>
  <c r="P51" i="142" s="1"/>
  <c r="P52" i="142" s="1"/>
  <c r="P53" i="142" s="1"/>
  <c r="P54" i="142" s="1"/>
  <c r="X56" i="141"/>
  <c r="AC56" i="141" s="1"/>
  <c r="AF55" i="141"/>
  <c r="AD55" i="141"/>
  <c r="AB55" i="141"/>
  <c r="Z55" i="141"/>
  <c r="X55" i="141"/>
  <c r="AA8" i="141"/>
  <c r="AA9" i="141" s="1"/>
  <c r="AA10" i="141" s="1"/>
  <c r="AA11" i="141" s="1"/>
  <c r="AA12" i="141" s="1"/>
  <c r="AA13" i="141" s="1"/>
  <c r="AA14" i="141" s="1"/>
  <c r="AA15" i="141" s="1"/>
  <c r="AA16" i="141" s="1"/>
  <c r="AA17" i="141" s="1"/>
  <c r="AA18" i="141" s="1"/>
  <c r="AA19" i="141" s="1"/>
  <c r="AA20" i="141" s="1"/>
  <c r="AA21" i="141" s="1"/>
  <c r="AA22" i="141" s="1"/>
  <c r="AA23" i="141" s="1"/>
  <c r="AA24" i="141" s="1"/>
  <c r="AA25" i="141" s="1"/>
  <c r="AA26" i="141" s="1"/>
  <c r="AA27" i="141" s="1"/>
  <c r="AA28" i="141" s="1"/>
  <c r="AA29" i="141" s="1"/>
  <c r="AA30" i="141" s="1"/>
  <c r="AA31" i="141" s="1"/>
  <c r="AA32" i="141" s="1"/>
  <c r="AA33" i="141" s="1"/>
  <c r="AA34" i="141" s="1"/>
  <c r="AA35" i="141" s="1"/>
  <c r="AA36" i="141" s="1"/>
  <c r="AA37" i="141" s="1"/>
  <c r="AA38" i="141" s="1"/>
  <c r="AA39" i="141" s="1"/>
  <c r="AA40" i="141" s="1"/>
  <c r="AA41" i="141" s="1"/>
  <c r="AA42" i="141" s="1"/>
  <c r="AA43" i="141" s="1"/>
  <c r="AA44" i="141" s="1"/>
  <c r="AA45" i="141" s="1"/>
  <c r="AA46" i="141" s="1"/>
  <c r="AA47" i="141" s="1"/>
  <c r="AA48" i="141" s="1"/>
  <c r="AA49" i="141" s="1"/>
  <c r="AA50" i="141" s="1"/>
  <c r="AA51" i="141" s="1"/>
  <c r="AA52" i="141" s="1"/>
  <c r="AA53" i="141" s="1"/>
  <c r="AA54" i="141" s="1"/>
  <c r="M56" i="141"/>
  <c r="R56" i="141" s="1"/>
  <c r="U55" i="141"/>
  <c r="S55" i="141"/>
  <c r="Q55" i="141"/>
  <c r="O55" i="141"/>
  <c r="M55" i="141"/>
  <c r="P8" i="141"/>
  <c r="P9" i="141" s="1"/>
  <c r="P10" i="141" s="1"/>
  <c r="P11" i="141" s="1"/>
  <c r="P12" i="141" s="1"/>
  <c r="P13" i="141" s="1"/>
  <c r="P14" i="141" s="1"/>
  <c r="P15" i="141" s="1"/>
  <c r="P16" i="141" s="1"/>
  <c r="P17" i="141" s="1"/>
  <c r="P18" i="141" s="1"/>
  <c r="P19" i="141" s="1"/>
  <c r="P20" i="141" s="1"/>
  <c r="P21" i="141" s="1"/>
  <c r="P22" i="141" s="1"/>
  <c r="P23" i="141" s="1"/>
  <c r="P24" i="141" s="1"/>
  <c r="P25" i="141" s="1"/>
  <c r="P26" i="141" s="1"/>
  <c r="P27" i="141" s="1"/>
  <c r="P28" i="141" s="1"/>
  <c r="P29" i="141" s="1"/>
  <c r="P30" i="141" s="1"/>
  <c r="P31" i="141" s="1"/>
  <c r="P32" i="141" s="1"/>
  <c r="P33" i="141" s="1"/>
  <c r="P34" i="141" s="1"/>
  <c r="P35" i="141" s="1"/>
  <c r="P36" i="141" s="1"/>
  <c r="P37" i="141" s="1"/>
  <c r="P38" i="141" s="1"/>
  <c r="P39" i="141" s="1"/>
  <c r="P40" i="141" s="1"/>
  <c r="P41" i="141" s="1"/>
  <c r="P42" i="141" s="1"/>
  <c r="P43" i="141" s="1"/>
  <c r="P44" i="141" s="1"/>
  <c r="P45" i="141" s="1"/>
  <c r="P46" i="141" s="1"/>
  <c r="P47" i="141" s="1"/>
  <c r="P48" i="141" s="1"/>
  <c r="P49" i="141" s="1"/>
  <c r="P50" i="141" s="1"/>
  <c r="P51" i="141" s="1"/>
  <c r="P52" i="141" s="1"/>
  <c r="P53" i="141" s="1"/>
  <c r="P54" i="141" s="1"/>
  <c r="C224" i="100" l="1"/>
  <c r="C208" i="100"/>
  <c r="D206" i="100"/>
  <c r="J58" i="144"/>
  <c r="J58" i="145"/>
  <c r="D222" i="100"/>
  <c r="B156" i="100"/>
  <c r="B122" i="100"/>
  <c r="R56" i="143"/>
  <c r="B60" i="143"/>
  <c r="B155" i="100"/>
  <c r="B157" i="100" s="1"/>
  <c r="B172" i="100"/>
  <c r="B190" i="100"/>
  <c r="H25" i="132" s="1"/>
  <c r="B61" i="141"/>
  <c r="B61" i="142"/>
  <c r="B171" i="100"/>
  <c r="B189" i="100"/>
  <c r="H24" i="132" s="1"/>
  <c r="AA56" i="139"/>
  <c r="C122" i="100" s="1"/>
  <c r="AA56" i="143"/>
  <c r="C190" i="100" s="1"/>
  <c r="P56" i="143"/>
  <c r="AA56" i="142"/>
  <c r="C172" i="100" s="1"/>
  <c r="P56" i="142"/>
  <c r="AA56" i="141"/>
  <c r="C156" i="100" s="1"/>
  <c r="P56" i="141"/>
  <c r="D55" i="143"/>
  <c r="B55" i="143"/>
  <c r="B56" i="143"/>
  <c r="K26" i="132" l="1"/>
  <c r="D208" i="100"/>
  <c r="D224" i="100"/>
  <c r="K28" i="132"/>
  <c r="AF56" i="142"/>
  <c r="D172" i="100" s="1"/>
  <c r="AF56" i="139"/>
  <c r="D122" i="100" s="1"/>
  <c r="E60" i="143"/>
  <c r="B173" i="100"/>
  <c r="B191" i="100"/>
  <c r="AF56" i="143"/>
  <c r="D190" i="100" s="1"/>
  <c r="K25" i="132" s="1"/>
  <c r="U56" i="141"/>
  <c r="C155" i="100"/>
  <c r="C157" i="100" s="1"/>
  <c r="E61" i="141"/>
  <c r="U56" i="142"/>
  <c r="C171" i="100"/>
  <c r="C173" i="100" s="1"/>
  <c r="E61" i="142"/>
  <c r="U56" i="143"/>
  <c r="C189" i="100"/>
  <c r="C191" i="100" s="1"/>
  <c r="AF56" i="141"/>
  <c r="D156" i="100" s="1"/>
  <c r="F55" i="141"/>
  <c r="B55" i="141"/>
  <c r="X56" i="140"/>
  <c r="AC56" i="140" s="1"/>
  <c r="AF55" i="140"/>
  <c r="AD55" i="140"/>
  <c r="AB55" i="140"/>
  <c r="Z55" i="140"/>
  <c r="X55" i="140"/>
  <c r="AA8" i="140"/>
  <c r="AA9" i="140" s="1"/>
  <c r="AA10" i="140" s="1"/>
  <c r="AA11" i="140" s="1"/>
  <c r="AA12" i="140" s="1"/>
  <c r="AA13" i="140" s="1"/>
  <c r="AA14" i="140" s="1"/>
  <c r="AA15" i="140" s="1"/>
  <c r="AA16" i="140" s="1"/>
  <c r="AA17" i="140" s="1"/>
  <c r="AA18" i="140" s="1"/>
  <c r="AA19" i="140" s="1"/>
  <c r="AA20" i="140" s="1"/>
  <c r="AA21" i="140" s="1"/>
  <c r="AA22" i="140" s="1"/>
  <c r="AA23" i="140" s="1"/>
  <c r="AA24" i="140" s="1"/>
  <c r="AA25" i="140" s="1"/>
  <c r="AA26" i="140" s="1"/>
  <c r="AA27" i="140" s="1"/>
  <c r="AA28" i="140" s="1"/>
  <c r="AA29" i="140" s="1"/>
  <c r="AA30" i="140" s="1"/>
  <c r="AA31" i="140" s="1"/>
  <c r="AA32" i="140" s="1"/>
  <c r="AA33" i="140" s="1"/>
  <c r="AA34" i="140" s="1"/>
  <c r="AA35" i="140" s="1"/>
  <c r="AA36" i="140" s="1"/>
  <c r="AA37" i="140" s="1"/>
  <c r="AA38" i="140" s="1"/>
  <c r="AA39" i="140" s="1"/>
  <c r="AA40" i="140" s="1"/>
  <c r="AA41" i="140" s="1"/>
  <c r="AA42" i="140" s="1"/>
  <c r="AA43" i="140" s="1"/>
  <c r="AA44" i="140" s="1"/>
  <c r="AA45" i="140" s="1"/>
  <c r="AA46" i="140" s="1"/>
  <c r="AA47" i="140" s="1"/>
  <c r="AA48" i="140" s="1"/>
  <c r="AA49" i="140" s="1"/>
  <c r="AA50" i="140" s="1"/>
  <c r="AA51" i="140" s="1"/>
  <c r="AA52" i="140" s="1"/>
  <c r="AA53" i="140" s="1"/>
  <c r="AA54" i="140" s="1"/>
  <c r="M56" i="140"/>
  <c r="R56" i="140" s="1"/>
  <c r="U55" i="140"/>
  <c r="S55" i="140"/>
  <c r="Q55" i="140"/>
  <c r="O55" i="140"/>
  <c r="M55" i="140"/>
  <c r="P8" i="140"/>
  <c r="P9" i="140" s="1"/>
  <c r="P10" i="140" s="1"/>
  <c r="P11" i="140" s="1"/>
  <c r="P12" i="140" s="1"/>
  <c r="P13" i="140" s="1"/>
  <c r="P14" i="140" s="1"/>
  <c r="P15" i="140" s="1"/>
  <c r="P16" i="140" s="1"/>
  <c r="P17" i="140" s="1"/>
  <c r="P18" i="140" s="1"/>
  <c r="P19" i="140" s="1"/>
  <c r="P20" i="140" s="1"/>
  <c r="P21" i="140" s="1"/>
  <c r="P22" i="140" s="1"/>
  <c r="P23" i="140" s="1"/>
  <c r="P24" i="140" s="1"/>
  <c r="P25" i="140" s="1"/>
  <c r="P26" i="140" s="1"/>
  <c r="P27" i="140" s="1"/>
  <c r="P28" i="140" s="1"/>
  <c r="P29" i="140" s="1"/>
  <c r="P30" i="140" s="1"/>
  <c r="P31" i="140" s="1"/>
  <c r="P32" i="140" s="1"/>
  <c r="P33" i="140" s="1"/>
  <c r="P34" i="140" s="1"/>
  <c r="P35" i="140" s="1"/>
  <c r="P36" i="140" s="1"/>
  <c r="P37" i="140" s="1"/>
  <c r="P38" i="140" s="1"/>
  <c r="P39" i="140" s="1"/>
  <c r="P40" i="140" s="1"/>
  <c r="P41" i="140" s="1"/>
  <c r="P42" i="140" s="1"/>
  <c r="P43" i="140" s="1"/>
  <c r="P44" i="140" s="1"/>
  <c r="P45" i="140" s="1"/>
  <c r="P46" i="140" s="1"/>
  <c r="P47" i="140" s="1"/>
  <c r="P48" i="140" s="1"/>
  <c r="P49" i="140" s="1"/>
  <c r="P50" i="140" s="1"/>
  <c r="P51" i="140" s="1"/>
  <c r="P52" i="140" s="1"/>
  <c r="P53" i="140" s="1"/>
  <c r="P54" i="140" s="1"/>
  <c r="J60" i="143" l="1"/>
  <c r="D171" i="100"/>
  <c r="D173" i="100" s="1"/>
  <c r="J61" i="142"/>
  <c r="D189" i="100"/>
  <c r="D155" i="100"/>
  <c r="D157" i="100" s="1"/>
  <c r="J61" i="141"/>
  <c r="B58" i="140"/>
  <c r="B138" i="100"/>
  <c r="H18" i="132" s="1"/>
  <c r="B139" i="100"/>
  <c r="AA56" i="140"/>
  <c r="C139" i="100" s="1"/>
  <c r="P56" i="140"/>
  <c r="D55" i="140"/>
  <c r="B55" i="140"/>
  <c r="B56" i="140"/>
  <c r="M56" i="139"/>
  <c r="R56" i="139" s="1"/>
  <c r="U55" i="139"/>
  <c r="S55" i="139"/>
  <c r="Q55" i="139"/>
  <c r="O55" i="139"/>
  <c r="M55" i="139"/>
  <c r="P8" i="139"/>
  <c r="P9" i="139" s="1"/>
  <c r="P10" i="139" s="1"/>
  <c r="P11" i="139" s="1"/>
  <c r="P12" i="139" s="1"/>
  <c r="P13" i="139" s="1"/>
  <c r="P14" i="139" s="1"/>
  <c r="P15" i="139" s="1"/>
  <c r="P16" i="139" s="1"/>
  <c r="P17" i="139" s="1"/>
  <c r="P18" i="139" s="1"/>
  <c r="P19" i="139" s="1"/>
  <c r="P20" i="139" s="1"/>
  <c r="P21" i="139" s="1"/>
  <c r="P22" i="139" s="1"/>
  <c r="P23" i="139" s="1"/>
  <c r="P24" i="139" s="1"/>
  <c r="P25" i="139" s="1"/>
  <c r="P26" i="139" s="1"/>
  <c r="P27" i="139" s="1"/>
  <c r="P28" i="139" s="1"/>
  <c r="P29" i="139" s="1"/>
  <c r="P30" i="139" s="1"/>
  <c r="P31" i="139" s="1"/>
  <c r="P32" i="139" s="1"/>
  <c r="P33" i="139" s="1"/>
  <c r="P34" i="139" s="1"/>
  <c r="P35" i="139" s="1"/>
  <c r="P36" i="139" s="1"/>
  <c r="P37" i="139" s="1"/>
  <c r="P38" i="139" s="1"/>
  <c r="P39" i="139" s="1"/>
  <c r="P40" i="139" s="1"/>
  <c r="P41" i="139" s="1"/>
  <c r="P42" i="139" s="1"/>
  <c r="P43" i="139" s="1"/>
  <c r="P44" i="139" s="1"/>
  <c r="P45" i="139" s="1"/>
  <c r="P46" i="139" s="1"/>
  <c r="P47" i="139" s="1"/>
  <c r="P48" i="139" s="1"/>
  <c r="P49" i="139" s="1"/>
  <c r="P50" i="139" s="1"/>
  <c r="P51" i="139" s="1"/>
  <c r="P52" i="139" s="1"/>
  <c r="P53" i="139" s="1"/>
  <c r="P54" i="139" s="1"/>
  <c r="D191" i="100" l="1"/>
  <c r="K24" i="132"/>
  <c r="B140" i="100"/>
  <c r="H19" i="132"/>
  <c r="U56" i="140"/>
  <c r="C138" i="100"/>
  <c r="C140" i="100" s="1"/>
  <c r="E58" i="140"/>
  <c r="AF56" i="140"/>
  <c r="D139" i="100" s="1"/>
  <c r="K19" i="132" s="1"/>
  <c r="P56" i="139"/>
  <c r="C121" i="100" s="1"/>
  <c r="C123" i="100" s="1"/>
  <c r="B121" i="100"/>
  <c r="AT56" i="138"/>
  <c r="AY56" i="138" s="1"/>
  <c r="BB55" i="138"/>
  <c r="AZ55" i="138"/>
  <c r="AX55" i="138"/>
  <c r="AV55" i="138"/>
  <c r="AT55" i="138"/>
  <c r="AW8" i="138"/>
  <c r="AW9" i="138" s="1"/>
  <c r="AW10" i="138" s="1"/>
  <c r="AW11" i="138" s="1"/>
  <c r="AW12" i="138" s="1"/>
  <c r="AW13" i="138" s="1"/>
  <c r="AW14" i="138" s="1"/>
  <c r="AW15" i="138" s="1"/>
  <c r="AW16" i="138" s="1"/>
  <c r="AW17" i="138" s="1"/>
  <c r="AW18" i="138" s="1"/>
  <c r="AW19" i="138" s="1"/>
  <c r="AW20" i="138" s="1"/>
  <c r="AW21" i="138" s="1"/>
  <c r="AW22" i="138" s="1"/>
  <c r="AW23" i="138" s="1"/>
  <c r="AW24" i="138" s="1"/>
  <c r="AW25" i="138" s="1"/>
  <c r="AW26" i="138" s="1"/>
  <c r="AW27" i="138" s="1"/>
  <c r="AW28" i="138" s="1"/>
  <c r="AW29" i="138" s="1"/>
  <c r="AW30" i="138" s="1"/>
  <c r="AW31" i="138" s="1"/>
  <c r="AW32" i="138" s="1"/>
  <c r="AW33" i="138" s="1"/>
  <c r="AW34" i="138" s="1"/>
  <c r="AW35" i="138" s="1"/>
  <c r="AW36" i="138" s="1"/>
  <c r="AW37" i="138" s="1"/>
  <c r="AW38" i="138" s="1"/>
  <c r="AW39" i="138" s="1"/>
  <c r="AW40" i="138" s="1"/>
  <c r="AW41" i="138" s="1"/>
  <c r="AW42" i="138" s="1"/>
  <c r="AW43" i="138" s="1"/>
  <c r="AW44" i="138" s="1"/>
  <c r="AW45" i="138" s="1"/>
  <c r="AW46" i="138" s="1"/>
  <c r="AW47" i="138" s="1"/>
  <c r="AW48" i="138" s="1"/>
  <c r="AW49" i="138" s="1"/>
  <c r="AW50" i="138" s="1"/>
  <c r="AW51" i="138" s="1"/>
  <c r="AW52" i="138" s="1"/>
  <c r="AW53" i="138" s="1"/>
  <c r="AW54" i="138" s="1"/>
  <c r="AT56" i="133"/>
  <c r="AY56" i="133" s="1"/>
  <c r="BB55" i="133"/>
  <c r="AZ55" i="133"/>
  <c r="AX55" i="133"/>
  <c r="AV55" i="133"/>
  <c r="AT55" i="133"/>
  <c r="AW8" i="133"/>
  <c r="AW9" i="133" s="1"/>
  <c r="AW10" i="133" s="1"/>
  <c r="AW11" i="133" s="1"/>
  <c r="AW12" i="133" s="1"/>
  <c r="AW13" i="133" s="1"/>
  <c r="AW14" i="133" s="1"/>
  <c r="AW15" i="133" s="1"/>
  <c r="AW16" i="133" s="1"/>
  <c r="AW17" i="133" s="1"/>
  <c r="AW18" i="133" s="1"/>
  <c r="AW19" i="133" s="1"/>
  <c r="AW20" i="133" s="1"/>
  <c r="AW21" i="133" s="1"/>
  <c r="AW22" i="133" s="1"/>
  <c r="AW23" i="133" s="1"/>
  <c r="AW24" i="133" s="1"/>
  <c r="AW25" i="133" s="1"/>
  <c r="AW26" i="133" s="1"/>
  <c r="AW27" i="133" s="1"/>
  <c r="AW28" i="133" s="1"/>
  <c r="AW29" i="133" s="1"/>
  <c r="AW30" i="133" s="1"/>
  <c r="AW31" i="133" s="1"/>
  <c r="AW32" i="133" s="1"/>
  <c r="AW33" i="133" s="1"/>
  <c r="AW34" i="133" s="1"/>
  <c r="AW35" i="133" s="1"/>
  <c r="AW36" i="133" s="1"/>
  <c r="AW37" i="133" s="1"/>
  <c r="AW38" i="133" s="1"/>
  <c r="AW39" i="133" s="1"/>
  <c r="AW40" i="133" s="1"/>
  <c r="AW41" i="133" s="1"/>
  <c r="AW42" i="133" s="1"/>
  <c r="AW43" i="133" s="1"/>
  <c r="AW44" i="133" s="1"/>
  <c r="AW45" i="133" s="1"/>
  <c r="AW46" i="133" s="1"/>
  <c r="AW47" i="133" s="1"/>
  <c r="AW48" i="133" s="1"/>
  <c r="AW49" i="133" s="1"/>
  <c r="AW50" i="133" s="1"/>
  <c r="AW51" i="133" s="1"/>
  <c r="AW52" i="133" s="1"/>
  <c r="AW53" i="133" s="1"/>
  <c r="AW54" i="133" s="1"/>
  <c r="J58" i="140" l="1"/>
  <c r="D138" i="100"/>
  <c r="U56" i="139"/>
  <c r="D121" i="100" s="1"/>
  <c r="H16" i="132"/>
  <c r="B123" i="100"/>
  <c r="B27" i="100"/>
  <c r="H6" i="132" s="1"/>
  <c r="B105" i="100"/>
  <c r="H14" i="132" s="1"/>
  <c r="AW56" i="138"/>
  <c r="AW56" i="133"/>
  <c r="B56" i="146"/>
  <c r="G56" i="146" s="1"/>
  <c r="J55" i="146"/>
  <c r="H55" i="146"/>
  <c r="F55" i="146"/>
  <c r="B55" i="146"/>
  <c r="E8" i="146"/>
  <c r="E9" i="146" s="1"/>
  <c r="E10" i="146" s="1"/>
  <c r="E11" i="146" s="1"/>
  <c r="E12" i="146" s="1"/>
  <c r="E13" i="146" s="1"/>
  <c r="E14" i="146" s="1"/>
  <c r="E15" i="146" s="1"/>
  <c r="E16" i="146" s="1"/>
  <c r="E17" i="146" s="1"/>
  <c r="E18" i="146" s="1"/>
  <c r="E19" i="146" s="1"/>
  <c r="E20" i="146" s="1"/>
  <c r="E21" i="146" s="1"/>
  <c r="E22" i="146" s="1"/>
  <c r="E23" i="146" s="1"/>
  <c r="E24" i="146" s="1"/>
  <c r="E25" i="146" s="1"/>
  <c r="E26" i="146" s="1"/>
  <c r="E27" i="146" s="1"/>
  <c r="E28" i="146" s="1"/>
  <c r="E29" i="146" s="1"/>
  <c r="E30" i="146" s="1"/>
  <c r="E31" i="146" s="1"/>
  <c r="E32" i="146" s="1"/>
  <c r="E33" i="146" s="1"/>
  <c r="E34" i="146" s="1"/>
  <c r="E35" i="146" s="1"/>
  <c r="E36" i="146" s="1"/>
  <c r="E37" i="146" s="1"/>
  <c r="E38" i="146" s="1"/>
  <c r="E39" i="146" s="1"/>
  <c r="E40" i="146" s="1"/>
  <c r="E41" i="146" s="1"/>
  <c r="E42" i="146" s="1"/>
  <c r="E43" i="146" s="1"/>
  <c r="E44" i="146" s="1"/>
  <c r="E45" i="146" s="1"/>
  <c r="E46" i="146" s="1"/>
  <c r="E47" i="146" s="1"/>
  <c r="E48" i="146" s="1"/>
  <c r="E49" i="146" s="1"/>
  <c r="E50" i="146" s="1"/>
  <c r="E51" i="146" s="1"/>
  <c r="E52" i="146" s="1"/>
  <c r="E53" i="146" s="1"/>
  <c r="E54" i="146" s="1"/>
  <c r="B56" i="145"/>
  <c r="G56" i="145" s="1"/>
  <c r="J55" i="145"/>
  <c r="H55" i="145"/>
  <c r="B55" i="145"/>
  <c r="E8" i="145"/>
  <c r="E9" i="145" s="1"/>
  <c r="E10" i="145" s="1"/>
  <c r="E11" i="145" s="1"/>
  <c r="E12" i="145" s="1"/>
  <c r="E13" i="145" s="1"/>
  <c r="E14" i="145" s="1"/>
  <c r="E15" i="145" s="1"/>
  <c r="E16" i="145" s="1"/>
  <c r="E17" i="145" s="1"/>
  <c r="E18" i="145" s="1"/>
  <c r="E19" i="145" s="1"/>
  <c r="E20" i="145" s="1"/>
  <c r="E21" i="145" s="1"/>
  <c r="E22" i="145" s="1"/>
  <c r="E23" i="145" s="1"/>
  <c r="E24" i="145" s="1"/>
  <c r="E25" i="145" s="1"/>
  <c r="E26" i="145" s="1"/>
  <c r="E27" i="145" s="1"/>
  <c r="E28" i="145" s="1"/>
  <c r="E29" i="145" s="1"/>
  <c r="E30" i="145" s="1"/>
  <c r="E31" i="145" s="1"/>
  <c r="E32" i="145" s="1"/>
  <c r="E33" i="145" s="1"/>
  <c r="E34" i="145" s="1"/>
  <c r="E35" i="145" s="1"/>
  <c r="E36" i="145" s="1"/>
  <c r="E37" i="145" s="1"/>
  <c r="E38" i="145" s="1"/>
  <c r="E39" i="145" s="1"/>
  <c r="E40" i="145" s="1"/>
  <c r="E41" i="145" s="1"/>
  <c r="E42" i="145" s="1"/>
  <c r="E43" i="145" s="1"/>
  <c r="E44" i="145" s="1"/>
  <c r="E45" i="145" s="1"/>
  <c r="E46" i="145" s="1"/>
  <c r="E47" i="145" s="1"/>
  <c r="E48" i="145" s="1"/>
  <c r="E49" i="145" s="1"/>
  <c r="E50" i="145" s="1"/>
  <c r="E51" i="145" s="1"/>
  <c r="E52" i="145" s="1"/>
  <c r="E53" i="145" s="1"/>
  <c r="E54" i="145" s="1"/>
  <c r="G56" i="144"/>
  <c r="J55" i="144"/>
  <c r="H55" i="144"/>
  <c r="F55" i="144"/>
  <c r="E8" i="144"/>
  <c r="E9" i="144" s="1"/>
  <c r="E10" i="144" s="1"/>
  <c r="E11" i="144" s="1"/>
  <c r="E12" i="144" s="1"/>
  <c r="E13" i="144" s="1"/>
  <c r="E14" i="144" s="1"/>
  <c r="E15" i="144" s="1"/>
  <c r="E16" i="144" s="1"/>
  <c r="E17" i="144" s="1"/>
  <c r="E18" i="144" s="1"/>
  <c r="E19" i="144" s="1"/>
  <c r="E20" i="144" s="1"/>
  <c r="E21" i="144" s="1"/>
  <c r="E22" i="144" s="1"/>
  <c r="E23" i="144" s="1"/>
  <c r="E24" i="144" s="1"/>
  <c r="E25" i="144" s="1"/>
  <c r="E26" i="144" s="1"/>
  <c r="E27" i="144" s="1"/>
  <c r="E28" i="144" s="1"/>
  <c r="E29" i="144" s="1"/>
  <c r="E30" i="144" s="1"/>
  <c r="E31" i="144" s="1"/>
  <c r="E32" i="144" s="1"/>
  <c r="E33" i="144" s="1"/>
  <c r="E34" i="144" s="1"/>
  <c r="E35" i="144" s="1"/>
  <c r="E36" i="144" s="1"/>
  <c r="E37" i="144" s="1"/>
  <c r="E38" i="144" s="1"/>
  <c r="E39" i="144" s="1"/>
  <c r="E40" i="144" s="1"/>
  <c r="E41" i="144" s="1"/>
  <c r="E42" i="144" s="1"/>
  <c r="E43" i="144" s="1"/>
  <c r="E44" i="144" s="1"/>
  <c r="E45" i="144" s="1"/>
  <c r="E46" i="144" s="1"/>
  <c r="E47" i="144" s="1"/>
  <c r="E48" i="144" s="1"/>
  <c r="E49" i="144" s="1"/>
  <c r="E50" i="144" s="1"/>
  <c r="E51" i="144" s="1"/>
  <c r="E52" i="144" s="1"/>
  <c r="E53" i="144" s="1"/>
  <c r="E54" i="144" s="1"/>
  <c r="J55" i="143"/>
  <c r="H55" i="143"/>
  <c r="F55" i="143"/>
  <c r="E8" i="143"/>
  <c r="E9" i="143" s="1"/>
  <c r="E10" i="143" s="1"/>
  <c r="E11" i="143" s="1"/>
  <c r="E12" i="143" s="1"/>
  <c r="E13" i="143" s="1"/>
  <c r="E14" i="143" s="1"/>
  <c r="E15" i="143" s="1"/>
  <c r="E16" i="143" s="1"/>
  <c r="E17" i="143" s="1"/>
  <c r="E18" i="143" s="1"/>
  <c r="E19" i="143" s="1"/>
  <c r="E20" i="143" s="1"/>
  <c r="E21" i="143" s="1"/>
  <c r="E22" i="143" s="1"/>
  <c r="E23" i="143" s="1"/>
  <c r="E24" i="143" s="1"/>
  <c r="E25" i="143" s="1"/>
  <c r="E26" i="143" s="1"/>
  <c r="E27" i="143" s="1"/>
  <c r="E28" i="143" s="1"/>
  <c r="E29" i="143" s="1"/>
  <c r="E30" i="143" s="1"/>
  <c r="E31" i="143" s="1"/>
  <c r="E32" i="143" s="1"/>
  <c r="E33" i="143" s="1"/>
  <c r="E34" i="143" s="1"/>
  <c r="E35" i="143" s="1"/>
  <c r="E36" i="143" s="1"/>
  <c r="E37" i="143" s="1"/>
  <c r="E38" i="143" s="1"/>
  <c r="E39" i="143" s="1"/>
  <c r="E40" i="143" s="1"/>
  <c r="E41" i="143" s="1"/>
  <c r="E42" i="143" s="1"/>
  <c r="E43" i="143" s="1"/>
  <c r="E44" i="143" s="1"/>
  <c r="E45" i="143" s="1"/>
  <c r="E46" i="143" s="1"/>
  <c r="E47" i="143" s="1"/>
  <c r="E48" i="143" s="1"/>
  <c r="E49" i="143" s="1"/>
  <c r="E50" i="143" s="1"/>
  <c r="E51" i="143" s="1"/>
  <c r="E52" i="143" s="1"/>
  <c r="E53" i="143" s="1"/>
  <c r="E54" i="143" s="1"/>
  <c r="B56" i="142"/>
  <c r="J55" i="142"/>
  <c r="H55" i="142"/>
  <c r="F55" i="142"/>
  <c r="D55" i="142"/>
  <c r="B55" i="142"/>
  <c r="E8" i="142"/>
  <c r="E9" i="142" s="1"/>
  <c r="E10" i="142" s="1"/>
  <c r="E11" i="142" s="1"/>
  <c r="E12" i="142" s="1"/>
  <c r="E13" i="142" s="1"/>
  <c r="E14" i="142" s="1"/>
  <c r="E15" i="142" s="1"/>
  <c r="E16" i="142" s="1"/>
  <c r="E17" i="142" s="1"/>
  <c r="E18" i="142" s="1"/>
  <c r="E19" i="142" s="1"/>
  <c r="E20" i="142" s="1"/>
  <c r="E21" i="142" s="1"/>
  <c r="E22" i="142" s="1"/>
  <c r="E23" i="142" s="1"/>
  <c r="E24" i="142" s="1"/>
  <c r="E25" i="142" s="1"/>
  <c r="E26" i="142" s="1"/>
  <c r="E27" i="142" s="1"/>
  <c r="E28" i="142" s="1"/>
  <c r="E29" i="142" s="1"/>
  <c r="E30" i="142" s="1"/>
  <c r="E31" i="142" s="1"/>
  <c r="E32" i="142" s="1"/>
  <c r="E33" i="142" s="1"/>
  <c r="E34" i="142" s="1"/>
  <c r="E35" i="142" s="1"/>
  <c r="E36" i="142" s="1"/>
  <c r="E37" i="142" s="1"/>
  <c r="E38" i="142" s="1"/>
  <c r="E39" i="142" s="1"/>
  <c r="E40" i="142" s="1"/>
  <c r="E41" i="142" s="1"/>
  <c r="E42" i="142" s="1"/>
  <c r="E43" i="142" s="1"/>
  <c r="E44" i="142" s="1"/>
  <c r="E45" i="142" s="1"/>
  <c r="E46" i="142" s="1"/>
  <c r="E47" i="142" s="1"/>
  <c r="E48" i="142" s="1"/>
  <c r="E49" i="142" s="1"/>
  <c r="E50" i="142" s="1"/>
  <c r="E51" i="142" s="1"/>
  <c r="E52" i="142" s="1"/>
  <c r="E53" i="142" s="1"/>
  <c r="E54" i="142" s="1"/>
  <c r="G56" i="142" l="1"/>
  <c r="E22" i="132"/>
  <c r="G56" i="143"/>
  <c r="E24" i="132"/>
  <c r="K18" i="132"/>
  <c r="D140" i="100"/>
  <c r="E56" i="142"/>
  <c r="F22" i="132" s="1"/>
  <c r="E56" i="146"/>
  <c r="E26" i="132"/>
  <c r="E56" i="145"/>
  <c r="BB56" i="133"/>
  <c r="D27" i="100" s="1"/>
  <c r="K6" i="132" s="1"/>
  <c r="C27" i="100"/>
  <c r="E56" i="144"/>
  <c r="E30" i="132"/>
  <c r="BB56" i="138"/>
  <c r="D105" i="100" s="1"/>
  <c r="K14" i="132" s="1"/>
  <c r="C105" i="100"/>
  <c r="E56" i="143"/>
  <c r="E28" i="132"/>
  <c r="K16" i="132"/>
  <c r="D123" i="100"/>
  <c r="B55" i="139"/>
  <c r="B56" i="139"/>
  <c r="G56" i="139" s="1"/>
  <c r="E8" i="138"/>
  <c r="E9" i="138" s="1"/>
  <c r="E10" i="138" s="1"/>
  <c r="E11" i="138" s="1"/>
  <c r="E12" i="138" s="1"/>
  <c r="E13" i="138" s="1"/>
  <c r="E14" i="138" s="1"/>
  <c r="E15" i="138" s="1"/>
  <c r="E16" i="138" s="1"/>
  <c r="E17" i="138" s="1"/>
  <c r="E18" i="138" s="1"/>
  <c r="E19" i="138" s="1"/>
  <c r="E20" i="138" s="1"/>
  <c r="E21" i="138" s="1"/>
  <c r="E22" i="138" s="1"/>
  <c r="E23" i="138" s="1"/>
  <c r="E24" i="138" s="1"/>
  <c r="E25" i="138" s="1"/>
  <c r="E26" i="138" s="1"/>
  <c r="E27" i="138" s="1"/>
  <c r="E28" i="138" s="1"/>
  <c r="E29" i="138" s="1"/>
  <c r="E30" i="138" s="1"/>
  <c r="E31" i="138" s="1"/>
  <c r="E32" i="138" s="1"/>
  <c r="E33" i="138" s="1"/>
  <c r="E34" i="138" s="1"/>
  <c r="E35" i="138" s="1"/>
  <c r="E36" i="138" s="1"/>
  <c r="E37" i="138" s="1"/>
  <c r="E38" i="138" s="1"/>
  <c r="E39" i="138" s="1"/>
  <c r="E40" i="138" s="1"/>
  <c r="E41" i="138" s="1"/>
  <c r="E42" i="138" s="1"/>
  <c r="E43" i="138" s="1"/>
  <c r="E44" i="138" s="1"/>
  <c r="E45" i="138" s="1"/>
  <c r="E46" i="138" s="1"/>
  <c r="E47" i="138" s="1"/>
  <c r="E48" i="138" s="1"/>
  <c r="E49" i="138" s="1"/>
  <c r="E50" i="138" s="1"/>
  <c r="E51" i="138" s="1"/>
  <c r="E52" i="138" s="1"/>
  <c r="E53" i="138" s="1"/>
  <c r="E54" i="138" s="1"/>
  <c r="AI56" i="138"/>
  <c r="AN56" i="138" s="1"/>
  <c r="X56" i="138"/>
  <c r="AC56" i="138" s="1"/>
  <c r="AQ55" i="138"/>
  <c r="AO55" i="138"/>
  <c r="AM55" i="138"/>
  <c r="AK55" i="138"/>
  <c r="AI55" i="138"/>
  <c r="AF55" i="138"/>
  <c r="AD55" i="138"/>
  <c r="AB55" i="138"/>
  <c r="Z55" i="138"/>
  <c r="X55" i="138"/>
  <c r="AL8" i="138"/>
  <c r="AL9" i="138" s="1"/>
  <c r="AL10" i="138" s="1"/>
  <c r="AL11" i="138" s="1"/>
  <c r="AL12" i="138" s="1"/>
  <c r="AL13" i="138" s="1"/>
  <c r="AL14" i="138" s="1"/>
  <c r="AL15" i="138" s="1"/>
  <c r="AL16" i="138" s="1"/>
  <c r="AL17" i="138" s="1"/>
  <c r="AL18" i="138" s="1"/>
  <c r="AL19" i="138" s="1"/>
  <c r="AL20" i="138" s="1"/>
  <c r="AL21" i="138" s="1"/>
  <c r="AL22" i="138" s="1"/>
  <c r="AL23" i="138" s="1"/>
  <c r="AL24" i="138" s="1"/>
  <c r="AL25" i="138" s="1"/>
  <c r="AL26" i="138" s="1"/>
  <c r="AL27" i="138" s="1"/>
  <c r="AL28" i="138" s="1"/>
  <c r="AL29" i="138" s="1"/>
  <c r="AL30" i="138" s="1"/>
  <c r="AL31" i="138" s="1"/>
  <c r="AL32" i="138" s="1"/>
  <c r="AL33" i="138" s="1"/>
  <c r="AL34" i="138" s="1"/>
  <c r="AL35" i="138" s="1"/>
  <c r="AL36" i="138" s="1"/>
  <c r="AL37" i="138" s="1"/>
  <c r="AL38" i="138" s="1"/>
  <c r="AL39" i="138" s="1"/>
  <c r="AL40" i="138" s="1"/>
  <c r="AL41" i="138" s="1"/>
  <c r="AL42" i="138" s="1"/>
  <c r="AL43" i="138" s="1"/>
  <c r="AL44" i="138" s="1"/>
  <c r="AL45" i="138" s="1"/>
  <c r="AL46" i="138" s="1"/>
  <c r="AL47" i="138" s="1"/>
  <c r="AL48" i="138" s="1"/>
  <c r="AL49" i="138" s="1"/>
  <c r="AL50" i="138" s="1"/>
  <c r="AL51" i="138" s="1"/>
  <c r="AL52" i="138" s="1"/>
  <c r="AL53" i="138" s="1"/>
  <c r="AL54" i="138" s="1"/>
  <c r="AA8" i="138"/>
  <c r="AA9" i="138" s="1"/>
  <c r="AA10" i="138" s="1"/>
  <c r="AA11" i="138" s="1"/>
  <c r="AA12" i="138" s="1"/>
  <c r="AA13" i="138" s="1"/>
  <c r="AA14" i="138" s="1"/>
  <c r="AA15" i="138" s="1"/>
  <c r="AA16" i="138" s="1"/>
  <c r="AA17" i="138" s="1"/>
  <c r="AA18" i="138" s="1"/>
  <c r="AA19" i="138" s="1"/>
  <c r="AA20" i="138" s="1"/>
  <c r="AA21" i="138" s="1"/>
  <c r="AA22" i="138" s="1"/>
  <c r="AA23" i="138" s="1"/>
  <c r="AA24" i="138" s="1"/>
  <c r="AA25" i="138" s="1"/>
  <c r="AA26" i="138" s="1"/>
  <c r="AA27" i="138" s="1"/>
  <c r="AA28" i="138" s="1"/>
  <c r="AA29" i="138" s="1"/>
  <c r="AA30" i="138" s="1"/>
  <c r="AA31" i="138" s="1"/>
  <c r="AA32" i="138" s="1"/>
  <c r="AA33" i="138" s="1"/>
  <c r="AA34" i="138" s="1"/>
  <c r="AA35" i="138" s="1"/>
  <c r="AA36" i="138" s="1"/>
  <c r="AA37" i="138" s="1"/>
  <c r="AA38" i="138" s="1"/>
  <c r="AA39" i="138" s="1"/>
  <c r="AA40" i="138" s="1"/>
  <c r="AA41" i="138" s="1"/>
  <c r="AA42" i="138" s="1"/>
  <c r="AA43" i="138" s="1"/>
  <c r="AA44" i="138" s="1"/>
  <c r="AA45" i="138" s="1"/>
  <c r="AA46" i="138" s="1"/>
  <c r="AA47" i="138" s="1"/>
  <c r="AA48" i="138" s="1"/>
  <c r="AA49" i="138" s="1"/>
  <c r="AA50" i="138" s="1"/>
  <c r="AA51" i="138" s="1"/>
  <c r="AA52" i="138" s="1"/>
  <c r="AA53" i="138" s="1"/>
  <c r="AA54" i="138" s="1"/>
  <c r="AI56" i="133"/>
  <c r="AN56" i="133" s="1"/>
  <c r="X56" i="133"/>
  <c r="AC56" i="133" s="1"/>
  <c r="AQ55" i="133"/>
  <c r="AO55" i="133"/>
  <c r="AM55" i="133"/>
  <c r="AK55" i="133"/>
  <c r="AI55" i="133"/>
  <c r="AF55" i="133"/>
  <c r="AD55" i="133"/>
  <c r="AB55" i="133"/>
  <c r="Z55" i="133"/>
  <c r="X55" i="133"/>
  <c r="AL8" i="133"/>
  <c r="AL9" i="133" s="1"/>
  <c r="AL10" i="133" s="1"/>
  <c r="AL11" i="133" s="1"/>
  <c r="AL12" i="133" s="1"/>
  <c r="AL13" i="133" s="1"/>
  <c r="AL14" i="133" s="1"/>
  <c r="AL15" i="133" s="1"/>
  <c r="AL16" i="133" s="1"/>
  <c r="AL17" i="133" s="1"/>
  <c r="AL18" i="133" s="1"/>
  <c r="AL19" i="133" s="1"/>
  <c r="AL20" i="133" s="1"/>
  <c r="AL21" i="133" s="1"/>
  <c r="AL22" i="133" s="1"/>
  <c r="AL23" i="133" s="1"/>
  <c r="AL24" i="133" s="1"/>
  <c r="AL25" i="133" s="1"/>
  <c r="AL26" i="133" s="1"/>
  <c r="AL27" i="133" s="1"/>
  <c r="AL28" i="133" s="1"/>
  <c r="AL29" i="133" s="1"/>
  <c r="AL30" i="133" s="1"/>
  <c r="AL31" i="133" s="1"/>
  <c r="AL32" i="133" s="1"/>
  <c r="AL33" i="133" s="1"/>
  <c r="AL34" i="133" s="1"/>
  <c r="AL35" i="133" s="1"/>
  <c r="AL36" i="133" s="1"/>
  <c r="AL37" i="133" s="1"/>
  <c r="AL38" i="133" s="1"/>
  <c r="AL39" i="133" s="1"/>
  <c r="AL40" i="133" s="1"/>
  <c r="AL41" i="133" s="1"/>
  <c r="AL42" i="133" s="1"/>
  <c r="AL43" i="133" s="1"/>
  <c r="AL44" i="133" s="1"/>
  <c r="AL45" i="133" s="1"/>
  <c r="AL46" i="133" s="1"/>
  <c r="AL47" i="133" s="1"/>
  <c r="AL48" i="133" s="1"/>
  <c r="AL49" i="133" s="1"/>
  <c r="AL50" i="133" s="1"/>
  <c r="AL51" i="133" s="1"/>
  <c r="AL52" i="133" s="1"/>
  <c r="AL53" i="133" s="1"/>
  <c r="AL54" i="133" s="1"/>
  <c r="AA8" i="133"/>
  <c r="AA9" i="133" s="1"/>
  <c r="AA10" i="133" s="1"/>
  <c r="AA11" i="133" s="1"/>
  <c r="AA12" i="133" s="1"/>
  <c r="AA13" i="133" s="1"/>
  <c r="AA14" i="133" s="1"/>
  <c r="AA15" i="133" s="1"/>
  <c r="AA16" i="133" s="1"/>
  <c r="AA17" i="133" s="1"/>
  <c r="AA18" i="133" s="1"/>
  <c r="AA19" i="133" s="1"/>
  <c r="AA20" i="133" s="1"/>
  <c r="AA21" i="133" s="1"/>
  <c r="AA22" i="133" s="1"/>
  <c r="AA23" i="133" s="1"/>
  <c r="AA24" i="133" s="1"/>
  <c r="AA25" i="133" s="1"/>
  <c r="AA26" i="133" s="1"/>
  <c r="AA27" i="133" s="1"/>
  <c r="AA28" i="133" s="1"/>
  <c r="AA29" i="133" s="1"/>
  <c r="AA30" i="133" s="1"/>
  <c r="AA31" i="133" s="1"/>
  <c r="AA32" i="133" s="1"/>
  <c r="AA33" i="133" s="1"/>
  <c r="AA34" i="133" s="1"/>
  <c r="AA35" i="133" s="1"/>
  <c r="AA36" i="133" s="1"/>
  <c r="AA37" i="133" s="1"/>
  <c r="AA38" i="133" s="1"/>
  <c r="AA39" i="133" s="1"/>
  <c r="AA40" i="133" s="1"/>
  <c r="AA41" i="133" s="1"/>
  <c r="AA42" i="133" s="1"/>
  <c r="AA43" i="133" s="1"/>
  <c r="AA44" i="133" s="1"/>
  <c r="AA45" i="133" s="1"/>
  <c r="AA46" i="133" s="1"/>
  <c r="AA47" i="133" s="1"/>
  <c r="AA48" i="133" s="1"/>
  <c r="AA49" i="133" s="1"/>
  <c r="AA50" i="133" s="1"/>
  <c r="AA51" i="133" s="1"/>
  <c r="AA52" i="133" s="1"/>
  <c r="AA53" i="133" s="1"/>
  <c r="AA54" i="133" s="1"/>
  <c r="J56" i="144" l="1"/>
  <c r="G26" i="132" s="1"/>
  <c r="F26" i="132"/>
  <c r="J56" i="145"/>
  <c r="G28" i="132" s="1"/>
  <c r="F28" i="132"/>
  <c r="J56" i="146"/>
  <c r="G30" i="132" s="1"/>
  <c r="F30" i="132"/>
  <c r="J56" i="143"/>
  <c r="G24" i="132" s="1"/>
  <c r="F24" i="132"/>
  <c r="J56" i="142"/>
  <c r="G22" i="132" s="1"/>
  <c r="B26" i="100"/>
  <c r="H5" i="132" s="1"/>
  <c r="AA56" i="138"/>
  <c r="B106" i="100"/>
  <c r="H15" i="132" s="1"/>
  <c r="AA56" i="133"/>
  <c r="AL56" i="138"/>
  <c r="AQ56" i="138" s="1"/>
  <c r="AL56" i="133"/>
  <c r="AQ56" i="133" s="1"/>
  <c r="M56" i="133"/>
  <c r="R56" i="133" s="1"/>
  <c r="U55" i="133"/>
  <c r="S55" i="133"/>
  <c r="Q55" i="133"/>
  <c r="O55" i="133"/>
  <c r="M55" i="133"/>
  <c r="P8" i="133"/>
  <c r="P9" i="133" s="1"/>
  <c r="P10" i="133" s="1"/>
  <c r="P11" i="133" s="1"/>
  <c r="P12" i="133" s="1"/>
  <c r="P13" i="133" s="1"/>
  <c r="P14" i="133" s="1"/>
  <c r="P15" i="133" s="1"/>
  <c r="P16" i="133" s="1"/>
  <c r="P17" i="133" s="1"/>
  <c r="P18" i="133" s="1"/>
  <c r="P19" i="133" s="1"/>
  <c r="P20" i="133" s="1"/>
  <c r="P21" i="133" s="1"/>
  <c r="P22" i="133" s="1"/>
  <c r="P23" i="133" s="1"/>
  <c r="P24" i="133" s="1"/>
  <c r="P25" i="133" s="1"/>
  <c r="P26" i="133" s="1"/>
  <c r="P27" i="133" s="1"/>
  <c r="P28" i="133" s="1"/>
  <c r="P29" i="133" s="1"/>
  <c r="P30" i="133" s="1"/>
  <c r="P31" i="133" s="1"/>
  <c r="P32" i="133" s="1"/>
  <c r="P33" i="133" s="1"/>
  <c r="P34" i="133" s="1"/>
  <c r="P35" i="133" s="1"/>
  <c r="P36" i="133" s="1"/>
  <c r="P37" i="133" s="1"/>
  <c r="P38" i="133" s="1"/>
  <c r="P39" i="133" s="1"/>
  <c r="P40" i="133" s="1"/>
  <c r="P41" i="133" s="1"/>
  <c r="P42" i="133" s="1"/>
  <c r="P43" i="133" s="1"/>
  <c r="P44" i="133" s="1"/>
  <c r="P45" i="133" s="1"/>
  <c r="P46" i="133" s="1"/>
  <c r="P47" i="133" s="1"/>
  <c r="P48" i="133" s="1"/>
  <c r="P49" i="133" s="1"/>
  <c r="P50" i="133" s="1"/>
  <c r="P51" i="133" s="1"/>
  <c r="P52" i="133" s="1"/>
  <c r="P53" i="133" s="1"/>
  <c r="P54" i="133" s="1"/>
  <c r="M56" i="138"/>
  <c r="U55" i="138"/>
  <c r="S55" i="138"/>
  <c r="Q55" i="138"/>
  <c r="O55" i="138"/>
  <c r="M55" i="138"/>
  <c r="P8" i="138"/>
  <c r="P9" i="138" s="1"/>
  <c r="P10" i="138" s="1"/>
  <c r="P11" i="138" s="1"/>
  <c r="P12" i="138" s="1"/>
  <c r="P13" i="138" s="1"/>
  <c r="P14" i="138" s="1"/>
  <c r="P15" i="138" s="1"/>
  <c r="P16" i="138" s="1"/>
  <c r="P17" i="138" s="1"/>
  <c r="P18" i="138" s="1"/>
  <c r="P19" i="138" s="1"/>
  <c r="P20" i="138" s="1"/>
  <c r="P21" i="138" s="1"/>
  <c r="P22" i="138" s="1"/>
  <c r="P23" i="138" s="1"/>
  <c r="P24" i="138" s="1"/>
  <c r="P25" i="138" s="1"/>
  <c r="P26" i="138" s="1"/>
  <c r="P27" i="138" s="1"/>
  <c r="P28" i="138" s="1"/>
  <c r="P29" i="138" s="1"/>
  <c r="P30" i="138" s="1"/>
  <c r="P31" i="138" s="1"/>
  <c r="P32" i="138" s="1"/>
  <c r="P33" i="138" s="1"/>
  <c r="P34" i="138" s="1"/>
  <c r="P35" i="138" s="1"/>
  <c r="P36" i="138" s="1"/>
  <c r="P37" i="138" s="1"/>
  <c r="P38" i="138" s="1"/>
  <c r="P39" i="138" s="1"/>
  <c r="P40" i="138" s="1"/>
  <c r="P41" i="138" s="1"/>
  <c r="P42" i="138" s="1"/>
  <c r="P43" i="138" s="1"/>
  <c r="P44" i="138" s="1"/>
  <c r="P45" i="138" s="1"/>
  <c r="P46" i="138" s="1"/>
  <c r="P47" i="138" s="1"/>
  <c r="P48" i="138" s="1"/>
  <c r="P49" i="138" s="1"/>
  <c r="P50" i="138" s="1"/>
  <c r="P51" i="138" s="1"/>
  <c r="P52" i="138" s="1"/>
  <c r="P53" i="138" s="1"/>
  <c r="P54" i="138" s="1"/>
  <c r="R56" i="138" l="1"/>
  <c r="AF56" i="133"/>
  <c r="D26" i="100" s="1"/>
  <c r="K5" i="132" s="1"/>
  <c r="C26" i="100"/>
  <c r="B107" i="100"/>
  <c r="AF56" i="138"/>
  <c r="D106" i="100" s="1"/>
  <c r="K15" i="132" s="1"/>
  <c r="C106" i="100"/>
  <c r="C107" i="100" s="1"/>
  <c r="P56" i="138"/>
  <c r="P56" i="133"/>
  <c r="U56" i="133" s="1"/>
  <c r="D55" i="138"/>
  <c r="B55" i="138"/>
  <c r="B56" i="138"/>
  <c r="E14" i="132" s="1"/>
  <c r="M56" i="137"/>
  <c r="R56" i="137" s="1"/>
  <c r="U55" i="137"/>
  <c r="S55" i="137"/>
  <c r="Q55" i="137"/>
  <c r="O55" i="137"/>
  <c r="M55" i="137"/>
  <c r="P8" i="137"/>
  <c r="P9" i="137" s="1"/>
  <c r="P10" i="137" s="1"/>
  <c r="P11" i="137" s="1"/>
  <c r="P12" i="137" s="1"/>
  <c r="P13" i="137" s="1"/>
  <c r="P14" i="137" s="1"/>
  <c r="P15" i="137" s="1"/>
  <c r="P16" i="137" s="1"/>
  <c r="P17" i="137" s="1"/>
  <c r="P18" i="137" s="1"/>
  <c r="P19" i="137" s="1"/>
  <c r="P20" i="137" s="1"/>
  <c r="P21" i="137" s="1"/>
  <c r="P22" i="137" s="1"/>
  <c r="P23" i="137" s="1"/>
  <c r="P24" i="137" s="1"/>
  <c r="P25" i="137" s="1"/>
  <c r="P26" i="137" s="1"/>
  <c r="P27" i="137" s="1"/>
  <c r="P28" i="137" s="1"/>
  <c r="P29" i="137" s="1"/>
  <c r="P30" i="137" s="1"/>
  <c r="P31" i="137" s="1"/>
  <c r="P32" i="137" s="1"/>
  <c r="P33" i="137" s="1"/>
  <c r="P34" i="137" s="1"/>
  <c r="P35" i="137" s="1"/>
  <c r="P36" i="137" s="1"/>
  <c r="P37" i="137" s="1"/>
  <c r="P38" i="137" s="1"/>
  <c r="P39" i="137" s="1"/>
  <c r="P40" i="137" s="1"/>
  <c r="P41" i="137" s="1"/>
  <c r="P42" i="137" s="1"/>
  <c r="P43" i="137" s="1"/>
  <c r="P44" i="137" s="1"/>
  <c r="P45" i="137" s="1"/>
  <c r="P46" i="137" s="1"/>
  <c r="P47" i="137" s="1"/>
  <c r="P48" i="137" s="1"/>
  <c r="P49" i="137" s="1"/>
  <c r="P50" i="137" s="1"/>
  <c r="P51" i="137" s="1"/>
  <c r="P52" i="137" s="1"/>
  <c r="P53" i="137" s="1"/>
  <c r="P54" i="137" s="1"/>
  <c r="U56" i="138" l="1"/>
  <c r="D107" i="100"/>
  <c r="P56" i="137"/>
  <c r="U56" i="137" s="1"/>
  <c r="D90" i="100" s="1"/>
  <c r="K13" i="132" s="1"/>
  <c r="X56" i="136"/>
  <c r="AC56" i="136" s="1"/>
  <c r="AF55" i="136"/>
  <c r="AD55" i="136"/>
  <c r="AB55" i="136"/>
  <c r="Z55" i="136"/>
  <c r="X55" i="136"/>
  <c r="AA8" i="136"/>
  <c r="AA9" i="136" s="1"/>
  <c r="AA10" i="136" s="1"/>
  <c r="AA11" i="136" s="1"/>
  <c r="AA12" i="136" s="1"/>
  <c r="AA13" i="136" s="1"/>
  <c r="AA14" i="136" s="1"/>
  <c r="AA15" i="136" s="1"/>
  <c r="AA16" i="136" s="1"/>
  <c r="AA17" i="136" s="1"/>
  <c r="AA18" i="136" s="1"/>
  <c r="AA19" i="136" s="1"/>
  <c r="AA20" i="136" s="1"/>
  <c r="AA21" i="136" s="1"/>
  <c r="AA22" i="136" s="1"/>
  <c r="AA23" i="136" s="1"/>
  <c r="AA24" i="136" s="1"/>
  <c r="AA25" i="136" s="1"/>
  <c r="AA26" i="136" s="1"/>
  <c r="AA27" i="136" s="1"/>
  <c r="AA28" i="136" s="1"/>
  <c r="AA29" i="136" s="1"/>
  <c r="AA30" i="136" s="1"/>
  <c r="AA31" i="136" s="1"/>
  <c r="AA32" i="136" s="1"/>
  <c r="AA33" i="136" s="1"/>
  <c r="AA34" i="136" s="1"/>
  <c r="AA35" i="136" s="1"/>
  <c r="AA36" i="136" s="1"/>
  <c r="AA37" i="136" s="1"/>
  <c r="AA38" i="136" s="1"/>
  <c r="AA39" i="136" s="1"/>
  <c r="AA40" i="136" s="1"/>
  <c r="AA41" i="136" s="1"/>
  <c r="AA42" i="136" s="1"/>
  <c r="AA43" i="136" s="1"/>
  <c r="AA44" i="136" s="1"/>
  <c r="AA45" i="136" s="1"/>
  <c r="AA46" i="136" s="1"/>
  <c r="AA47" i="136" s="1"/>
  <c r="AA48" i="136" s="1"/>
  <c r="AA49" i="136" s="1"/>
  <c r="AA50" i="136" s="1"/>
  <c r="AA51" i="136" s="1"/>
  <c r="AA52" i="136" s="1"/>
  <c r="AA53" i="136" s="1"/>
  <c r="AA54" i="136" s="1"/>
  <c r="C90" i="100" l="1"/>
  <c r="B75" i="100"/>
  <c r="AA56" i="136"/>
  <c r="F55" i="136"/>
  <c r="B55" i="137"/>
  <c r="B56" i="137"/>
  <c r="AF56" i="136" l="1"/>
  <c r="D75" i="100" s="1"/>
  <c r="C75" i="100"/>
  <c r="B90" i="100"/>
  <c r="H12" i="132"/>
  <c r="M56" i="136"/>
  <c r="U55" i="136"/>
  <c r="S55" i="136"/>
  <c r="Q55" i="136"/>
  <c r="O55" i="136"/>
  <c r="M55" i="136"/>
  <c r="P8" i="136"/>
  <c r="P9" i="136" s="1"/>
  <c r="P10" i="136" s="1"/>
  <c r="P11" i="136" s="1"/>
  <c r="P12" i="136" s="1"/>
  <c r="P13" i="136" s="1"/>
  <c r="P14" i="136" s="1"/>
  <c r="P15" i="136" s="1"/>
  <c r="P16" i="136" s="1"/>
  <c r="P17" i="136" s="1"/>
  <c r="P18" i="136" s="1"/>
  <c r="P19" i="136" s="1"/>
  <c r="P20" i="136" s="1"/>
  <c r="P21" i="136" s="1"/>
  <c r="P22" i="136" s="1"/>
  <c r="P23" i="136" s="1"/>
  <c r="P24" i="136" s="1"/>
  <c r="P25" i="136" s="1"/>
  <c r="P26" i="136" s="1"/>
  <c r="P27" i="136" s="1"/>
  <c r="P28" i="136" s="1"/>
  <c r="P29" i="136" s="1"/>
  <c r="P30" i="136" s="1"/>
  <c r="P31" i="136" s="1"/>
  <c r="P32" i="136" s="1"/>
  <c r="P33" i="136" s="1"/>
  <c r="P34" i="136" s="1"/>
  <c r="P35" i="136" s="1"/>
  <c r="P36" i="136" s="1"/>
  <c r="P37" i="136" s="1"/>
  <c r="P38" i="136" s="1"/>
  <c r="P39" i="136" s="1"/>
  <c r="P40" i="136" s="1"/>
  <c r="P41" i="136" s="1"/>
  <c r="P42" i="136" s="1"/>
  <c r="P43" i="136" s="1"/>
  <c r="P44" i="136" s="1"/>
  <c r="P45" i="136" s="1"/>
  <c r="P46" i="136" s="1"/>
  <c r="P47" i="136" s="1"/>
  <c r="P48" i="136" s="1"/>
  <c r="P49" i="136" s="1"/>
  <c r="P50" i="136" s="1"/>
  <c r="P51" i="136" s="1"/>
  <c r="P52" i="136" s="1"/>
  <c r="P53" i="136" s="1"/>
  <c r="P54" i="136" s="1"/>
  <c r="R56" i="136" l="1"/>
  <c r="B60" i="136"/>
  <c r="B74" i="100"/>
  <c r="H11" i="132" s="1"/>
  <c r="P56" i="136"/>
  <c r="B91" i="100"/>
  <c r="H13" i="132"/>
  <c r="C91" i="100"/>
  <c r="D55" i="136"/>
  <c r="H55" i="135"/>
  <c r="X56" i="135"/>
  <c r="AC56" i="135" s="1"/>
  <c r="AF55" i="135"/>
  <c r="AD55" i="135"/>
  <c r="AB55" i="135"/>
  <c r="Z55" i="135"/>
  <c r="X55" i="135"/>
  <c r="AA8" i="135"/>
  <c r="AA9" i="135" s="1"/>
  <c r="AA10" i="135" s="1"/>
  <c r="AA11" i="135" s="1"/>
  <c r="AA12" i="135" s="1"/>
  <c r="AA13" i="135" s="1"/>
  <c r="AA14" i="135" s="1"/>
  <c r="AA15" i="135" s="1"/>
  <c r="AA16" i="135" s="1"/>
  <c r="AA17" i="135" s="1"/>
  <c r="AA18" i="135" s="1"/>
  <c r="AA19" i="135" s="1"/>
  <c r="AA20" i="135" s="1"/>
  <c r="AA21" i="135" s="1"/>
  <c r="AA22" i="135" s="1"/>
  <c r="AA23" i="135" s="1"/>
  <c r="AA24" i="135" s="1"/>
  <c r="AA25" i="135" s="1"/>
  <c r="AA26" i="135" s="1"/>
  <c r="AA27" i="135" s="1"/>
  <c r="AA28" i="135" s="1"/>
  <c r="AA29" i="135" s="1"/>
  <c r="AA30" i="135" s="1"/>
  <c r="AA31" i="135" s="1"/>
  <c r="AA32" i="135" s="1"/>
  <c r="AA33" i="135" s="1"/>
  <c r="AA34" i="135" s="1"/>
  <c r="AA35" i="135" s="1"/>
  <c r="AA36" i="135" s="1"/>
  <c r="AA37" i="135" s="1"/>
  <c r="AA38" i="135" s="1"/>
  <c r="AA39" i="135" s="1"/>
  <c r="AA40" i="135" s="1"/>
  <c r="AA41" i="135" s="1"/>
  <c r="AA42" i="135" s="1"/>
  <c r="AA43" i="135" s="1"/>
  <c r="AA44" i="135" s="1"/>
  <c r="AA45" i="135" s="1"/>
  <c r="AA46" i="135" s="1"/>
  <c r="AA47" i="135" s="1"/>
  <c r="AA48" i="135" s="1"/>
  <c r="AA49" i="135" s="1"/>
  <c r="AA50" i="135" s="1"/>
  <c r="AA51" i="135" s="1"/>
  <c r="AA52" i="135" s="1"/>
  <c r="AA53" i="135" s="1"/>
  <c r="AA54" i="135" s="1"/>
  <c r="M56" i="135"/>
  <c r="R56" i="135" s="1"/>
  <c r="U55" i="135"/>
  <c r="S55" i="135"/>
  <c r="Q55" i="135"/>
  <c r="O55" i="135"/>
  <c r="M55" i="135"/>
  <c r="P8" i="135"/>
  <c r="P9" i="135" s="1"/>
  <c r="P10" i="135" s="1"/>
  <c r="P11" i="135" s="1"/>
  <c r="P12" i="135" s="1"/>
  <c r="P13" i="135" s="1"/>
  <c r="P14" i="135" s="1"/>
  <c r="P15" i="135" s="1"/>
  <c r="P16" i="135" s="1"/>
  <c r="P17" i="135" s="1"/>
  <c r="P18" i="135" s="1"/>
  <c r="P19" i="135" s="1"/>
  <c r="P20" i="135" s="1"/>
  <c r="P21" i="135" s="1"/>
  <c r="P22" i="135" s="1"/>
  <c r="P23" i="135" s="1"/>
  <c r="P24" i="135" s="1"/>
  <c r="P25" i="135" s="1"/>
  <c r="P26" i="135" s="1"/>
  <c r="P27" i="135" s="1"/>
  <c r="P28" i="135" s="1"/>
  <c r="P29" i="135" s="1"/>
  <c r="P30" i="135" s="1"/>
  <c r="P31" i="135" s="1"/>
  <c r="P32" i="135" s="1"/>
  <c r="P33" i="135" s="1"/>
  <c r="P34" i="135" s="1"/>
  <c r="P35" i="135" s="1"/>
  <c r="P36" i="135" s="1"/>
  <c r="P37" i="135" s="1"/>
  <c r="P38" i="135" s="1"/>
  <c r="P39" i="135" s="1"/>
  <c r="P40" i="135" s="1"/>
  <c r="P41" i="135" s="1"/>
  <c r="P42" i="135" s="1"/>
  <c r="P43" i="135" s="1"/>
  <c r="P44" i="135" s="1"/>
  <c r="P45" i="135" s="1"/>
  <c r="P46" i="135" s="1"/>
  <c r="P47" i="135" s="1"/>
  <c r="P48" i="135" s="1"/>
  <c r="P49" i="135" s="1"/>
  <c r="P50" i="135" s="1"/>
  <c r="P51" i="135" s="1"/>
  <c r="P52" i="135" s="1"/>
  <c r="P53" i="135" s="1"/>
  <c r="P54" i="135" s="1"/>
  <c r="B76" i="100" l="1"/>
  <c r="C74" i="100"/>
  <c r="E60" i="136"/>
  <c r="D91" i="100"/>
  <c r="U56" i="136"/>
  <c r="C76" i="100"/>
  <c r="B58" i="135"/>
  <c r="B59" i="100"/>
  <c r="H10" i="132" s="1"/>
  <c r="B58" i="100"/>
  <c r="AA56" i="135"/>
  <c r="P56" i="135"/>
  <c r="U56" i="135" s="1"/>
  <c r="F55" i="135"/>
  <c r="D55" i="135"/>
  <c r="X56" i="134"/>
  <c r="AC56" i="134" s="1"/>
  <c r="AF55" i="134"/>
  <c r="AD55" i="134"/>
  <c r="AB55" i="134"/>
  <c r="Z55" i="134"/>
  <c r="X55" i="134"/>
  <c r="AA8" i="134"/>
  <c r="AA9" i="134" s="1"/>
  <c r="AA10" i="134" s="1"/>
  <c r="AA11" i="134" s="1"/>
  <c r="AA12" i="134" s="1"/>
  <c r="AA13" i="134" s="1"/>
  <c r="AA14" i="134" s="1"/>
  <c r="AA15" i="134" s="1"/>
  <c r="AA16" i="134" s="1"/>
  <c r="AA17" i="134" s="1"/>
  <c r="AA18" i="134" s="1"/>
  <c r="AA19" i="134" s="1"/>
  <c r="AA20" i="134" s="1"/>
  <c r="AA21" i="134" s="1"/>
  <c r="AA22" i="134" s="1"/>
  <c r="AA23" i="134" s="1"/>
  <c r="AA24" i="134" s="1"/>
  <c r="AA25" i="134" s="1"/>
  <c r="AA26" i="134" s="1"/>
  <c r="AA27" i="134" s="1"/>
  <c r="AA28" i="134" s="1"/>
  <c r="AA29" i="134" s="1"/>
  <c r="AA30" i="134" s="1"/>
  <c r="AA31" i="134" s="1"/>
  <c r="AA32" i="134" s="1"/>
  <c r="AA33" i="134" s="1"/>
  <c r="AA34" i="134" s="1"/>
  <c r="AA35" i="134" s="1"/>
  <c r="AA36" i="134" s="1"/>
  <c r="AA37" i="134" s="1"/>
  <c r="AA38" i="134" s="1"/>
  <c r="AA39" i="134" s="1"/>
  <c r="AA40" i="134" s="1"/>
  <c r="AA41" i="134" s="1"/>
  <c r="AA42" i="134" s="1"/>
  <c r="AA43" i="134" s="1"/>
  <c r="AA44" i="134" s="1"/>
  <c r="AA45" i="134" s="1"/>
  <c r="AA46" i="134" s="1"/>
  <c r="AA47" i="134" s="1"/>
  <c r="AA48" i="134" s="1"/>
  <c r="AA49" i="134" s="1"/>
  <c r="AA50" i="134" s="1"/>
  <c r="AA51" i="134" s="1"/>
  <c r="AA52" i="134" s="1"/>
  <c r="AA53" i="134" s="1"/>
  <c r="AA54" i="134" s="1"/>
  <c r="M56" i="134"/>
  <c r="R56" i="134" s="1"/>
  <c r="U55" i="134"/>
  <c r="S55" i="134"/>
  <c r="Q55" i="134"/>
  <c r="O55" i="134"/>
  <c r="M55" i="134"/>
  <c r="P8" i="134"/>
  <c r="P9" i="134" s="1"/>
  <c r="P10" i="134" s="1"/>
  <c r="P11" i="134" s="1"/>
  <c r="P12" i="134" s="1"/>
  <c r="P13" i="134" s="1"/>
  <c r="P14" i="134" s="1"/>
  <c r="P15" i="134" s="1"/>
  <c r="P16" i="134" s="1"/>
  <c r="P17" i="134" s="1"/>
  <c r="P18" i="134" s="1"/>
  <c r="P19" i="134" s="1"/>
  <c r="P20" i="134" s="1"/>
  <c r="P21" i="134" s="1"/>
  <c r="P22" i="134" s="1"/>
  <c r="P23" i="134" s="1"/>
  <c r="P24" i="134" s="1"/>
  <c r="P25" i="134" s="1"/>
  <c r="P26" i="134" s="1"/>
  <c r="P27" i="134" s="1"/>
  <c r="P28" i="134" s="1"/>
  <c r="P29" i="134" s="1"/>
  <c r="P30" i="134" s="1"/>
  <c r="P31" i="134" s="1"/>
  <c r="P32" i="134" s="1"/>
  <c r="P33" i="134" s="1"/>
  <c r="P34" i="134" s="1"/>
  <c r="P35" i="134" s="1"/>
  <c r="P36" i="134" s="1"/>
  <c r="P37" i="134" s="1"/>
  <c r="P38" i="134" s="1"/>
  <c r="P39" i="134" s="1"/>
  <c r="P40" i="134" s="1"/>
  <c r="P41" i="134" s="1"/>
  <c r="P42" i="134" s="1"/>
  <c r="P43" i="134" s="1"/>
  <c r="P44" i="134" s="1"/>
  <c r="P45" i="134" s="1"/>
  <c r="P46" i="134" s="1"/>
  <c r="P47" i="134" s="1"/>
  <c r="P48" i="134" s="1"/>
  <c r="P49" i="134" s="1"/>
  <c r="P50" i="134" s="1"/>
  <c r="P51" i="134" s="1"/>
  <c r="P52" i="134" s="1"/>
  <c r="P53" i="134" s="1"/>
  <c r="P54" i="134" s="1"/>
  <c r="G56" i="140"/>
  <c r="J55" i="140"/>
  <c r="H55" i="140"/>
  <c r="F55" i="140"/>
  <c r="E8" i="140"/>
  <c r="E9" i="140" s="1"/>
  <c r="E10" i="140" s="1"/>
  <c r="E11" i="140" s="1"/>
  <c r="E12" i="140" s="1"/>
  <c r="E13" i="140" s="1"/>
  <c r="E14" i="140" s="1"/>
  <c r="E15" i="140" s="1"/>
  <c r="E16" i="140" s="1"/>
  <c r="E17" i="140" s="1"/>
  <c r="E18" i="140" s="1"/>
  <c r="E19" i="140" s="1"/>
  <c r="E20" i="140" s="1"/>
  <c r="E21" i="140" s="1"/>
  <c r="E22" i="140" s="1"/>
  <c r="E23" i="140" s="1"/>
  <c r="E24" i="140" s="1"/>
  <c r="E25" i="140" s="1"/>
  <c r="E26" i="140" s="1"/>
  <c r="E27" i="140" s="1"/>
  <c r="E28" i="140" s="1"/>
  <c r="E29" i="140" s="1"/>
  <c r="E30" i="140" s="1"/>
  <c r="E31" i="140" s="1"/>
  <c r="E32" i="140" s="1"/>
  <c r="E33" i="140" s="1"/>
  <c r="E34" i="140" s="1"/>
  <c r="E35" i="140" s="1"/>
  <c r="E36" i="140" s="1"/>
  <c r="E37" i="140" s="1"/>
  <c r="E38" i="140" s="1"/>
  <c r="E39" i="140" s="1"/>
  <c r="E40" i="140" s="1"/>
  <c r="E41" i="140" s="1"/>
  <c r="E42" i="140" s="1"/>
  <c r="E43" i="140" s="1"/>
  <c r="E44" i="140" s="1"/>
  <c r="E45" i="140" s="1"/>
  <c r="E46" i="140" s="1"/>
  <c r="E47" i="140" s="1"/>
  <c r="E48" i="140" s="1"/>
  <c r="E49" i="140" s="1"/>
  <c r="E50" i="140" s="1"/>
  <c r="E51" i="140" s="1"/>
  <c r="E52" i="140" s="1"/>
  <c r="E53" i="140" s="1"/>
  <c r="E54" i="140" s="1"/>
  <c r="B56" i="141"/>
  <c r="G56" i="141" s="1"/>
  <c r="J55" i="141"/>
  <c r="H55" i="141"/>
  <c r="D55" i="141"/>
  <c r="E8" i="141"/>
  <c r="E9" i="141" s="1"/>
  <c r="E10" i="141" s="1"/>
  <c r="E11" i="141" s="1"/>
  <c r="E12" i="141" s="1"/>
  <c r="E13" i="141" s="1"/>
  <c r="E14" i="141" s="1"/>
  <c r="E15" i="141" s="1"/>
  <c r="E16" i="141" s="1"/>
  <c r="E17" i="141" s="1"/>
  <c r="E18" i="141" s="1"/>
  <c r="E19" i="141" s="1"/>
  <c r="E20" i="141" s="1"/>
  <c r="E21" i="141" s="1"/>
  <c r="E22" i="141" s="1"/>
  <c r="E23" i="141" s="1"/>
  <c r="E24" i="141" s="1"/>
  <c r="E25" i="141" s="1"/>
  <c r="E26" i="141" s="1"/>
  <c r="E27" i="141" s="1"/>
  <c r="E28" i="141" s="1"/>
  <c r="E29" i="141" s="1"/>
  <c r="E30" i="141" s="1"/>
  <c r="E31" i="141" s="1"/>
  <c r="E32" i="141" s="1"/>
  <c r="E33" i="141" s="1"/>
  <c r="E34" i="141" s="1"/>
  <c r="E35" i="141" s="1"/>
  <c r="E36" i="141" s="1"/>
  <c r="E37" i="141" s="1"/>
  <c r="E38" i="141" s="1"/>
  <c r="E39" i="141" s="1"/>
  <c r="E40" i="141" s="1"/>
  <c r="E41" i="141" s="1"/>
  <c r="E42" i="141" s="1"/>
  <c r="E43" i="141" s="1"/>
  <c r="E44" i="141" s="1"/>
  <c r="E45" i="141" s="1"/>
  <c r="E46" i="141" s="1"/>
  <c r="E47" i="141" s="1"/>
  <c r="E48" i="141" s="1"/>
  <c r="E49" i="141" s="1"/>
  <c r="E50" i="141" s="1"/>
  <c r="E51" i="141" s="1"/>
  <c r="E52" i="141" s="1"/>
  <c r="E53" i="141" s="1"/>
  <c r="E54" i="141" s="1"/>
  <c r="J55" i="139"/>
  <c r="H55" i="139"/>
  <c r="F55" i="139"/>
  <c r="D55" i="139"/>
  <c r="E8" i="139"/>
  <c r="E9" i="139" s="1"/>
  <c r="E10" i="139" s="1"/>
  <c r="E11" i="139" s="1"/>
  <c r="E12" i="139" s="1"/>
  <c r="E13" i="139" s="1"/>
  <c r="E14" i="139" s="1"/>
  <c r="E15" i="139" s="1"/>
  <c r="E16" i="139" s="1"/>
  <c r="E17" i="139" s="1"/>
  <c r="E18" i="139" s="1"/>
  <c r="E19" i="139" s="1"/>
  <c r="E20" i="139" s="1"/>
  <c r="E21" i="139" s="1"/>
  <c r="E22" i="139" s="1"/>
  <c r="E23" i="139" s="1"/>
  <c r="E24" i="139" s="1"/>
  <c r="E25" i="139" s="1"/>
  <c r="E26" i="139" s="1"/>
  <c r="E27" i="139" s="1"/>
  <c r="E28" i="139" s="1"/>
  <c r="E29" i="139" s="1"/>
  <c r="E30" i="139" s="1"/>
  <c r="E31" i="139" s="1"/>
  <c r="E32" i="139" s="1"/>
  <c r="E33" i="139" s="1"/>
  <c r="E34" i="139" s="1"/>
  <c r="E35" i="139" s="1"/>
  <c r="E36" i="139" s="1"/>
  <c r="E37" i="139" s="1"/>
  <c r="E38" i="139" s="1"/>
  <c r="E39" i="139" s="1"/>
  <c r="E40" i="139" s="1"/>
  <c r="E41" i="139" s="1"/>
  <c r="E42" i="139" s="1"/>
  <c r="E43" i="139" s="1"/>
  <c r="E44" i="139" s="1"/>
  <c r="E45" i="139" s="1"/>
  <c r="E46" i="139" s="1"/>
  <c r="E47" i="139" s="1"/>
  <c r="E48" i="139" s="1"/>
  <c r="E49" i="139" s="1"/>
  <c r="E50" i="139" s="1"/>
  <c r="E51" i="139" s="1"/>
  <c r="E52" i="139" s="1"/>
  <c r="E53" i="139" s="1"/>
  <c r="E54" i="139" s="1"/>
  <c r="J55" i="138"/>
  <c r="H55" i="138"/>
  <c r="F55" i="138"/>
  <c r="J55" i="137"/>
  <c r="H55" i="137"/>
  <c r="F55" i="137"/>
  <c r="D55" i="137"/>
  <c r="E8" i="137"/>
  <c r="E9" i="137" s="1"/>
  <c r="E10" i="137" s="1"/>
  <c r="E11" i="137" s="1"/>
  <c r="E12" i="137" s="1"/>
  <c r="E13" i="137" s="1"/>
  <c r="E14" i="137" s="1"/>
  <c r="E15" i="137" s="1"/>
  <c r="E16" i="137" s="1"/>
  <c r="E17" i="137" s="1"/>
  <c r="E18" i="137" s="1"/>
  <c r="E19" i="137" s="1"/>
  <c r="E20" i="137" s="1"/>
  <c r="E21" i="137" s="1"/>
  <c r="E22" i="137" s="1"/>
  <c r="E23" i="137" s="1"/>
  <c r="E24" i="137" s="1"/>
  <c r="E25" i="137" s="1"/>
  <c r="E26" i="137" s="1"/>
  <c r="E27" i="137" s="1"/>
  <c r="E28" i="137" s="1"/>
  <c r="E29" i="137" s="1"/>
  <c r="E30" i="137" s="1"/>
  <c r="E31" i="137" s="1"/>
  <c r="E32" i="137" s="1"/>
  <c r="E33" i="137" s="1"/>
  <c r="E34" i="137" s="1"/>
  <c r="E35" i="137" s="1"/>
  <c r="E36" i="137" s="1"/>
  <c r="E37" i="137" s="1"/>
  <c r="E38" i="137" s="1"/>
  <c r="E39" i="137" s="1"/>
  <c r="E40" i="137" s="1"/>
  <c r="E41" i="137" s="1"/>
  <c r="E42" i="137" s="1"/>
  <c r="E43" i="137" s="1"/>
  <c r="E44" i="137" s="1"/>
  <c r="E45" i="137" s="1"/>
  <c r="E46" i="137" s="1"/>
  <c r="E47" i="137" s="1"/>
  <c r="E48" i="137" s="1"/>
  <c r="E49" i="137" s="1"/>
  <c r="E50" i="137" s="1"/>
  <c r="E51" i="137" s="1"/>
  <c r="E52" i="137" s="1"/>
  <c r="E53" i="137" s="1"/>
  <c r="E54" i="137" s="1"/>
  <c r="P56" i="134" l="1"/>
  <c r="C42" i="100" s="1"/>
  <c r="D74" i="100"/>
  <c r="K11" i="132" s="1"/>
  <c r="J60" i="136"/>
  <c r="E56" i="137"/>
  <c r="F13" i="132" s="1"/>
  <c r="E56" i="141"/>
  <c r="F20" i="132" s="1"/>
  <c r="D76" i="100"/>
  <c r="K12" i="132"/>
  <c r="E56" i="139"/>
  <c r="E20" i="132"/>
  <c r="B60" i="100"/>
  <c r="H9" i="132"/>
  <c r="G56" i="137"/>
  <c r="E13" i="132"/>
  <c r="E56" i="138"/>
  <c r="F14" i="132" s="1"/>
  <c r="E16" i="132"/>
  <c r="B42" i="100"/>
  <c r="D58" i="100"/>
  <c r="E18" i="132"/>
  <c r="AF56" i="135"/>
  <c r="D59" i="100" s="1"/>
  <c r="K10" i="132" s="1"/>
  <c r="C59" i="100"/>
  <c r="G56" i="138"/>
  <c r="E56" i="140"/>
  <c r="B43" i="100"/>
  <c r="E58" i="135"/>
  <c r="C58" i="100"/>
  <c r="AA56" i="134"/>
  <c r="U56" i="134"/>
  <c r="D42" i="100" s="1"/>
  <c r="J56" i="141" l="1"/>
  <c r="G20" i="132" s="1"/>
  <c r="J56" i="137"/>
  <c r="G13" i="132" s="1"/>
  <c r="C60" i="100"/>
  <c r="B44" i="100"/>
  <c r="K9" i="132"/>
  <c r="D60" i="100"/>
  <c r="J56" i="139"/>
  <c r="G16" i="132" s="1"/>
  <c r="F16" i="132"/>
  <c r="AF56" i="134"/>
  <c r="D43" i="100" s="1"/>
  <c r="D44" i="100" s="1"/>
  <c r="C43" i="100"/>
  <c r="C44" i="100" s="1"/>
  <c r="J56" i="140"/>
  <c r="G18" i="132" s="1"/>
  <c r="F18" i="132"/>
  <c r="J58" i="135"/>
  <c r="J56" i="138"/>
  <c r="G14" i="132" s="1"/>
  <c r="F55" i="134"/>
  <c r="D55" i="134"/>
  <c r="AI56" i="131"/>
  <c r="AQ55" i="131"/>
  <c r="AO55" i="131"/>
  <c r="AM55" i="131"/>
  <c r="AK55" i="131"/>
  <c r="AI55" i="131"/>
  <c r="AL8" i="131"/>
  <c r="AL9" i="131" s="1"/>
  <c r="AL10" i="131" s="1"/>
  <c r="AL11" i="131" s="1"/>
  <c r="AL12" i="131" s="1"/>
  <c r="AL13" i="131" s="1"/>
  <c r="AL14" i="131" s="1"/>
  <c r="AL15" i="131" s="1"/>
  <c r="AL16" i="131" s="1"/>
  <c r="AL17" i="131" s="1"/>
  <c r="AL18" i="131" s="1"/>
  <c r="AL19" i="131" s="1"/>
  <c r="AL20" i="131" s="1"/>
  <c r="AL21" i="131" s="1"/>
  <c r="AL22" i="131" s="1"/>
  <c r="AL23" i="131" s="1"/>
  <c r="AL24" i="131" s="1"/>
  <c r="AL25" i="131" s="1"/>
  <c r="AL26" i="131" s="1"/>
  <c r="AL27" i="131" s="1"/>
  <c r="AL28" i="131" s="1"/>
  <c r="AL29" i="131" s="1"/>
  <c r="AL30" i="131" s="1"/>
  <c r="AL31" i="131" s="1"/>
  <c r="AL32" i="131" s="1"/>
  <c r="AL33" i="131" s="1"/>
  <c r="AL34" i="131" s="1"/>
  <c r="AL35" i="131" s="1"/>
  <c r="AL36" i="131" s="1"/>
  <c r="AL37" i="131" s="1"/>
  <c r="AL38" i="131" s="1"/>
  <c r="AL39" i="131" s="1"/>
  <c r="AL40" i="131" s="1"/>
  <c r="AL41" i="131" s="1"/>
  <c r="AL42" i="131" s="1"/>
  <c r="AL43" i="131" s="1"/>
  <c r="AL44" i="131" s="1"/>
  <c r="AL45" i="131" s="1"/>
  <c r="AL46" i="131" s="1"/>
  <c r="AL47" i="131" s="1"/>
  <c r="AL48" i="131" s="1"/>
  <c r="AL49" i="131" s="1"/>
  <c r="AL50" i="131" s="1"/>
  <c r="AL51" i="131" s="1"/>
  <c r="AL52" i="131" s="1"/>
  <c r="AL53" i="131" s="1"/>
  <c r="AL54" i="131" s="1"/>
  <c r="B56" i="136"/>
  <c r="J55" i="136"/>
  <c r="H55" i="136"/>
  <c r="B55" i="136"/>
  <c r="E8" i="136"/>
  <c r="E9" i="136" s="1"/>
  <c r="E10" i="136" s="1"/>
  <c r="E11" i="136" s="1"/>
  <c r="E12" i="136" s="1"/>
  <c r="E13" i="136" s="1"/>
  <c r="E14" i="136" s="1"/>
  <c r="E15" i="136" s="1"/>
  <c r="E16" i="136" s="1"/>
  <c r="E17" i="136" s="1"/>
  <c r="E18" i="136" s="1"/>
  <c r="E19" i="136" s="1"/>
  <c r="E20" i="136" s="1"/>
  <c r="E21" i="136" s="1"/>
  <c r="E22" i="136" s="1"/>
  <c r="E23" i="136" s="1"/>
  <c r="E24" i="136" s="1"/>
  <c r="E25" i="136" s="1"/>
  <c r="E26" i="136" s="1"/>
  <c r="E27" i="136" s="1"/>
  <c r="E28" i="136" s="1"/>
  <c r="E29" i="136" s="1"/>
  <c r="E30" i="136" s="1"/>
  <c r="E31" i="136" s="1"/>
  <c r="E32" i="136" s="1"/>
  <c r="E33" i="136" s="1"/>
  <c r="E34" i="136" s="1"/>
  <c r="E35" i="136" s="1"/>
  <c r="E36" i="136" s="1"/>
  <c r="E37" i="136" s="1"/>
  <c r="E38" i="136" s="1"/>
  <c r="E39" i="136" s="1"/>
  <c r="E40" i="136" s="1"/>
  <c r="E41" i="136" s="1"/>
  <c r="E42" i="136" s="1"/>
  <c r="E43" i="136" s="1"/>
  <c r="E44" i="136" s="1"/>
  <c r="E45" i="136" s="1"/>
  <c r="E46" i="136" s="1"/>
  <c r="E47" i="136" s="1"/>
  <c r="E48" i="136" s="1"/>
  <c r="E49" i="136" s="1"/>
  <c r="E50" i="136" s="1"/>
  <c r="E51" i="136" s="1"/>
  <c r="E52" i="136" s="1"/>
  <c r="E53" i="136" s="1"/>
  <c r="E54" i="136" s="1"/>
  <c r="B56" i="135"/>
  <c r="J55" i="135"/>
  <c r="B55" i="135"/>
  <c r="E8" i="135"/>
  <c r="E9" i="135" s="1"/>
  <c r="E10" i="135" s="1"/>
  <c r="E11" i="135" s="1"/>
  <c r="E12" i="135" s="1"/>
  <c r="E13" i="135" s="1"/>
  <c r="E14" i="135" s="1"/>
  <c r="E15" i="135" s="1"/>
  <c r="E16" i="135" s="1"/>
  <c r="E17" i="135" s="1"/>
  <c r="E18" i="135" s="1"/>
  <c r="E19" i="135" s="1"/>
  <c r="E20" i="135" s="1"/>
  <c r="E21" i="135" s="1"/>
  <c r="E22" i="135" s="1"/>
  <c r="E23" i="135" s="1"/>
  <c r="E24" i="135" s="1"/>
  <c r="E25" i="135" s="1"/>
  <c r="E26" i="135" s="1"/>
  <c r="E27" i="135" s="1"/>
  <c r="E28" i="135" s="1"/>
  <c r="E29" i="135" s="1"/>
  <c r="E30" i="135" s="1"/>
  <c r="E31" i="135" s="1"/>
  <c r="E32" i="135" s="1"/>
  <c r="E33" i="135" s="1"/>
  <c r="E34" i="135" s="1"/>
  <c r="E35" i="135" s="1"/>
  <c r="E36" i="135" s="1"/>
  <c r="E37" i="135" s="1"/>
  <c r="E38" i="135" s="1"/>
  <c r="E39" i="135" s="1"/>
  <c r="E40" i="135" s="1"/>
  <c r="E41" i="135" s="1"/>
  <c r="E42" i="135" s="1"/>
  <c r="E43" i="135" s="1"/>
  <c r="E44" i="135" s="1"/>
  <c r="E45" i="135" s="1"/>
  <c r="E46" i="135" s="1"/>
  <c r="E47" i="135" s="1"/>
  <c r="E48" i="135" s="1"/>
  <c r="E49" i="135" s="1"/>
  <c r="E50" i="135" s="1"/>
  <c r="E51" i="135" s="1"/>
  <c r="E52" i="135" s="1"/>
  <c r="E53" i="135" s="1"/>
  <c r="E54" i="135" s="1"/>
  <c r="B56" i="134"/>
  <c r="G56" i="134" s="1"/>
  <c r="J55" i="134"/>
  <c r="H55" i="134"/>
  <c r="B55" i="134"/>
  <c r="E8" i="134"/>
  <c r="E9" i="134" s="1"/>
  <c r="E10" i="134" s="1"/>
  <c r="E11" i="134" s="1"/>
  <c r="E12" i="134" s="1"/>
  <c r="E13" i="134" s="1"/>
  <c r="E14" i="134" s="1"/>
  <c r="E15" i="134" s="1"/>
  <c r="E16" i="134" s="1"/>
  <c r="E17" i="134" s="1"/>
  <c r="E18" i="134" s="1"/>
  <c r="E19" i="134" s="1"/>
  <c r="E20" i="134" s="1"/>
  <c r="E21" i="134" s="1"/>
  <c r="E22" i="134" s="1"/>
  <c r="E23" i="134" s="1"/>
  <c r="E24" i="134" s="1"/>
  <c r="E25" i="134" s="1"/>
  <c r="E26" i="134" s="1"/>
  <c r="E27" i="134" s="1"/>
  <c r="E28" i="134" s="1"/>
  <c r="E29" i="134" s="1"/>
  <c r="E30" i="134" s="1"/>
  <c r="E31" i="134" s="1"/>
  <c r="E32" i="134" s="1"/>
  <c r="E33" i="134" s="1"/>
  <c r="E34" i="134" s="1"/>
  <c r="E35" i="134" s="1"/>
  <c r="E36" i="134" s="1"/>
  <c r="E37" i="134" s="1"/>
  <c r="E38" i="134" s="1"/>
  <c r="E39" i="134" s="1"/>
  <c r="E40" i="134" s="1"/>
  <c r="E41" i="134" s="1"/>
  <c r="E42" i="134" s="1"/>
  <c r="E43" i="134" s="1"/>
  <c r="E44" i="134" s="1"/>
  <c r="E45" i="134" s="1"/>
  <c r="E46" i="134" s="1"/>
  <c r="E47" i="134" s="1"/>
  <c r="E48" i="134" s="1"/>
  <c r="E49" i="134" s="1"/>
  <c r="E50" i="134" s="1"/>
  <c r="E51" i="134" s="1"/>
  <c r="E52" i="134" s="1"/>
  <c r="E53" i="134" s="1"/>
  <c r="E54" i="134" s="1"/>
  <c r="AN56" i="131" l="1"/>
  <c r="B10" i="100"/>
  <c r="E56" i="136"/>
  <c r="G56" i="136"/>
  <c r="E11" i="132"/>
  <c r="E56" i="135"/>
  <c r="F9" i="132" s="1"/>
  <c r="G56" i="135"/>
  <c r="E9" i="132"/>
  <c r="E7" i="132"/>
  <c r="AL56" i="131"/>
  <c r="E56" i="134"/>
  <c r="F55" i="131"/>
  <c r="X56" i="131"/>
  <c r="AC56" i="131" s="1"/>
  <c r="AF55" i="131"/>
  <c r="AD55" i="131"/>
  <c r="AB55" i="131"/>
  <c r="Z55" i="131"/>
  <c r="X55" i="131"/>
  <c r="AA8" i="131"/>
  <c r="AA9" i="131" s="1"/>
  <c r="AA10" i="131" s="1"/>
  <c r="AA11" i="131" s="1"/>
  <c r="AA12" i="131" s="1"/>
  <c r="AA13" i="131" s="1"/>
  <c r="AA14" i="131" s="1"/>
  <c r="AA15" i="131" s="1"/>
  <c r="AA16" i="131" s="1"/>
  <c r="AA17" i="131" s="1"/>
  <c r="AA18" i="131" s="1"/>
  <c r="AA19" i="131" s="1"/>
  <c r="AA20" i="131" s="1"/>
  <c r="AA21" i="131" s="1"/>
  <c r="AA22" i="131" s="1"/>
  <c r="AA23" i="131" s="1"/>
  <c r="AA24" i="131" s="1"/>
  <c r="AA25" i="131" s="1"/>
  <c r="AA26" i="131" s="1"/>
  <c r="AA27" i="131" s="1"/>
  <c r="AA28" i="131" s="1"/>
  <c r="AA29" i="131" s="1"/>
  <c r="AA30" i="131" s="1"/>
  <c r="AA31" i="131" s="1"/>
  <c r="AA32" i="131" s="1"/>
  <c r="AA33" i="131" s="1"/>
  <c r="AA34" i="131" s="1"/>
  <c r="AA35" i="131" s="1"/>
  <c r="AA36" i="131" s="1"/>
  <c r="AA37" i="131" s="1"/>
  <c r="AA38" i="131" s="1"/>
  <c r="AA39" i="131" s="1"/>
  <c r="AA40" i="131" s="1"/>
  <c r="AA41" i="131" s="1"/>
  <c r="AA42" i="131" s="1"/>
  <c r="AA43" i="131" s="1"/>
  <c r="AA44" i="131" s="1"/>
  <c r="AA45" i="131" s="1"/>
  <c r="AA46" i="131" s="1"/>
  <c r="AA47" i="131" s="1"/>
  <c r="AA48" i="131" s="1"/>
  <c r="AA49" i="131" s="1"/>
  <c r="AA50" i="131" s="1"/>
  <c r="AA51" i="131" s="1"/>
  <c r="AA52" i="131" s="1"/>
  <c r="AA53" i="131" s="1"/>
  <c r="AA54" i="131" s="1"/>
  <c r="M56" i="131"/>
  <c r="U55" i="131"/>
  <c r="S55" i="131"/>
  <c r="Q55" i="131"/>
  <c r="O55" i="131"/>
  <c r="M55" i="131"/>
  <c r="P8" i="131"/>
  <c r="P9" i="131" s="1"/>
  <c r="P10" i="131" s="1"/>
  <c r="P11" i="131" s="1"/>
  <c r="P12" i="131" s="1"/>
  <c r="P13" i="131" s="1"/>
  <c r="P14" i="131" s="1"/>
  <c r="P15" i="131" s="1"/>
  <c r="P16" i="131" s="1"/>
  <c r="P17" i="131" s="1"/>
  <c r="P18" i="131" s="1"/>
  <c r="P19" i="131" s="1"/>
  <c r="P20" i="131" s="1"/>
  <c r="P21" i="131" s="1"/>
  <c r="P22" i="131" s="1"/>
  <c r="P23" i="131" s="1"/>
  <c r="P24" i="131" s="1"/>
  <c r="P25" i="131" s="1"/>
  <c r="P26" i="131" s="1"/>
  <c r="P27" i="131" s="1"/>
  <c r="P28" i="131" s="1"/>
  <c r="P29" i="131" s="1"/>
  <c r="P30" i="131" s="1"/>
  <c r="P31" i="131" s="1"/>
  <c r="P32" i="131" s="1"/>
  <c r="P33" i="131" s="1"/>
  <c r="P34" i="131" s="1"/>
  <c r="P35" i="131" s="1"/>
  <c r="P36" i="131" s="1"/>
  <c r="P37" i="131" s="1"/>
  <c r="P38" i="131" s="1"/>
  <c r="P39" i="131" s="1"/>
  <c r="P40" i="131" s="1"/>
  <c r="P41" i="131" s="1"/>
  <c r="P42" i="131" s="1"/>
  <c r="P43" i="131" s="1"/>
  <c r="P44" i="131" s="1"/>
  <c r="P45" i="131" s="1"/>
  <c r="P46" i="131" s="1"/>
  <c r="P47" i="131" s="1"/>
  <c r="P48" i="131" s="1"/>
  <c r="P49" i="131" s="1"/>
  <c r="P50" i="131" s="1"/>
  <c r="P51" i="131" s="1"/>
  <c r="P52" i="131" s="1"/>
  <c r="P53" i="131" s="1"/>
  <c r="P54" i="131" s="1"/>
  <c r="R56" i="131" l="1"/>
  <c r="B58" i="131"/>
  <c r="J56" i="136"/>
  <c r="G11" i="132" s="1"/>
  <c r="F11" i="132"/>
  <c r="AQ56" i="131"/>
  <c r="D10" i="100" s="1"/>
  <c r="C10" i="100"/>
  <c r="J56" i="135"/>
  <c r="G9" i="132" s="1"/>
  <c r="J56" i="134"/>
  <c r="G7" i="132" s="1"/>
  <c r="F7" i="132"/>
  <c r="B28" i="100"/>
  <c r="AA56" i="131"/>
  <c r="C9" i="100" s="1"/>
  <c r="B11" i="100"/>
  <c r="B9" i="100"/>
  <c r="P56" i="131"/>
  <c r="D55" i="133"/>
  <c r="B55" i="133"/>
  <c r="B56" i="133"/>
  <c r="E5" i="132" s="1"/>
  <c r="J55" i="133"/>
  <c r="H55" i="133"/>
  <c r="F55" i="133"/>
  <c r="E8" i="133"/>
  <c r="E9" i="133" s="1"/>
  <c r="E10" i="133" s="1"/>
  <c r="E11" i="133" s="1"/>
  <c r="E12" i="133" s="1"/>
  <c r="E13" i="133" s="1"/>
  <c r="E14" i="133" s="1"/>
  <c r="E15" i="133" s="1"/>
  <c r="E16" i="133" s="1"/>
  <c r="E17" i="133" s="1"/>
  <c r="E18" i="133" s="1"/>
  <c r="E19" i="133" s="1"/>
  <c r="E20" i="133" s="1"/>
  <c r="E21" i="133" s="1"/>
  <c r="E22" i="133" s="1"/>
  <c r="E23" i="133" s="1"/>
  <c r="E24" i="133" s="1"/>
  <c r="E25" i="133" s="1"/>
  <c r="E26" i="133" s="1"/>
  <c r="E27" i="133" s="1"/>
  <c r="E28" i="133" s="1"/>
  <c r="E29" i="133" s="1"/>
  <c r="E30" i="133" s="1"/>
  <c r="E31" i="133" s="1"/>
  <c r="E32" i="133" s="1"/>
  <c r="E33" i="133" s="1"/>
  <c r="E34" i="133" s="1"/>
  <c r="E35" i="133" s="1"/>
  <c r="E36" i="133" s="1"/>
  <c r="E37" i="133" s="1"/>
  <c r="E38" i="133" s="1"/>
  <c r="E39" i="133" s="1"/>
  <c r="E40" i="133" s="1"/>
  <c r="E41" i="133" s="1"/>
  <c r="E42" i="133" s="1"/>
  <c r="E43" i="133" s="1"/>
  <c r="E44" i="133" s="1"/>
  <c r="E45" i="133" s="1"/>
  <c r="E46" i="133" s="1"/>
  <c r="E47" i="133" s="1"/>
  <c r="E48" i="133" s="1"/>
  <c r="E49" i="133" s="1"/>
  <c r="E50" i="133" s="1"/>
  <c r="E51" i="133" s="1"/>
  <c r="E52" i="133" s="1"/>
  <c r="E53" i="133" s="1"/>
  <c r="E54" i="133" s="1"/>
  <c r="E58" i="131" l="1"/>
  <c r="G56" i="133"/>
  <c r="AF56" i="131"/>
  <c r="D9" i="100" s="1"/>
  <c r="U56" i="131"/>
  <c r="C11" i="100"/>
  <c r="C12" i="100" s="1"/>
  <c r="D28" i="100"/>
  <c r="C28" i="100"/>
  <c r="B12" i="100"/>
  <c r="E56" i="133"/>
  <c r="F5" i="132" s="1"/>
  <c r="H151" i="132"/>
  <c r="K151" i="132"/>
  <c r="D11" i="100" l="1"/>
  <c r="D12" i="100" s="1"/>
  <c r="J58" i="131"/>
  <c r="J56" i="133"/>
  <c r="G5" i="132" s="1"/>
  <c r="B55" i="131"/>
  <c r="B56" i="131"/>
  <c r="E2" i="132" l="1"/>
  <c r="G56" i="131"/>
  <c r="J55" i="131"/>
  <c r="H55" i="131"/>
  <c r="D55" i="131"/>
  <c r="E8" i="131"/>
  <c r="E9" i="131" s="1"/>
  <c r="E10" i="131" s="1"/>
  <c r="E11" i="131" s="1"/>
  <c r="E12" i="131" s="1"/>
  <c r="E13" i="131" s="1"/>
  <c r="E14" i="131" s="1"/>
  <c r="E15" i="131" s="1"/>
  <c r="E16" i="131" s="1"/>
  <c r="E17" i="131" s="1"/>
  <c r="E18" i="131" s="1"/>
  <c r="E19" i="131" s="1"/>
  <c r="E20" i="131" s="1"/>
  <c r="E21" i="131" s="1"/>
  <c r="E22" i="131" s="1"/>
  <c r="E23" i="131" s="1"/>
  <c r="E24" i="131" s="1"/>
  <c r="E25" i="131" s="1"/>
  <c r="E26" i="131" s="1"/>
  <c r="E27" i="131" s="1"/>
  <c r="E28" i="131" s="1"/>
  <c r="E29" i="131" s="1"/>
  <c r="E30" i="131" s="1"/>
  <c r="E31" i="131" s="1"/>
  <c r="E32" i="131" s="1"/>
  <c r="E33" i="131" s="1"/>
  <c r="E34" i="131" s="1"/>
  <c r="E35" i="131" s="1"/>
  <c r="E36" i="131" s="1"/>
  <c r="E37" i="131" s="1"/>
  <c r="E38" i="131" s="1"/>
  <c r="E39" i="131" s="1"/>
  <c r="E40" i="131" s="1"/>
  <c r="E41" i="131" s="1"/>
  <c r="E42" i="131" s="1"/>
  <c r="E43" i="131" s="1"/>
  <c r="E44" i="131" s="1"/>
  <c r="E45" i="131" s="1"/>
  <c r="E46" i="131" s="1"/>
  <c r="E47" i="131" s="1"/>
  <c r="E48" i="131" s="1"/>
  <c r="E49" i="131" s="1"/>
  <c r="E50" i="131" s="1"/>
  <c r="E51" i="131" s="1"/>
  <c r="E52" i="131" s="1"/>
  <c r="E53" i="131" s="1"/>
  <c r="E54" i="131" s="1"/>
  <c r="E56" i="131" l="1"/>
  <c r="F2" i="132" l="1"/>
  <c r="F151" i="132" s="1"/>
  <c r="E151" i="132"/>
  <c r="H154" i="132" s="1"/>
  <c r="J56" i="131"/>
  <c r="G2" i="132" s="1"/>
  <c r="G151" i="132" s="1"/>
  <c r="K154" i="132" s="1"/>
</calcChain>
</file>

<file path=xl/sharedStrings.xml><?xml version="1.0" encoding="utf-8"?>
<sst xmlns="http://schemas.openxmlformats.org/spreadsheetml/2006/main" count="3251" uniqueCount="95">
  <si>
    <t xml:space="preserve">Акт покипного отвеса </t>
  </si>
  <si>
    <t>Лаборатория: хлопзавод при ООО "Navbahor Tekstil"</t>
  </si>
  <si>
    <t>Марка №</t>
  </si>
  <si>
    <t>№</t>
  </si>
  <si>
    <t>Масса</t>
  </si>
  <si>
    <t>Итого кип</t>
  </si>
  <si>
    <t>Масса брутто</t>
  </si>
  <si>
    <t>Тары</t>
  </si>
  <si>
    <t>Масса нетто</t>
  </si>
  <si>
    <t>Лаборант:</t>
  </si>
  <si>
    <t>Жами</t>
  </si>
  <si>
    <t>СИФАТ     СЕРТИФИКАТИ</t>
  </si>
  <si>
    <t>Завод</t>
  </si>
  <si>
    <t>Той сони</t>
  </si>
  <si>
    <t>Брутто (кг)</t>
  </si>
  <si>
    <t>Нетто (кг)</t>
  </si>
  <si>
    <t>Тахлил натижалари</t>
  </si>
  <si>
    <t>Ифлослик</t>
  </si>
  <si>
    <t>Намлик</t>
  </si>
  <si>
    <t>Тип</t>
  </si>
  <si>
    <t>Нав</t>
  </si>
  <si>
    <t>Синф</t>
  </si>
  <si>
    <t>Пишиб етилганлик коэффициенти</t>
  </si>
  <si>
    <t>Штапел узунлиги коди</t>
  </si>
  <si>
    <t>Микронейр</t>
  </si>
  <si>
    <t>Всего:</t>
  </si>
  <si>
    <t xml:space="preserve">"Navbahor Tekstil" МЧЖ </t>
  </si>
  <si>
    <t xml:space="preserve">                   хлопзавод при ООО "Navbahor Tekstil"</t>
  </si>
  <si>
    <t>лаборатория мудири :</t>
  </si>
  <si>
    <t>____________</t>
  </si>
  <si>
    <t>С.С.Мухаммадиев</t>
  </si>
  <si>
    <r>
      <t xml:space="preserve">Махсулот номи:  </t>
    </r>
    <r>
      <rPr>
        <sz val="14"/>
        <color theme="1"/>
        <rFont val="Times New Roman"/>
        <family val="1"/>
        <charset val="204"/>
      </rPr>
      <t>Пахта толаси.</t>
    </r>
  </si>
  <si>
    <r>
      <t xml:space="preserve">Лаборатория: </t>
    </r>
    <r>
      <rPr>
        <sz val="14"/>
        <color theme="1"/>
        <rFont val="Times New Roman"/>
        <family val="1"/>
        <charset val="204"/>
      </rPr>
      <t xml:space="preserve"> "Navbahor Tekstil" МЧЖ га қарашли пахта заводи.</t>
    </r>
  </si>
  <si>
    <t>Корхона олди</t>
  </si>
  <si>
    <t xml:space="preserve">Марка </t>
  </si>
  <si>
    <t>Кип сони</t>
  </si>
  <si>
    <t>Брутто</t>
  </si>
  <si>
    <t>Нетто</t>
  </si>
  <si>
    <t>той сони</t>
  </si>
  <si>
    <t>нав</t>
  </si>
  <si>
    <t>синф</t>
  </si>
  <si>
    <t>яхши</t>
  </si>
  <si>
    <r>
      <t xml:space="preserve">Марка: </t>
    </r>
    <r>
      <rPr>
        <sz val="14"/>
        <color theme="1"/>
        <rFont val="Times New Roman"/>
        <family val="1"/>
        <charset val="204"/>
      </rPr>
      <t>№  201</t>
    </r>
  </si>
  <si>
    <t>ПТМ</t>
  </si>
  <si>
    <t>Бухоро 102</t>
  </si>
  <si>
    <t>С01</t>
  </si>
  <si>
    <t>Нави</t>
  </si>
  <si>
    <t>1 оддий</t>
  </si>
  <si>
    <t>1 яхши</t>
  </si>
  <si>
    <t>оддий</t>
  </si>
  <si>
    <t>1 урта</t>
  </si>
  <si>
    <r>
      <t xml:space="preserve">Марка: </t>
    </r>
    <r>
      <rPr>
        <sz val="14"/>
        <color theme="1"/>
        <rFont val="Times New Roman"/>
        <family val="1"/>
        <charset val="204"/>
      </rPr>
      <t>№  202</t>
    </r>
  </si>
  <si>
    <t>урта</t>
  </si>
  <si>
    <t>ўрта</t>
  </si>
  <si>
    <t>1 ўрта</t>
  </si>
  <si>
    <r>
      <t xml:space="preserve">Марка: </t>
    </r>
    <r>
      <rPr>
        <sz val="14"/>
        <color theme="1"/>
        <rFont val="Times New Roman"/>
        <family val="1"/>
        <charset val="204"/>
      </rPr>
      <t>№  203</t>
    </r>
  </si>
  <si>
    <r>
      <t xml:space="preserve">Марка: </t>
    </r>
    <r>
      <rPr>
        <sz val="14"/>
        <color theme="1"/>
        <rFont val="Times New Roman"/>
        <family val="1"/>
        <charset val="204"/>
      </rPr>
      <t>№  204</t>
    </r>
  </si>
  <si>
    <r>
      <t xml:space="preserve">Марка: </t>
    </r>
    <r>
      <rPr>
        <sz val="14"/>
        <color theme="1"/>
        <rFont val="Times New Roman"/>
        <family val="1"/>
        <charset val="204"/>
      </rPr>
      <t>№  205</t>
    </r>
  </si>
  <si>
    <t>Хоразм 127</t>
  </si>
  <si>
    <r>
      <t xml:space="preserve">Марка: </t>
    </r>
    <r>
      <rPr>
        <sz val="14"/>
        <color theme="1"/>
        <rFont val="Times New Roman"/>
        <family val="1"/>
        <charset val="204"/>
      </rPr>
      <t>№  206</t>
    </r>
  </si>
  <si>
    <t xml:space="preserve">Тара </t>
  </si>
  <si>
    <t>Тара</t>
  </si>
  <si>
    <r>
      <t xml:space="preserve">Марка: </t>
    </r>
    <r>
      <rPr>
        <sz val="14"/>
        <color theme="1"/>
        <rFont val="Times New Roman"/>
        <family val="1"/>
        <charset val="204"/>
      </rPr>
      <t>№  207</t>
    </r>
  </si>
  <si>
    <t>ифлос</t>
  </si>
  <si>
    <t>1 ифлос</t>
  </si>
  <si>
    <r>
      <t xml:space="preserve">Марка: </t>
    </r>
    <r>
      <rPr>
        <sz val="14"/>
        <color theme="1"/>
        <rFont val="Times New Roman"/>
        <family val="1"/>
        <charset val="204"/>
      </rPr>
      <t>№  208</t>
    </r>
  </si>
  <si>
    <r>
      <t xml:space="preserve">Марка: </t>
    </r>
    <r>
      <rPr>
        <sz val="14"/>
        <color theme="1"/>
        <rFont val="Times New Roman"/>
        <family val="1"/>
        <charset val="204"/>
      </rPr>
      <t>№  209</t>
    </r>
  </si>
  <si>
    <r>
      <t xml:space="preserve">Марка: </t>
    </r>
    <r>
      <rPr>
        <sz val="14"/>
        <color theme="1"/>
        <rFont val="Times New Roman"/>
        <family val="1"/>
        <charset val="204"/>
      </rPr>
      <t>№  210</t>
    </r>
  </si>
  <si>
    <r>
      <t xml:space="preserve">Марка: </t>
    </r>
    <r>
      <rPr>
        <sz val="14"/>
        <color theme="1"/>
        <rFont val="Times New Roman"/>
        <family val="1"/>
        <charset val="204"/>
      </rPr>
      <t>№  211</t>
    </r>
  </si>
  <si>
    <r>
      <t xml:space="preserve">Марка: </t>
    </r>
    <r>
      <rPr>
        <sz val="14"/>
        <color theme="1"/>
        <rFont val="Times New Roman"/>
        <family val="1"/>
        <charset val="204"/>
      </rPr>
      <t>№  212</t>
    </r>
  </si>
  <si>
    <t>утра</t>
  </si>
  <si>
    <r>
      <t xml:space="preserve">Марка: </t>
    </r>
    <r>
      <rPr>
        <sz val="14"/>
        <color theme="1"/>
        <rFont val="Times New Roman"/>
        <family val="1"/>
        <charset val="204"/>
      </rPr>
      <t>№  213</t>
    </r>
  </si>
  <si>
    <r>
      <t xml:space="preserve">Марка: </t>
    </r>
    <r>
      <rPr>
        <sz val="14"/>
        <color theme="1"/>
        <rFont val="Times New Roman"/>
        <family val="1"/>
        <charset val="204"/>
      </rPr>
      <t>№  214</t>
    </r>
  </si>
  <si>
    <t>кул терим</t>
  </si>
  <si>
    <r>
      <t xml:space="preserve">Марка: </t>
    </r>
    <r>
      <rPr>
        <sz val="14"/>
        <color theme="1"/>
        <rFont val="Times New Roman"/>
        <family val="1"/>
        <charset val="204"/>
      </rPr>
      <t>№  215</t>
    </r>
  </si>
  <si>
    <r>
      <t xml:space="preserve">Марка: </t>
    </r>
    <r>
      <rPr>
        <sz val="14"/>
        <color theme="1"/>
        <rFont val="Times New Roman"/>
        <family val="1"/>
        <charset val="204"/>
      </rPr>
      <t>№  216</t>
    </r>
  </si>
  <si>
    <t>1яхши</t>
  </si>
  <si>
    <r>
      <t xml:space="preserve">Марка: </t>
    </r>
    <r>
      <rPr>
        <sz val="14"/>
        <color theme="1"/>
        <rFont val="Times New Roman"/>
        <family val="1"/>
        <charset val="204"/>
      </rPr>
      <t>№  217</t>
    </r>
  </si>
  <si>
    <r>
      <t xml:space="preserve">Марка: </t>
    </r>
    <r>
      <rPr>
        <sz val="14"/>
        <color theme="1"/>
        <rFont val="Times New Roman"/>
        <family val="1"/>
        <charset val="204"/>
      </rPr>
      <t>№  218</t>
    </r>
  </si>
  <si>
    <r>
      <t xml:space="preserve">Марка: </t>
    </r>
    <r>
      <rPr>
        <sz val="14"/>
        <color theme="1"/>
        <rFont val="Times New Roman"/>
        <family val="1"/>
        <charset val="204"/>
      </rPr>
      <t>№  219</t>
    </r>
  </si>
  <si>
    <r>
      <t xml:space="preserve">Марка: </t>
    </r>
    <r>
      <rPr>
        <sz val="14"/>
        <color theme="1"/>
        <rFont val="Times New Roman"/>
        <family val="1"/>
        <charset val="204"/>
      </rPr>
      <t>№  220</t>
    </r>
  </si>
  <si>
    <t>Элиза</t>
  </si>
  <si>
    <r>
      <t xml:space="preserve">Марка: </t>
    </r>
    <r>
      <rPr>
        <sz val="14"/>
        <color theme="1"/>
        <rFont val="Times New Roman"/>
        <family val="1"/>
        <charset val="204"/>
      </rPr>
      <t>№  222</t>
    </r>
  </si>
  <si>
    <r>
      <t xml:space="preserve">Марка: </t>
    </r>
    <r>
      <rPr>
        <sz val="14"/>
        <color theme="1"/>
        <rFont val="Times New Roman"/>
        <family val="1"/>
        <charset val="204"/>
      </rPr>
      <t xml:space="preserve">№  221 </t>
    </r>
    <r>
      <rPr>
        <sz val="14"/>
        <color rgb="FFFF0000"/>
        <rFont val="Times New Roman"/>
        <family val="1"/>
        <charset val="204"/>
      </rPr>
      <t>Элиза</t>
    </r>
  </si>
  <si>
    <r>
      <t xml:space="preserve">Марка: </t>
    </r>
    <r>
      <rPr>
        <sz val="14"/>
        <color theme="1"/>
        <rFont val="Times New Roman"/>
        <family val="1"/>
        <charset val="204"/>
      </rPr>
      <t>№  223</t>
    </r>
  </si>
  <si>
    <r>
      <t xml:space="preserve">Марка: </t>
    </r>
    <r>
      <rPr>
        <sz val="14"/>
        <color theme="1"/>
        <rFont val="Times New Roman"/>
        <family val="1"/>
        <charset val="204"/>
      </rPr>
      <t>№  224</t>
    </r>
  </si>
  <si>
    <r>
      <t xml:space="preserve">Марка: </t>
    </r>
    <r>
      <rPr>
        <sz val="14"/>
        <color theme="1"/>
        <rFont val="Times New Roman"/>
        <family val="1"/>
        <charset val="204"/>
      </rPr>
      <t>№  225</t>
    </r>
  </si>
  <si>
    <r>
      <t xml:space="preserve">Марка: </t>
    </r>
    <r>
      <rPr>
        <sz val="14"/>
        <color theme="1"/>
        <rFont val="Times New Roman"/>
        <family val="1"/>
        <charset val="204"/>
      </rPr>
      <t>№  226</t>
    </r>
  </si>
  <si>
    <r>
      <t xml:space="preserve">Марка: </t>
    </r>
    <r>
      <rPr>
        <sz val="14"/>
        <color theme="1"/>
        <rFont val="Times New Roman"/>
        <family val="1"/>
        <charset val="204"/>
      </rPr>
      <t>№  227</t>
    </r>
  </si>
  <si>
    <r>
      <t xml:space="preserve">Марка: </t>
    </r>
    <r>
      <rPr>
        <sz val="14"/>
        <color theme="1"/>
        <rFont val="Times New Roman"/>
        <family val="1"/>
        <charset val="204"/>
      </rPr>
      <t>№  228</t>
    </r>
  </si>
  <si>
    <r>
      <t xml:space="preserve">Марка: </t>
    </r>
    <r>
      <rPr>
        <sz val="14"/>
        <color theme="1"/>
        <rFont val="Times New Roman"/>
        <family val="1"/>
        <charset val="204"/>
      </rPr>
      <t>№  229</t>
    </r>
  </si>
  <si>
    <r>
      <t xml:space="preserve">Марка: </t>
    </r>
    <r>
      <rPr>
        <sz val="14"/>
        <color theme="1"/>
        <rFont val="Times New Roman"/>
        <family val="1"/>
        <charset val="204"/>
      </rPr>
      <t>№  230</t>
    </r>
  </si>
  <si>
    <r>
      <t xml:space="preserve">Марка: </t>
    </r>
    <r>
      <rPr>
        <sz val="14"/>
        <color theme="1"/>
        <rFont val="Times New Roman"/>
        <family val="1"/>
        <charset val="204"/>
      </rPr>
      <t>№  231</t>
    </r>
  </si>
  <si>
    <r>
      <t xml:space="preserve">Марка: </t>
    </r>
    <r>
      <rPr>
        <sz val="14"/>
        <color theme="1"/>
        <rFont val="Times New Roman"/>
        <family val="1"/>
        <charset val="204"/>
      </rPr>
      <t>№  232</t>
    </r>
  </si>
  <si>
    <r>
      <t xml:space="preserve">Марка: </t>
    </r>
    <r>
      <rPr>
        <sz val="14"/>
        <color theme="1"/>
        <rFont val="Times New Roman"/>
        <family val="1"/>
        <charset val="204"/>
      </rPr>
      <t>№  233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</si>
</sst>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\ _₽_-;\-* #,##0.00\ _₽_-;_-* &quot;-&quot;??\ _₽_-;_-@_-"/>
    <numFmt numFmtId="164" formatCode="#,##0.0"/>
    <numFmt numFmtId="165" formatCode="0.0"/>
    <numFmt numFmtId="166" formatCode="_-* #,##0\ _₽_-;\-* #,##0\ _₽_-;_-* &quot;-&quot;??\ _₽_-;_-@_-"/>
    <numFmt numFmtId="167" formatCode="_-* #,##0.0\ _₽_-;\-* #,##0.0\ _₽_-;_-* &quot;-&quot;??\ _₽_-;_-@_-"/>
    <numFmt numFmtId="168" formatCode="_-* #,##0.0000\ _₽_-;\-* #,##0.0000\ _₽_-;_-* &quot;-&quot;??\ _₽_-;_-@_-"/>
  </numFmts>
  <fonts count="18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color theme="1"/>
      <name val="Times New Roman Cyr"/>
      <charset val="204"/>
    </font>
    <font>
      <b/>
      <sz val="12"/>
      <color rgb="FFC00000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4"/>
      <color rgb="FFFF000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208">
    <xf numFmtId="0" fontId="0" fillId="0" borderId="0" xfId="0"/>
    <xf numFmtId="0" fontId="2" fillId="2" borderId="8" xfId="0" applyFont="1" applyFill="1" applyBorder="1" applyAlignment="1" applyProtection="1">
      <alignment horizontal="center"/>
      <protection hidden="1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5" fillId="0" borderId="1" xfId="0" applyFont="1" applyFill="1" applyBorder="1" applyAlignment="1">
      <alignment horizontal="center" vertical="center" textRotation="90" wrapText="1"/>
    </xf>
    <xf numFmtId="0" fontId="5" fillId="0" borderId="1" xfId="0" applyFont="1" applyFill="1" applyBorder="1" applyAlignment="1">
      <alignment horizontal="center" vertical="center" wrapText="1"/>
    </xf>
    <xf numFmtId="165" fontId="5" fillId="0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1" fillId="0" borderId="0" xfId="0" applyFont="1" applyFill="1"/>
    <xf numFmtId="0" fontId="1" fillId="0" borderId="0" xfId="0" applyFont="1" applyFill="1" applyAlignment="1"/>
    <xf numFmtId="0" fontId="2" fillId="0" borderId="0" xfId="0" applyFont="1" applyFill="1" applyProtection="1">
      <protection locked="0"/>
    </xf>
    <xf numFmtId="0" fontId="3" fillId="0" borderId="8" xfId="0" applyFont="1" applyFill="1" applyBorder="1" applyAlignment="1" applyProtection="1">
      <protection locked="0"/>
    </xf>
    <xf numFmtId="0" fontId="10" fillId="0" borderId="8" xfId="0" applyFont="1" applyFill="1" applyBorder="1" applyAlignment="1" applyProtection="1">
      <protection locked="0"/>
    </xf>
    <xf numFmtId="0" fontId="2" fillId="0" borderId="8" xfId="0" applyFont="1" applyFill="1" applyBorder="1" applyAlignment="1" applyProtection="1">
      <protection locked="0"/>
    </xf>
    <xf numFmtId="0" fontId="6" fillId="0" borderId="1" xfId="0" applyFont="1" applyFill="1" applyBorder="1" applyAlignment="1" applyProtection="1">
      <alignment horizontal="left"/>
      <protection locked="0"/>
    </xf>
    <xf numFmtId="0" fontId="4" fillId="0" borderId="2" xfId="0" applyFont="1" applyFill="1" applyBorder="1" applyAlignment="1" applyProtection="1">
      <alignment horizontal="center" vertical="center" wrapText="1"/>
      <protection locked="0"/>
    </xf>
    <xf numFmtId="164" fontId="4" fillId="0" borderId="5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 applyProtection="1">
      <alignment horizontal="center" vertical="center"/>
      <protection locked="0"/>
    </xf>
    <xf numFmtId="0" fontId="8" fillId="0" borderId="4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 applyProtection="1">
      <alignment horizontal="left"/>
      <protection locked="0"/>
    </xf>
    <xf numFmtId="0" fontId="3" fillId="0" borderId="0" xfId="0" applyFont="1" applyFill="1" applyAlignment="1" applyProtection="1">
      <alignment horizontal="left"/>
      <protection locked="0"/>
    </xf>
    <xf numFmtId="0" fontId="6" fillId="0" borderId="0" xfId="0" applyFont="1"/>
    <xf numFmtId="0" fontId="2" fillId="0" borderId="0" xfId="0" applyFont="1" applyFill="1" applyAlignment="1" applyProtection="1">
      <alignment horizontal="center"/>
      <protection locked="0"/>
    </xf>
    <xf numFmtId="0" fontId="5" fillId="0" borderId="1" xfId="0" applyFont="1" applyFill="1" applyBorder="1" applyAlignment="1" applyProtection="1">
      <alignment horizontal="left"/>
      <protection locked="0"/>
    </xf>
    <xf numFmtId="0" fontId="2" fillId="0" borderId="2" xfId="0" applyFont="1" applyFill="1" applyBorder="1" applyAlignment="1" applyProtection="1">
      <alignment horizontal="center" vertical="center" wrapText="1"/>
      <protection locked="0"/>
    </xf>
    <xf numFmtId="0" fontId="4" fillId="0" borderId="3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8" fillId="0" borderId="4" xfId="0" applyFont="1" applyFill="1" applyBorder="1" applyAlignment="1" applyProtection="1">
      <alignment horizontal="center" vertical="center"/>
      <protection locked="0"/>
    </xf>
    <xf numFmtId="0" fontId="8" fillId="0" borderId="2" xfId="0" applyFont="1" applyFill="1" applyBorder="1" applyAlignment="1" applyProtection="1">
      <alignment horizontal="center" vertical="center"/>
      <protection locked="0"/>
    </xf>
    <xf numFmtId="0" fontId="8" fillId="0" borderId="4" xfId="0" applyFont="1" applyFill="1" applyBorder="1" applyAlignment="1" applyProtection="1">
      <alignment horizontal="center"/>
      <protection locked="0"/>
    </xf>
    <xf numFmtId="0" fontId="4" fillId="0" borderId="4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 applyProtection="1">
      <alignment horizontal="center" vertical="center"/>
      <protection locked="0"/>
    </xf>
    <xf numFmtId="0" fontId="2" fillId="0" borderId="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Alignment="1" applyProtection="1">
      <alignment horizontal="left" vertical="center"/>
      <protection locked="0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165" fontId="9" fillId="0" borderId="8" xfId="0" applyNumberFormat="1" applyFont="1" applyFill="1" applyBorder="1" applyAlignment="1" applyProtection="1">
      <alignment horizontal="left" vertical="center"/>
      <protection hidden="1"/>
    </xf>
    <xf numFmtId="0" fontId="3" fillId="0" borderId="0" xfId="0" applyFont="1" applyFill="1" applyProtection="1">
      <protection locked="0"/>
    </xf>
    <xf numFmtId="165" fontId="3" fillId="0" borderId="0" xfId="0" applyNumberFormat="1" applyFont="1" applyFill="1" applyProtection="1">
      <protection locked="0"/>
    </xf>
    <xf numFmtId="0" fontId="9" fillId="0" borderId="0" xfId="0" applyFont="1" applyFill="1" applyAlignment="1" applyProtection="1">
      <alignment horizontal="left"/>
      <protection hidden="1"/>
    </xf>
    <xf numFmtId="165" fontId="9" fillId="0" borderId="0" xfId="0" applyNumberFormat="1" applyFont="1" applyFill="1" applyAlignment="1" applyProtection="1">
      <alignment horizontal="left" vertical="center"/>
      <protection hidden="1"/>
    </xf>
    <xf numFmtId="0" fontId="10" fillId="0" borderId="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6" fontId="10" fillId="0" borderId="1" xfId="1" applyNumberFormat="1" applyFont="1" applyBorder="1" applyAlignment="1">
      <alignment horizontal="center" vertical="center"/>
    </xf>
    <xf numFmtId="166" fontId="6" fillId="0" borderId="1" xfId="1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Fill="1"/>
    <xf numFmtId="166" fontId="13" fillId="0" borderId="0" xfId="0" applyNumberFormat="1" applyFont="1"/>
    <xf numFmtId="0" fontId="13" fillId="0" borderId="0" xfId="0" applyFont="1"/>
    <xf numFmtId="0" fontId="6" fillId="0" borderId="1" xfId="0" applyFont="1" applyFill="1" applyBorder="1" applyAlignment="1">
      <alignment horizontal="center" vertical="center"/>
    </xf>
    <xf numFmtId="167" fontId="10" fillId="0" borderId="1" xfId="1" applyNumberFormat="1" applyFont="1" applyBorder="1" applyAlignment="1">
      <alignment horizontal="center" vertical="center"/>
    </xf>
    <xf numFmtId="167" fontId="6" fillId="0" borderId="1" xfId="1" applyNumberFormat="1" applyFont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0" xfId="1" applyNumberFormat="1" applyFont="1"/>
    <xf numFmtId="167" fontId="13" fillId="0" borderId="0" xfId="1" applyNumberFormat="1" applyFont="1"/>
    <xf numFmtId="166" fontId="12" fillId="3" borderId="0" xfId="0" applyNumberFormat="1" applyFont="1" applyFill="1"/>
    <xf numFmtId="0" fontId="12" fillId="3" borderId="0" xfId="0" applyFont="1" applyFill="1"/>
    <xf numFmtId="167" fontId="12" fillId="3" borderId="0" xfId="1" applyNumberFormat="1" applyFont="1" applyFill="1"/>
    <xf numFmtId="167" fontId="6" fillId="0" borderId="0" xfId="0" applyNumberFormat="1" applyFont="1"/>
    <xf numFmtId="0" fontId="6" fillId="0" borderId="0" xfId="0" applyFont="1" applyFill="1"/>
    <xf numFmtId="0" fontId="5" fillId="0" borderId="0" xfId="0" applyFont="1" applyBorder="1" applyAlignment="1"/>
    <xf numFmtId="0" fontId="5" fillId="0" borderId="0" xfId="0" applyFont="1" applyBorder="1" applyAlignment="1">
      <alignment vertical="center"/>
    </xf>
    <xf numFmtId="0" fontId="6" fillId="0" borderId="0" xfId="0" applyFont="1" applyBorder="1"/>
    <xf numFmtId="0" fontId="6" fillId="0" borderId="0" xfId="0" applyFont="1" applyAlignment="1">
      <alignment horizontal="center"/>
    </xf>
    <xf numFmtId="0" fontId="6" fillId="0" borderId="0" xfId="0" applyFont="1" applyFill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164" fontId="4" fillId="4" borderId="5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1" xfId="0" applyFont="1" applyBorder="1" applyAlignment="1">
      <alignment vertical="center"/>
    </xf>
    <xf numFmtId="167" fontId="6" fillId="0" borderId="1" xfId="1" applyNumberFormat="1" applyFont="1" applyBorder="1" applyAlignment="1">
      <alignment vertical="center"/>
    </xf>
    <xf numFmtId="167" fontId="6" fillId="0" borderId="1" xfId="1" applyNumberFormat="1" applyFont="1" applyFill="1" applyBorder="1" applyAlignment="1">
      <alignment vertical="center"/>
    </xf>
    <xf numFmtId="168" fontId="6" fillId="0" borderId="1" xfId="1" applyNumberFormat="1" applyFont="1" applyBorder="1" applyAlignment="1">
      <alignment vertical="center"/>
    </xf>
    <xf numFmtId="0" fontId="6" fillId="0" borderId="12" xfId="0" applyFont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6" fillId="0" borderId="1" xfId="0" applyFont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 applyProtection="1">
      <alignment horizontal="center"/>
      <protection locked="0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 applyProtection="1">
      <alignment horizontal="center"/>
      <protection locked="0"/>
    </xf>
    <xf numFmtId="0" fontId="2" fillId="0" borderId="0" xfId="0" applyFont="1" applyFill="1" applyBorder="1" applyAlignment="1" applyProtection="1">
      <protection locked="0"/>
    </xf>
    <xf numFmtId="0" fontId="7" fillId="0" borderId="0" xfId="0" applyFont="1" applyFill="1" applyBorder="1" applyAlignment="1">
      <alignment horizontal="center"/>
    </xf>
    <xf numFmtId="0" fontId="4" fillId="0" borderId="0" xfId="0" applyFont="1" applyFill="1" applyBorder="1" applyAlignment="1" applyProtection="1">
      <alignment horizontal="center" vertical="center" wrapText="1"/>
      <protection locked="0"/>
    </xf>
    <xf numFmtId="164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65" fontId="9" fillId="0" borderId="0" xfId="0" applyNumberFormat="1" applyFont="1" applyFill="1" applyBorder="1" applyAlignment="1" applyProtection="1">
      <alignment horizontal="left" vertical="center"/>
      <protection hidden="1"/>
    </xf>
    <xf numFmtId="0" fontId="13" fillId="0" borderId="12" xfId="0" applyFont="1" applyBorder="1" applyAlignment="1">
      <alignment horizontal="center" vertical="center"/>
    </xf>
    <xf numFmtId="0" fontId="0" fillId="5" borderId="0" xfId="0" applyFill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43" fontId="6" fillId="0" borderId="0" xfId="1" applyFont="1" applyAlignment="1">
      <alignment horizontal="center"/>
    </xf>
    <xf numFmtId="43" fontId="6" fillId="0" borderId="0" xfId="1" applyFont="1"/>
    <xf numFmtId="4" fontId="2" fillId="0" borderId="1" xfId="0" applyNumberFormat="1" applyFont="1" applyFill="1" applyBorder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 wrapText="1"/>
    </xf>
    <xf numFmtId="4" fontId="4" fillId="0" borderId="5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164" fontId="4" fillId="0" borderId="4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8" fillId="0" borderId="14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 applyProtection="1">
      <alignment horizontal="center"/>
      <protection locked="0"/>
    </xf>
    <xf numFmtId="0" fontId="14" fillId="0" borderId="1" xfId="0" applyFont="1" applyBorder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15" fillId="0" borderId="12" xfId="0" applyFont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43" fontId="9" fillId="0" borderId="8" xfId="1" applyFont="1" applyFill="1" applyBorder="1" applyAlignment="1" applyProtection="1">
      <alignment horizontal="left" vertical="center"/>
      <protection hidden="1"/>
    </xf>
    <xf numFmtId="167" fontId="9" fillId="0" borderId="8" xfId="1" applyNumberFormat="1" applyFont="1" applyFill="1" applyBorder="1" applyAlignment="1" applyProtection="1">
      <alignment horizontal="left" vertical="center"/>
      <protection hidden="1"/>
    </xf>
    <xf numFmtId="0" fontId="6" fillId="0" borderId="12" xfId="0" applyFont="1" applyBorder="1" applyAlignment="1">
      <alignment horizontal="center" vertical="center"/>
    </xf>
    <xf numFmtId="167" fontId="5" fillId="0" borderId="1" xfId="1" applyNumberFormat="1" applyFont="1" applyFill="1" applyBorder="1" applyAlignment="1">
      <alignment horizontal="center" vertical="center" wrapText="1"/>
    </xf>
    <xf numFmtId="167" fontId="1" fillId="0" borderId="1" xfId="1" applyNumberFormat="1" applyFont="1" applyFill="1" applyBorder="1" applyAlignment="1">
      <alignment horizontal="center" vertical="center" wrapText="1"/>
    </xf>
    <xf numFmtId="167" fontId="16" fillId="0" borderId="8" xfId="1" applyNumberFormat="1" applyFont="1" applyFill="1" applyBorder="1" applyAlignment="1" applyProtection="1">
      <alignment horizontal="left" vertical="center"/>
      <protection hidden="1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13" fillId="0" borderId="1" xfId="0" applyFont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165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6" fillId="0" borderId="1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67" fontId="6" fillId="0" borderId="12" xfId="1" applyNumberFormat="1" applyFont="1" applyBorder="1" applyAlignment="1">
      <alignment horizontal="center" vertical="center"/>
    </xf>
    <xf numFmtId="167" fontId="6" fillId="0" borderId="13" xfId="1" applyNumberFormat="1" applyFont="1" applyBorder="1" applyAlignment="1">
      <alignment horizontal="center" vertical="center"/>
    </xf>
    <xf numFmtId="167" fontId="6" fillId="0" borderId="5" xfId="1" applyNumberFormat="1" applyFont="1" applyBorder="1" applyAlignment="1">
      <alignment horizontal="center" vertical="center"/>
    </xf>
    <xf numFmtId="167" fontId="6" fillId="0" borderId="12" xfId="1" applyNumberFormat="1" applyFont="1" applyFill="1" applyBorder="1" applyAlignment="1">
      <alignment horizontal="center" vertical="center"/>
    </xf>
    <xf numFmtId="167" fontId="6" fillId="0" borderId="5" xfId="1" applyNumberFormat="1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43" fontId="6" fillId="0" borderId="12" xfId="1" applyNumberFormat="1" applyFont="1" applyBorder="1" applyAlignment="1">
      <alignment horizontal="center" vertical="center"/>
    </xf>
    <xf numFmtId="43" fontId="6" fillId="0" borderId="5" xfId="1" applyNumberFormat="1" applyFont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1" fillId="0" borderId="9" xfId="0" applyFont="1" applyFill="1" applyBorder="1" applyAlignment="1">
      <alignment horizontal="left"/>
    </xf>
    <xf numFmtId="0" fontId="1" fillId="0" borderId="10" xfId="0" applyFont="1" applyFill="1" applyBorder="1" applyAlignment="1">
      <alignment horizontal="left"/>
    </xf>
    <xf numFmtId="0" fontId="1" fillId="0" borderId="11" xfId="0" applyFont="1" applyFill="1" applyBorder="1" applyAlignment="1">
      <alignment horizontal="left"/>
    </xf>
    <xf numFmtId="0" fontId="5" fillId="0" borderId="12" xfId="0" applyFont="1" applyFill="1" applyBorder="1" applyAlignment="1">
      <alignment horizontal="center" vertical="center" textRotation="90"/>
    </xf>
    <xf numFmtId="0" fontId="5" fillId="0" borderId="5" xfId="0" applyFont="1" applyFill="1" applyBorder="1" applyAlignment="1">
      <alignment horizontal="center" vertical="center" textRotation="90"/>
    </xf>
    <xf numFmtId="0" fontId="5" fillId="0" borderId="12" xfId="0" applyFont="1" applyFill="1" applyBorder="1" applyAlignment="1">
      <alignment horizontal="center" vertical="center" textRotation="90" wrapText="1"/>
    </xf>
    <xf numFmtId="0" fontId="5" fillId="0" borderId="5" xfId="0" applyFont="1" applyFill="1" applyBorder="1" applyAlignment="1">
      <alignment horizontal="center" vertical="center" textRotation="90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1" fillId="0" borderId="0" xfId="0" applyFont="1" applyFill="1" applyAlignment="1" applyProtection="1">
      <alignment horizontal="center"/>
      <protection locked="0"/>
    </xf>
    <xf numFmtId="0" fontId="7" fillId="0" borderId="9" xfId="0" applyFont="1" applyFill="1" applyBorder="1" applyAlignment="1">
      <alignment horizontal="center"/>
    </xf>
    <xf numFmtId="0" fontId="7" fillId="0" borderId="11" xfId="0" applyFont="1" applyFill="1" applyBorder="1" applyAlignment="1">
      <alignment horizontal="center"/>
    </xf>
    <xf numFmtId="0" fontId="1" fillId="0" borderId="0" xfId="0" applyFont="1" applyFill="1" applyAlignment="1" applyProtection="1">
      <alignment horizontal="center" vertical="center"/>
      <protection locked="0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155"/>
  <sheetViews>
    <sheetView tabSelected="1" workbookViewId="0">
      <pane ySplit="1" topLeftCell="A2" activePane="bottomLeft" state="frozen"/>
      <selection pane="bottomLeft" activeCell="A67" sqref="A67:C67"/>
    </sheetView>
  </sheetViews>
  <sheetFormatPr defaultRowHeight="15" x14ac:dyDescent="0.25"/>
  <cols>
    <col min="1" max="1" width="21.28515625" style="56" customWidth="1"/>
    <col min="2" max="2" width="11.28515625" style="56" bestFit="1" customWidth="1"/>
    <col min="3" max="3" width="10.7109375" style="56" customWidth="1"/>
    <col min="4" max="4" width="9.7109375" style="26" customWidth="1"/>
    <col min="5" max="5" width="11.28515625" style="26" customWidth="1"/>
    <col min="6" max="6" width="16.7109375" style="64" bestFit="1" customWidth="1"/>
    <col min="7" max="7" width="14.7109375" style="64" customWidth="1"/>
    <col min="8" max="8" width="12.85546875" style="26" customWidth="1"/>
    <col min="9" max="9" width="9.140625" style="26"/>
    <col min="10" max="10" width="7.7109375" style="26" bestFit="1" customWidth="1"/>
    <col min="11" max="11" width="16.7109375" style="64" bestFit="1" customWidth="1"/>
    <col min="12" max="12" width="12.140625" style="79" bestFit="1" customWidth="1"/>
    <col min="13" max="13" width="12.140625" bestFit="1" customWidth="1"/>
  </cols>
  <sheetData>
    <row r="1" spans="1:16" s="87" customFormat="1" ht="33" customHeight="1" x14ac:dyDescent="0.25">
      <c r="A1" s="50" t="s">
        <v>43</v>
      </c>
      <c r="B1" s="56" t="s">
        <v>46</v>
      </c>
      <c r="C1" s="56"/>
      <c r="D1" s="50" t="s">
        <v>34</v>
      </c>
      <c r="E1" s="50" t="s">
        <v>35</v>
      </c>
      <c r="F1" s="61" t="s">
        <v>36</v>
      </c>
      <c r="G1" s="61" t="s">
        <v>37</v>
      </c>
      <c r="H1" s="51" t="s">
        <v>38</v>
      </c>
      <c r="I1" s="52" t="s">
        <v>39</v>
      </c>
      <c r="J1" s="52" t="s">
        <v>40</v>
      </c>
      <c r="K1" s="61" t="s">
        <v>37</v>
      </c>
      <c r="L1" s="56"/>
      <c r="M1" s="86"/>
      <c r="N1" s="86"/>
      <c r="O1" s="86"/>
      <c r="P1" s="86"/>
    </row>
    <row r="2" spans="1:16" x14ac:dyDescent="0.25">
      <c r="A2" s="178" t="s">
        <v>33</v>
      </c>
      <c r="B2" s="178" t="s">
        <v>44</v>
      </c>
      <c r="C2" s="178" t="s">
        <v>73</v>
      </c>
      <c r="D2" s="178">
        <v>201</v>
      </c>
      <c r="E2" s="178">
        <f>'201'!B56</f>
        <v>220</v>
      </c>
      <c r="F2" s="181">
        <f>'201'!E56</f>
        <v>41411.699999999997</v>
      </c>
      <c r="G2" s="181">
        <f>'201'!J56</f>
        <v>40949.699999999997</v>
      </c>
      <c r="H2" s="53">
        <v>174</v>
      </c>
      <c r="I2" s="53">
        <v>1</v>
      </c>
      <c r="J2" s="53" t="s">
        <v>41</v>
      </c>
      <c r="K2" s="62">
        <v>32346.799999999996</v>
      </c>
      <c r="L2" s="74"/>
      <c r="M2" s="26"/>
      <c r="N2" s="26"/>
      <c r="O2" s="26"/>
      <c r="P2" s="26"/>
    </row>
    <row r="3" spans="1:16" x14ac:dyDescent="0.25">
      <c r="A3" s="180"/>
      <c r="B3" s="180"/>
      <c r="C3" s="180"/>
      <c r="D3" s="180"/>
      <c r="E3" s="180"/>
      <c r="F3" s="182"/>
      <c r="G3" s="182"/>
      <c r="H3" s="53">
        <v>34</v>
      </c>
      <c r="I3" s="53">
        <v>1</v>
      </c>
      <c r="J3" s="53" t="s">
        <v>53</v>
      </c>
      <c r="K3" s="62">
        <v>6427</v>
      </c>
      <c r="L3" s="74"/>
      <c r="M3" s="26"/>
      <c r="N3" s="26"/>
      <c r="O3" s="26"/>
      <c r="P3" s="26"/>
    </row>
    <row r="4" spans="1:16" x14ac:dyDescent="0.25">
      <c r="A4" s="179"/>
      <c r="B4" s="179"/>
      <c r="C4" s="179"/>
      <c r="D4" s="179"/>
      <c r="E4" s="179"/>
      <c r="F4" s="183"/>
      <c r="G4" s="183"/>
      <c r="H4" s="53">
        <v>12</v>
      </c>
      <c r="I4" s="53">
        <v>1</v>
      </c>
      <c r="J4" s="53" t="s">
        <v>49</v>
      </c>
      <c r="K4" s="62">
        <v>2175.9</v>
      </c>
      <c r="L4" s="74"/>
      <c r="M4" s="26"/>
      <c r="N4" s="26"/>
      <c r="O4" s="26"/>
      <c r="P4" s="26"/>
    </row>
    <row r="5" spans="1:16" x14ac:dyDescent="0.25">
      <c r="A5" s="178" t="s">
        <v>33</v>
      </c>
      <c r="B5" s="186" t="s">
        <v>45</v>
      </c>
      <c r="C5" s="178" t="s">
        <v>73</v>
      </c>
      <c r="D5" s="178">
        <v>202</v>
      </c>
      <c r="E5" s="178">
        <f>+'202'!B56+'202'!M56</f>
        <v>220</v>
      </c>
      <c r="F5" s="188">
        <f>+'202'!E56+'202'!P56</f>
        <v>43285.2</v>
      </c>
      <c r="G5" s="188">
        <f>+'202'!J56+'202'!U56</f>
        <v>42813.8</v>
      </c>
      <c r="H5" s="53">
        <f>Сертификат!B26</f>
        <v>183</v>
      </c>
      <c r="I5" s="53">
        <v>1</v>
      </c>
      <c r="J5" s="53" t="s">
        <v>53</v>
      </c>
      <c r="K5" s="62">
        <f>Сертификат!D26</f>
        <v>35351.000000000007</v>
      </c>
      <c r="L5" s="115"/>
      <c r="M5" s="116"/>
      <c r="N5" s="26"/>
      <c r="O5" s="26"/>
      <c r="P5" s="26"/>
    </row>
    <row r="6" spans="1:16" x14ac:dyDescent="0.25">
      <c r="A6" s="179"/>
      <c r="B6" s="187"/>
      <c r="C6" s="179"/>
      <c r="D6" s="179"/>
      <c r="E6" s="179"/>
      <c r="F6" s="189"/>
      <c r="G6" s="189"/>
      <c r="H6" s="53">
        <f>Сертификат!B27</f>
        <v>37</v>
      </c>
      <c r="I6" s="53">
        <v>1</v>
      </c>
      <c r="J6" s="53" t="s">
        <v>49</v>
      </c>
      <c r="K6" s="62">
        <f>Сертификат!D27</f>
        <v>7462.8</v>
      </c>
      <c r="L6" s="115"/>
      <c r="M6" s="116"/>
      <c r="N6" s="26"/>
      <c r="O6" s="26"/>
      <c r="P6" s="26"/>
    </row>
    <row r="7" spans="1:16" x14ac:dyDescent="0.25">
      <c r="A7" s="178" t="s">
        <v>33</v>
      </c>
      <c r="B7" s="178" t="s">
        <v>44</v>
      </c>
      <c r="C7" s="178" t="s">
        <v>73</v>
      </c>
      <c r="D7" s="178">
        <v>203</v>
      </c>
      <c r="E7" s="178">
        <f>'203'!B56</f>
        <v>220</v>
      </c>
      <c r="F7" s="181">
        <f>'203'!E56</f>
        <v>42672</v>
      </c>
      <c r="G7" s="181">
        <f>+'203'!J56</f>
        <v>42210</v>
      </c>
      <c r="H7" s="53">
        <v>158</v>
      </c>
      <c r="I7" s="53">
        <v>1</v>
      </c>
      <c r="J7" s="53" t="s">
        <v>41</v>
      </c>
      <c r="K7" s="62">
        <v>30330.3</v>
      </c>
      <c r="L7" s="74"/>
      <c r="M7" s="26"/>
      <c r="N7" s="26"/>
      <c r="O7" s="26"/>
      <c r="P7" s="26"/>
    </row>
    <row r="8" spans="1:16" x14ac:dyDescent="0.25">
      <c r="A8" s="179"/>
      <c r="B8" s="179"/>
      <c r="C8" s="179"/>
      <c r="D8" s="179"/>
      <c r="E8" s="179"/>
      <c r="F8" s="183"/>
      <c r="G8" s="183"/>
      <c r="H8" s="53">
        <v>62</v>
      </c>
      <c r="I8" s="53">
        <v>1</v>
      </c>
      <c r="J8" s="53" t="s">
        <v>53</v>
      </c>
      <c r="K8" s="62">
        <v>11879.700000000003</v>
      </c>
      <c r="L8" s="74"/>
      <c r="M8" s="26"/>
      <c r="N8" s="26"/>
      <c r="O8" s="26"/>
      <c r="P8" s="26"/>
    </row>
    <row r="9" spans="1:16" x14ac:dyDescent="0.25">
      <c r="A9" s="178" t="s">
        <v>33</v>
      </c>
      <c r="B9" s="178" t="s">
        <v>44</v>
      </c>
      <c r="C9" s="178" t="s">
        <v>73</v>
      </c>
      <c r="D9" s="178">
        <v>204</v>
      </c>
      <c r="E9" s="178">
        <f>'204'!B56</f>
        <v>220</v>
      </c>
      <c r="F9" s="181">
        <f>'204'!E56</f>
        <v>42176.6</v>
      </c>
      <c r="G9" s="181">
        <f>'204'!J56</f>
        <v>41714.6</v>
      </c>
      <c r="H9" s="53">
        <f>Сертификат!B58</f>
        <v>109</v>
      </c>
      <c r="I9" s="53">
        <v>1</v>
      </c>
      <c r="J9" s="53" t="s">
        <v>41</v>
      </c>
      <c r="K9" s="62">
        <f>Сертификат!D58</f>
        <v>20514.999999999996</v>
      </c>
      <c r="L9" s="74"/>
      <c r="M9" s="26"/>
      <c r="N9" s="26"/>
      <c r="O9" s="26"/>
      <c r="P9" s="26"/>
    </row>
    <row r="10" spans="1:16" x14ac:dyDescent="0.25">
      <c r="A10" s="179"/>
      <c r="B10" s="179"/>
      <c r="C10" s="179"/>
      <c r="D10" s="179"/>
      <c r="E10" s="179"/>
      <c r="F10" s="183"/>
      <c r="G10" s="183"/>
      <c r="H10" s="53">
        <f>Сертификат!B59</f>
        <v>111</v>
      </c>
      <c r="I10" s="53">
        <v>1</v>
      </c>
      <c r="J10" s="53" t="s">
        <v>53</v>
      </c>
      <c r="K10" s="62">
        <f>Сертификат!D59</f>
        <v>21199.599999999999</v>
      </c>
      <c r="L10" s="74"/>
      <c r="M10" s="26"/>
      <c r="N10" s="26"/>
      <c r="O10" s="26"/>
      <c r="P10" s="26"/>
    </row>
    <row r="11" spans="1:16" x14ac:dyDescent="0.25">
      <c r="A11" s="178" t="s">
        <v>33</v>
      </c>
      <c r="B11" s="178" t="s">
        <v>44</v>
      </c>
      <c r="C11" s="178" t="s">
        <v>73</v>
      </c>
      <c r="D11" s="178">
        <v>205</v>
      </c>
      <c r="E11" s="178">
        <f>'205'!B56</f>
        <v>220</v>
      </c>
      <c r="F11" s="181">
        <f>'205'!E56</f>
        <v>44500.7</v>
      </c>
      <c r="G11" s="181">
        <f>'205'!J56</f>
        <v>44038.7</v>
      </c>
      <c r="H11" s="53">
        <f>Сертификат!B74</f>
        <v>111</v>
      </c>
      <c r="I11" s="53">
        <v>1</v>
      </c>
      <c r="J11" s="53" t="s">
        <v>53</v>
      </c>
      <c r="K11" s="62">
        <f>Сертификат!D74</f>
        <v>21835.3</v>
      </c>
      <c r="L11" s="74"/>
      <c r="M11" s="26"/>
      <c r="N11" s="26"/>
      <c r="O11" s="26"/>
      <c r="P11" s="26"/>
    </row>
    <row r="12" spans="1:16" x14ac:dyDescent="0.25">
      <c r="A12" s="179"/>
      <c r="B12" s="179"/>
      <c r="C12" s="179"/>
      <c r="D12" s="179"/>
      <c r="E12" s="179"/>
      <c r="F12" s="183"/>
      <c r="G12" s="183"/>
      <c r="H12" s="53">
        <f>Сертификат!B75</f>
        <v>109</v>
      </c>
      <c r="I12" s="53">
        <v>1</v>
      </c>
      <c r="J12" s="53" t="s">
        <v>49</v>
      </c>
      <c r="K12" s="62">
        <f>Сертификат!D75</f>
        <v>22203.4</v>
      </c>
      <c r="L12" s="74"/>
      <c r="M12" s="26"/>
      <c r="N12" s="26"/>
      <c r="O12" s="26"/>
      <c r="P12" s="26"/>
    </row>
    <row r="13" spans="1:16" x14ac:dyDescent="0.25">
      <c r="A13" s="92" t="s">
        <v>33</v>
      </c>
      <c r="B13" s="111" t="s">
        <v>58</v>
      </c>
      <c r="C13" s="135" t="s">
        <v>73</v>
      </c>
      <c r="D13" s="53">
        <v>206</v>
      </c>
      <c r="E13" s="95">
        <f>'206'!B56</f>
        <v>64</v>
      </c>
      <c r="F13" s="89">
        <f>'206'!E56</f>
        <v>13549.600000000002</v>
      </c>
      <c r="G13" s="89">
        <f>'206'!J56</f>
        <v>13415.200000000003</v>
      </c>
      <c r="H13" s="53">
        <f>Сертификат!B90</f>
        <v>64</v>
      </c>
      <c r="I13" s="53">
        <v>1</v>
      </c>
      <c r="J13" s="53" t="s">
        <v>49</v>
      </c>
      <c r="K13" s="62">
        <f>Сертификат!D90</f>
        <v>13415.200000000003</v>
      </c>
      <c r="L13" s="74"/>
      <c r="M13" s="26"/>
      <c r="N13" s="26"/>
      <c r="O13" s="26"/>
      <c r="P13" s="26"/>
    </row>
    <row r="14" spans="1:16" x14ac:dyDescent="0.25">
      <c r="A14" s="178" t="s">
        <v>33</v>
      </c>
      <c r="B14" s="178" t="s">
        <v>44</v>
      </c>
      <c r="C14" s="178" t="s">
        <v>73</v>
      </c>
      <c r="D14" s="178">
        <v>207</v>
      </c>
      <c r="E14" s="178">
        <f>+'207'!B56+'207'!M56</f>
        <v>220</v>
      </c>
      <c r="F14" s="181">
        <f>+'207'!E56+'207'!P56</f>
        <v>44254.1</v>
      </c>
      <c r="G14" s="181">
        <f>+'207'!J56+'207'!U56</f>
        <v>43770.2</v>
      </c>
      <c r="H14" s="53">
        <f>Сертификат!B105</f>
        <v>73</v>
      </c>
      <c r="I14" s="53">
        <v>1</v>
      </c>
      <c r="J14" s="53" t="s">
        <v>53</v>
      </c>
      <c r="K14" s="62">
        <f>Сертификат!D105</f>
        <v>14425.300000000001</v>
      </c>
      <c r="L14" s="74"/>
      <c r="M14" s="26"/>
      <c r="N14" s="26"/>
      <c r="O14" s="26"/>
      <c r="P14" s="26"/>
    </row>
    <row r="15" spans="1:16" x14ac:dyDescent="0.25">
      <c r="A15" s="179"/>
      <c r="B15" s="179"/>
      <c r="C15" s="179"/>
      <c r="D15" s="179"/>
      <c r="E15" s="179"/>
      <c r="F15" s="183"/>
      <c r="G15" s="183"/>
      <c r="H15" s="53">
        <f>Сертификат!B106</f>
        <v>147</v>
      </c>
      <c r="I15" s="53">
        <v>1</v>
      </c>
      <c r="J15" s="53" t="s">
        <v>49</v>
      </c>
      <c r="K15" s="62">
        <f>Сертификат!D106</f>
        <v>29344.899999999998</v>
      </c>
      <c r="L15" s="74"/>
      <c r="M15" s="26"/>
      <c r="N15" s="26"/>
      <c r="O15" s="26"/>
      <c r="P15" s="26"/>
    </row>
    <row r="16" spans="1:16" x14ac:dyDescent="0.25">
      <c r="A16" s="178" t="s">
        <v>33</v>
      </c>
      <c r="B16" s="186" t="s">
        <v>45</v>
      </c>
      <c r="C16" s="178" t="s">
        <v>73</v>
      </c>
      <c r="D16" s="178">
        <v>208</v>
      </c>
      <c r="E16" s="178">
        <f>'208'!B56</f>
        <v>87</v>
      </c>
      <c r="F16" s="181">
        <f>'208'!E56</f>
        <v>17071.400000000001</v>
      </c>
      <c r="G16" s="181">
        <f>'208'!J56</f>
        <v>16880</v>
      </c>
      <c r="H16" s="53">
        <f>Сертификат!B121</f>
        <v>61</v>
      </c>
      <c r="I16" s="53">
        <v>1</v>
      </c>
      <c r="J16" s="53" t="s">
        <v>63</v>
      </c>
      <c r="K16" s="62">
        <f>Сертификат!D121</f>
        <v>11844.4</v>
      </c>
      <c r="L16" s="74"/>
      <c r="M16" s="26"/>
      <c r="N16" s="26"/>
      <c r="O16" s="26"/>
      <c r="P16" s="26"/>
    </row>
    <row r="17" spans="1:16" x14ac:dyDescent="0.25">
      <c r="A17" s="179"/>
      <c r="B17" s="187"/>
      <c r="C17" s="179"/>
      <c r="D17" s="179"/>
      <c r="E17" s="179"/>
      <c r="F17" s="183"/>
      <c r="G17" s="183"/>
      <c r="H17" s="53">
        <v>26</v>
      </c>
      <c r="I17" s="53">
        <v>1</v>
      </c>
      <c r="J17" s="53" t="s">
        <v>53</v>
      </c>
      <c r="K17" s="62">
        <v>5035.5999999999995</v>
      </c>
      <c r="L17" s="74"/>
      <c r="M17" s="26"/>
      <c r="N17" s="26"/>
      <c r="O17" s="26"/>
      <c r="P17" s="26"/>
    </row>
    <row r="18" spans="1:16" x14ac:dyDescent="0.25">
      <c r="A18" s="178" t="s">
        <v>33</v>
      </c>
      <c r="B18" s="178" t="s">
        <v>44</v>
      </c>
      <c r="C18" s="178" t="s">
        <v>73</v>
      </c>
      <c r="D18" s="178">
        <v>209</v>
      </c>
      <c r="E18" s="178">
        <f>'209'!B56</f>
        <v>220</v>
      </c>
      <c r="F18" s="181">
        <f>'209'!E56</f>
        <v>44133.100000000006</v>
      </c>
      <c r="G18" s="181">
        <f>'209'!J56</f>
        <v>43649.100000000006</v>
      </c>
      <c r="H18" s="53">
        <f>Сертификат!B138</f>
        <v>101</v>
      </c>
      <c r="I18" s="53">
        <v>1</v>
      </c>
      <c r="J18" s="53" t="s">
        <v>41</v>
      </c>
      <c r="K18" s="62">
        <f>Сертификат!D138</f>
        <v>20010.7</v>
      </c>
      <c r="L18" s="74"/>
      <c r="M18" s="26"/>
      <c r="N18" s="26"/>
      <c r="O18" s="26"/>
      <c r="P18" s="26"/>
    </row>
    <row r="19" spans="1:16" x14ac:dyDescent="0.25">
      <c r="A19" s="179"/>
      <c r="B19" s="179"/>
      <c r="C19" s="179"/>
      <c r="D19" s="179"/>
      <c r="E19" s="179"/>
      <c r="F19" s="183"/>
      <c r="G19" s="183"/>
      <c r="H19" s="53">
        <f>Сертификат!B139</f>
        <v>119</v>
      </c>
      <c r="I19" s="53">
        <v>1</v>
      </c>
      <c r="J19" s="53" t="s">
        <v>53</v>
      </c>
      <c r="K19" s="62">
        <f>Сертификат!D139</f>
        <v>23638.400000000001</v>
      </c>
      <c r="L19" s="74"/>
      <c r="M19" s="26"/>
      <c r="N19" s="26"/>
      <c r="O19" s="26"/>
      <c r="P19" s="26"/>
    </row>
    <row r="20" spans="1:16" x14ac:dyDescent="0.25">
      <c r="A20" s="178" t="s">
        <v>33</v>
      </c>
      <c r="B20" s="178" t="s">
        <v>44</v>
      </c>
      <c r="C20" s="178" t="s">
        <v>73</v>
      </c>
      <c r="D20" s="178">
        <v>210</v>
      </c>
      <c r="E20" s="178">
        <f>'210'!B56</f>
        <v>220</v>
      </c>
      <c r="F20" s="181">
        <f>'210'!E56</f>
        <v>44218.400000000009</v>
      </c>
      <c r="G20" s="181">
        <f>'210'!J56</f>
        <v>43734.400000000009</v>
      </c>
      <c r="H20" s="53">
        <v>109</v>
      </c>
      <c r="I20" s="53">
        <v>1</v>
      </c>
      <c r="J20" s="53" t="s">
        <v>41</v>
      </c>
      <c r="K20" s="62">
        <v>21598.600000000006</v>
      </c>
      <c r="L20" s="74"/>
      <c r="M20" s="26"/>
      <c r="N20" s="26"/>
      <c r="O20" s="26"/>
      <c r="P20" s="26"/>
    </row>
    <row r="21" spans="1:16" x14ac:dyDescent="0.25">
      <c r="A21" s="179"/>
      <c r="B21" s="179"/>
      <c r="C21" s="179"/>
      <c r="D21" s="179"/>
      <c r="E21" s="179"/>
      <c r="F21" s="183"/>
      <c r="G21" s="183"/>
      <c r="H21" s="53">
        <v>111</v>
      </c>
      <c r="I21" s="53">
        <v>1</v>
      </c>
      <c r="J21" s="53" t="s">
        <v>53</v>
      </c>
      <c r="K21" s="62">
        <v>22135.8</v>
      </c>
      <c r="L21" s="74"/>
      <c r="M21" s="26"/>
      <c r="N21" s="26"/>
      <c r="O21" s="26"/>
      <c r="P21" s="26"/>
    </row>
    <row r="22" spans="1:16" x14ac:dyDescent="0.25">
      <c r="A22" s="178" t="s">
        <v>33</v>
      </c>
      <c r="B22" s="178" t="s">
        <v>44</v>
      </c>
      <c r="C22" s="178" t="s">
        <v>73</v>
      </c>
      <c r="D22" s="178">
        <v>211</v>
      </c>
      <c r="E22" s="178">
        <f>'211'!B56</f>
        <v>220</v>
      </c>
      <c r="F22" s="181">
        <f>'211'!E56</f>
        <v>44380.900000000009</v>
      </c>
      <c r="G22" s="181">
        <f>'211'!J56</f>
        <v>43896.900000000009</v>
      </c>
      <c r="H22" s="53">
        <v>170</v>
      </c>
      <c r="I22" s="53">
        <v>1</v>
      </c>
      <c r="J22" s="53" t="s">
        <v>41</v>
      </c>
      <c r="K22" s="62">
        <v>33893.200000000012</v>
      </c>
      <c r="L22" s="74"/>
      <c r="M22" s="26"/>
      <c r="N22" s="26"/>
      <c r="O22" s="26"/>
      <c r="P22" s="26"/>
    </row>
    <row r="23" spans="1:16" x14ac:dyDescent="0.25">
      <c r="A23" s="179"/>
      <c r="B23" s="179"/>
      <c r="C23" s="179"/>
      <c r="D23" s="179"/>
      <c r="E23" s="179"/>
      <c r="F23" s="183"/>
      <c r="G23" s="183"/>
      <c r="H23" s="53">
        <v>50</v>
      </c>
      <c r="I23" s="53">
        <v>1</v>
      </c>
      <c r="J23" s="53" t="s">
        <v>53</v>
      </c>
      <c r="K23" s="62">
        <v>10003.700000000001</v>
      </c>
      <c r="L23" s="74"/>
      <c r="M23" s="26"/>
      <c r="N23" s="26"/>
      <c r="O23" s="26"/>
      <c r="P23" s="26"/>
    </row>
    <row r="24" spans="1:16" x14ac:dyDescent="0.25">
      <c r="A24" s="178" t="s">
        <v>33</v>
      </c>
      <c r="B24" s="178" t="s">
        <v>44</v>
      </c>
      <c r="C24" s="178" t="s">
        <v>73</v>
      </c>
      <c r="D24" s="178">
        <v>212</v>
      </c>
      <c r="E24" s="178">
        <f>'212'!B56</f>
        <v>220</v>
      </c>
      <c r="F24" s="181">
        <f>'212'!E56</f>
        <v>43980</v>
      </c>
      <c r="G24" s="181">
        <f>'212'!J56</f>
        <v>43496</v>
      </c>
      <c r="H24" s="53">
        <f>Сертификат!B189</f>
        <v>89</v>
      </c>
      <c r="I24" s="53">
        <v>1</v>
      </c>
      <c r="J24" s="53" t="s">
        <v>41</v>
      </c>
      <c r="K24" s="62">
        <f>Сертификат!D189</f>
        <v>17555.8</v>
      </c>
      <c r="L24" s="74"/>
      <c r="M24" s="26"/>
      <c r="N24" s="26"/>
      <c r="O24" s="26"/>
      <c r="P24" s="26"/>
    </row>
    <row r="25" spans="1:16" x14ac:dyDescent="0.25">
      <c r="A25" s="179"/>
      <c r="B25" s="179"/>
      <c r="C25" s="179"/>
      <c r="D25" s="179"/>
      <c r="E25" s="179"/>
      <c r="F25" s="183"/>
      <c r="G25" s="183"/>
      <c r="H25" s="53">
        <f>Сертификат!B190</f>
        <v>131</v>
      </c>
      <c r="I25" s="53">
        <v>1</v>
      </c>
      <c r="J25" s="53" t="s">
        <v>53</v>
      </c>
      <c r="K25" s="62">
        <f>Сертификат!D190</f>
        <v>25940.200000000004</v>
      </c>
      <c r="L25" s="74"/>
      <c r="M25" s="26"/>
      <c r="N25" s="26"/>
      <c r="O25" s="26"/>
      <c r="P25" s="26"/>
    </row>
    <row r="26" spans="1:16" x14ac:dyDescent="0.25">
      <c r="A26" s="178" t="s">
        <v>33</v>
      </c>
      <c r="B26" s="178" t="s">
        <v>44</v>
      </c>
      <c r="C26" s="178" t="s">
        <v>73</v>
      </c>
      <c r="D26" s="178">
        <v>213</v>
      </c>
      <c r="E26" s="178">
        <f>'213'!B56</f>
        <v>220</v>
      </c>
      <c r="F26" s="181">
        <f>'213'!E56</f>
        <v>44149.8</v>
      </c>
      <c r="G26" s="184">
        <f>'213'!J56</f>
        <v>43665.8</v>
      </c>
      <c r="H26" s="53">
        <f>Сертификат!B206</f>
        <v>149</v>
      </c>
      <c r="I26" s="53">
        <v>1</v>
      </c>
      <c r="J26" s="53" t="s">
        <v>41</v>
      </c>
      <c r="K26" s="63">
        <f>Сертификат!D206</f>
        <v>29579</v>
      </c>
      <c r="L26" s="74"/>
      <c r="M26" s="26"/>
      <c r="N26" s="26"/>
      <c r="O26" s="26"/>
      <c r="P26" s="26"/>
    </row>
    <row r="27" spans="1:16" x14ac:dyDescent="0.25">
      <c r="A27" s="179"/>
      <c r="B27" s="179"/>
      <c r="C27" s="179"/>
      <c r="D27" s="179"/>
      <c r="E27" s="179"/>
      <c r="F27" s="183"/>
      <c r="G27" s="185"/>
      <c r="H27" s="53">
        <f>Сертификат!B207</f>
        <v>71</v>
      </c>
      <c r="I27" s="53">
        <v>1</v>
      </c>
      <c r="J27" s="53" t="s">
        <v>53</v>
      </c>
      <c r="K27" s="63">
        <f>Сертификат!D207</f>
        <v>14086.8</v>
      </c>
      <c r="L27" s="74"/>
      <c r="M27" s="26"/>
      <c r="N27" s="26"/>
      <c r="O27" s="26"/>
      <c r="P27" s="26"/>
    </row>
    <row r="28" spans="1:16" x14ac:dyDescent="0.25">
      <c r="A28" s="178" t="s">
        <v>33</v>
      </c>
      <c r="B28" s="178" t="s">
        <v>44</v>
      </c>
      <c r="C28" s="178" t="s">
        <v>73</v>
      </c>
      <c r="D28" s="178">
        <v>214</v>
      </c>
      <c r="E28" s="178">
        <f>'214'!B56</f>
        <v>220</v>
      </c>
      <c r="F28" s="181">
        <f>'214'!E56</f>
        <v>44111</v>
      </c>
      <c r="G28" s="184">
        <f>'214'!J56</f>
        <v>43627</v>
      </c>
      <c r="H28" s="53">
        <f>Сертификат!B222</f>
        <v>114</v>
      </c>
      <c r="I28" s="53">
        <v>1</v>
      </c>
      <c r="J28" s="53" t="s">
        <v>41</v>
      </c>
      <c r="K28" s="63">
        <f>Сертификат!D222</f>
        <v>22560.100000000002</v>
      </c>
      <c r="L28" s="74"/>
      <c r="M28" s="26"/>
      <c r="N28" s="26"/>
      <c r="O28" s="26"/>
      <c r="P28" s="26"/>
    </row>
    <row r="29" spans="1:16" x14ac:dyDescent="0.25">
      <c r="A29" s="179"/>
      <c r="B29" s="179"/>
      <c r="C29" s="179"/>
      <c r="D29" s="179"/>
      <c r="E29" s="179"/>
      <c r="F29" s="183"/>
      <c r="G29" s="185"/>
      <c r="H29" s="53">
        <f>Сертификат!B223</f>
        <v>106</v>
      </c>
      <c r="I29" s="53">
        <v>1</v>
      </c>
      <c r="J29" s="53" t="s">
        <v>53</v>
      </c>
      <c r="K29" s="63">
        <f>Сертификат!D223</f>
        <v>21066.899999999998</v>
      </c>
      <c r="L29" s="74"/>
      <c r="M29" s="26"/>
      <c r="N29" s="26"/>
      <c r="O29" s="26"/>
      <c r="P29" s="26"/>
    </row>
    <row r="30" spans="1:16" x14ac:dyDescent="0.25">
      <c r="A30" s="178" t="s">
        <v>33</v>
      </c>
      <c r="B30" s="178" t="s">
        <v>44</v>
      </c>
      <c r="C30" s="178" t="s">
        <v>73</v>
      </c>
      <c r="D30" s="178">
        <v>215</v>
      </c>
      <c r="E30" s="178">
        <f>'215'!B56</f>
        <v>220</v>
      </c>
      <c r="F30" s="181">
        <f>'215'!E56</f>
        <v>44536.600000000013</v>
      </c>
      <c r="G30" s="184">
        <f>'215'!J56</f>
        <v>44052.600000000013</v>
      </c>
      <c r="H30" s="53">
        <f>Сертификат!B238</f>
        <v>156</v>
      </c>
      <c r="I30" s="53">
        <v>1</v>
      </c>
      <c r="J30" s="53" t="s">
        <v>41</v>
      </c>
      <c r="K30" s="63">
        <f>Сертификат!D238</f>
        <v>31288.600000000002</v>
      </c>
      <c r="L30" s="74"/>
      <c r="M30" s="26"/>
      <c r="N30" s="26"/>
      <c r="O30" s="26"/>
      <c r="P30" s="26"/>
    </row>
    <row r="31" spans="1:16" x14ac:dyDescent="0.25">
      <c r="A31" s="179"/>
      <c r="B31" s="179"/>
      <c r="C31" s="179"/>
      <c r="D31" s="179"/>
      <c r="E31" s="179"/>
      <c r="F31" s="183"/>
      <c r="G31" s="185"/>
      <c r="H31" s="53">
        <f>Сертификат!B239</f>
        <v>64</v>
      </c>
      <c r="I31" s="53">
        <v>1</v>
      </c>
      <c r="J31" s="53" t="s">
        <v>53</v>
      </c>
      <c r="K31" s="63">
        <f>Сертификат!D239</f>
        <v>12764.000000000004</v>
      </c>
      <c r="L31" s="74"/>
      <c r="M31" s="26"/>
      <c r="N31" s="26"/>
      <c r="O31" s="26"/>
      <c r="P31" s="26"/>
    </row>
    <row r="32" spans="1:16" x14ac:dyDescent="0.25">
      <c r="A32" s="178" t="s">
        <v>33</v>
      </c>
      <c r="B32" s="178" t="s">
        <v>44</v>
      </c>
      <c r="C32" s="178" t="s">
        <v>73</v>
      </c>
      <c r="D32" s="178">
        <v>216</v>
      </c>
      <c r="E32" s="178">
        <f>'216'!B56</f>
        <v>220</v>
      </c>
      <c r="F32" s="181">
        <f>'216'!E56</f>
        <v>44387.3</v>
      </c>
      <c r="G32" s="181">
        <f>'216'!J56</f>
        <v>43903.3</v>
      </c>
      <c r="H32" s="53">
        <f>Сертификат!B255</f>
        <v>36</v>
      </c>
      <c r="I32" s="53">
        <v>1</v>
      </c>
      <c r="J32" s="53" t="s">
        <v>41</v>
      </c>
      <c r="K32" s="63">
        <f>Сертификат!D255</f>
        <v>7094.2</v>
      </c>
      <c r="L32" s="74"/>
      <c r="M32" s="26"/>
      <c r="N32" s="26"/>
      <c r="O32" s="26"/>
      <c r="P32" s="26"/>
    </row>
    <row r="33" spans="1:16" x14ac:dyDescent="0.25">
      <c r="A33" s="180"/>
      <c r="B33" s="180"/>
      <c r="C33" s="180"/>
      <c r="D33" s="180"/>
      <c r="E33" s="180"/>
      <c r="F33" s="182"/>
      <c r="G33" s="182"/>
      <c r="H33" s="53">
        <f>Сертификат!B256</f>
        <v>129</v>
      </c>
      <c r="I33" s="53">
        <v>1</v>
      </c>
      <c r="J33" s="53" t="s">
        <v>53</v>
      </c>
      <c r="K33" s="63">
        <f>Сертификат!D256</f>
        <v>25795.399999999998</v>
      </c>
      <c r="L33" s="74"/>
      <c r="M33" s="26"/>
      <c r="N33" s="26"/>
      <c r="O33" s="26"/>
      <c r="P33" s="26"/>
    </row>
    <row r="34" spans="1:16" x14ac:dyDescent="0.25">
      <c r="A34" s="179"/>
      <c r="B34" s="179"/>
      <c r="C34" s="179"/>
      <c r="D34" s="179"/>
      <c r="E34" s="179"/>
      <c r="F34" s="183"/>
      <c r="G34" s="183"/>
      <c r="H34" s="53">
        <f>Сертификат!B257</f>
        <v>55</v>
      </c>
      <c r="I34" s="53">
        <v>1</v>
      </c>
      <c r="J34" s="53" t="s">
        <v>49</v>
      </c>
      <c r="K34" s="63">
        <f>Сертификат!D257</f>
        <v>11013.699999999999</v>
      </c>
      <c r="L34" s="74"/>
      <c r="M34" s="26"/>
      <c r="N34" s="26"/>
      <c r="O34" s="26"/>
      <c r="P34" s="26"/>
    </row>
    <row r="35" spans="1:16" x14ac:dyDescent="0.25">
      <c r="A35" s="178" t="s">
        <v>33</v>
      </c>
      <c r="B35" s="178" t="s">
        <v>44</v>
      </c>
      <c r="C35" s="178" t="s">
        <v>73</v>
      </c>
      <c r="D35" s="178">
        <v>217</v>
      </c>
      <c r="E35" s="178">
        <f>'217'!B56</f>
        <v>220</v>
      </c>
      <c r="F35" s="181">
        <f>'217'!E56</f>
        <v>44811.799999999996</v>
      </c>
      <c r="G35" s="181">
        <f>'217'!J56</f>
        <v>44327.799999999996</v>
      </c>
      <c r="H35" s="53">
        <f>Сертификат!B273</f>
        <v>119</v>
      </c>
      <c r="I35" s="53">
        <v>1</v>
      </c>
      <c r="J35" s="53" t="s">
        <v>41</v>
      </c>
      <c r="K35" s="63">
        <f>Сертификат!D273</f>
        <v>23749.199999999993</v>
      </c>
      <c r="L35" s="74"/>
      <c r="M35" s="26"/>
      <c r="N35" s="26"/>
      <c r="O35" s="26"/>
      <c r="P35" s="26"/>
    </row>
    <row r="36" spans="1:16" x14ac:dyDescent="0.25">
      <c r="A36" s="179"/>
      <c r="B36" s="179"/>
      <c r="C36" s="179"/>
      <c r="D36" s="179"/>
      <c r="E36" s="179"/>
      <c r="F36" s="183"/>
      <c r="G36" s="183"/>
      <c r="H36" s="53">
        <f>Сертификат!B274</f>
        <v>101</v>
      </c>
      <c r="I36" s="53">
        <v>1</v>
      </c>
      <c r="J36" s="53" t="s">
        <v>53</v>
      </c>
      <c r="K36" s="63">
        <f>Сертификат!D274</f>
        <v>20578.600000000002</v>
      </c>
      <c r="L36" s="74"/>
      <c r="M36" s="26"/>
      <c r="N36" s="26"/>
      <c r="O36" s="26"/>
      <c r="P36" s="26"/>
    </row>
    <row r="37" spans="1:16" x14ac:dyDescent="0.25">
      <c r="A37" s="178" t="s">
        <v>33</v>
      </c>
      <c r="B37" s="178" t="s">
        <v>44</v>
      </c>
      <c r="C37" s="178" t="s">
        <v>73</v>
      </c>
      <c r="D37" s="178">
        <v>218</v>
      </c>
      <c r="E37" s="178">
        <f>'218'!B56</f>
        <v>220</v>
      </c>
      <c r="F37" s="181">
        <f>'218'!E56</f>
        <v>44086.7</v>
      </c>
      <c r="G37" s="181">
        <f>'218'!J56</f>
        <v>43602.7</v>
      </c>
      <c r="H37" s="53">
        <f>Сертификат!B289</f>
        <v>85</v>
      </c>
      <c r="I37" s="53">
        <v>1</v>
      </c>
      <c r="J37" s="53" t="s">
        <v>41</v>
      </c>
      <c r="K37" s="63">
        <f>Сертификат!D289</f>
        <v>16841.600000000002</v>
      </c>
      <c r="L37" s="74"/>
      <c r="M37" s="26"/>
      <c r="N37" s="26"/>
      <c r="O37" s="26"/>
      <c r="P37" s="26"/>
    </row>
    <row r="38" spans="1:16" x14ac:dyDescent="0.25">
      <c r="A38" s="179"/>
      <c r="B38" s="179"/>
      <c r="C38" s="179"/>
      <c r="D38" s="179"/>
      <c r="E38" s="179"/>
      <c r="F38" s="183"/>
      <c r="G38" s="183"/>
      <c r="H38" s="53">
        <f>Сертификат!B290</f>
        <v>135</v>
      </c>
      <c r="I38" s="53">
        <v>1</v>
      </c>
      <c r="J38" s="53" t="s">
        <v>53</v>
      </c>
      <c r="K38" s="63">
        <f>Сертификат!D290</f>
        <v>26761.1</v>
      </c>
      <c r="L38" s="74"/>
      <c r="M38" s="26"/>
      <c r="N38" s="26"/>
      <c r="O38" s="26"/>
      <c r="P38" s="26"/>
    </row>
    <row r="39" spans="1:16" x14ac:dyDescent="0.25">
      <c r="A39" s="178" t="s">
        <v>33</v>
      </c>
      <c r="B39" s="178" t="s">
        <v>44</v>
      </c>
      <c r="C39" s="178" t="s">
        <v>73</v>
      </c>
      <c r="D39" s="178">
        <v>219</v>
      </c>
      <c r="E39" s="178">
        <f>'219'!B56</f>
        <v>220</v>
      </c>
      <c r="F39" s="181">
        <f>'219'!E56</f>
        <v>44080</v>
      </c>
      <c r="G39" s="181">
        <f>'219'!J56</f>
        <v>43596</v>
      </c>
      <c r="H39" s="53">
        <f>Сертификат!B307</f>
        <v>60</v>
      </c>
      <c r="I39" s="53">
        <v>1</v>
      </c>
      <c r="J39" s="53" t="s">
        <v>41</v>
      </c>
      <c r="K39" s="63">
        <f>Сертификат!D307</f>
        <v>11676</v>
      </c>
      <c r="L39" s="74"/>
      <c r="M39" s="26"/>
      <c r="N39" s="26"/>
      <c r="O39" s="26"/>
      <c r="P39" s="26"/>
    </row>
    <row r="40" spans="1:16" x14ac:dyDescent="0.25">
      <c r="A40" s="179"/>
      <c r="B40" s="179"/>
      <c r="C40" s="179"/>
      <c r="D40" s="179"/>
      <c r="E40" s="179"/>
      <c r="F40" s="183"/>
      <c r="G40" s="183"/>
      <c r="H40" s="53">
        <f>Сертификат!B308</f>
        <v>160</v>
      </c>
      <c r="I40" s="53">
        <v>1</v>
      </c>
      <c r="J40" s="53" t="s">
        <v>53</v>
      </c>
      <c r="K40" s="63">
        <f>Сертификат!D308</f>
        <v>31920</v>
      </c>
      <c r="L40" s="74"/>
      <c r="M40" s="26"/>
      <c r="N40" s="26"/>
      <c r="O40" s="26"/>
      <c r="P40" s="26"/>
    </row>
    <row r="41" spans="1:16" x14ac:dyDescent="0.25">
      <c r="A41" s="132" t="s">
        <v>33</v>
      </c>
      <c r="B41" s="53" t="s">
        <v>44</v>
      </c>
      <c r="C41" s="53" t="s">
        <v>73</v>
      </c>
      <c r="D41" s="53">
        <v>220</v>
      </c>
      <c r="E41" s="53">
        <f>'220'!B56</f>
        <v>220</v>
      </c>
      <c r="F41" s="62">
        <f>'220'!E56</f>
        <v>44883.700000000004</v>
      </c>
      <c r="G41" s="62">
        <f>'220'!J56</f>
        <v>44399.700000000004</v>
      </c>
      <c r="H41" s="53">
        <f>Сертификат!B324</f>
        <v>220</v>
      </c>
      <c r="I41" s="53">
        <v>1</v>
      </c>
      <c r="J41" s="53" t="s">
        <v>53</v>
      </c>
      <c r="K41" s="63">
        <f>Сертификат!D324</f>
        <v>44399.700000000004</v>
      </c>
      <c r="L41" s="74"/>
      <c r="M41" s="26"/>
      <c r="N41" s="26"/>
      <c r="O41" s="26"/>
      <c r="P41" s="26"/>
    </row>
    <row r="42" spans="1:16" x14ac:dyDescent="0.25">
      <c r="A42" s="150" t="s">
        <v>33</v>
      </c>
      <c r="B42" s="156" t="s">
        <v>81</v>
      </c>
      <c r="C42" s="53" t="s">
        <v>73</v>
      </c>
      <c r="D42" s="53">
        <v>221</v>
      </c>
      <c r="E42" s="53">
        <f>'221'!B56</f>
        <v>171</v>
      </c>
      <c r="F42" s="89">
        <f>'221'!E56</f>
        <v>33695.800000000003</v>
      </c>
      <c r="G42" s="89">
        <f>'221'!J56</f>
        <v>33319.600000000006</v>
      </c>
      <c r="H42" s="53">
        <f>Сертификат!B340</f>
        <v>171</v>
      </c>
      <c r="I42" s="53">
        <v>1</v>
      </c>
      <c r="J42" s="53" t="s">
        <v>41</v>
      </c>
      <c r="K42" s="63">
        <f>Сертификат!D340</f>
        <v>33319.600000000006</v>
      </c>
      <c r="L42" s="74"/>
      <c r="M42" s="26"/>
      <c r="N42" s="26"/>
      <c r="O42" s="26"/>
      <c r="P42" s="26"/>
    </row>
    <row r="43" spans="1:16" x14ac:dyDescent="0.25">
      <c r="A43" s="178" t="s">
        <v>33</v>
      </c>
      <c r="B43" s="178" t="s">
        <v>44</v>
      </c>
      <c r="C43" s="178" t="s">
        <v>73</v>
      </c>
      <c r="D43" s="178">
        <v>222</v>
      </c>
      <c r="E43" s="178">
        <f>'222'!B56</f>
        <v>220</v>
      </c>
      <c r="F43" s="181">
        <f>'222'!E56</f>
        <v>44312.800000000003</v>
      </c>
      <c r="G43" s="181">
        <f>'222'!J56</f>
        <v>43828.800000000003</v>
      </c>
      <c r="H43" s="53">
        <f>Сертификат!B357</f>
        <v>139</v>
      </c>
      <c r="I43" s="53">
        <v>1</v>
      </c>
      <c r="J43" s="53" t="s">
        <v>41</v>
      </c>
      <c r="K43" s="63">
        <f>Сертификат!D357</f>
        <v>27651.500000000004</v>
      </c>
      <c r="L43" s="74"/>
      <c r="M43" s="26"/>
      <c r="N43" s="26"/>
      <c r="O43" s="26"/>
      <c r="P43" s="26"/>
    </row>
    <row r="44" spans="1:16" x14ac:dyDescent="0.25">
      <c r="A44" s="179"/>
      <c r="B44" s="179"/>
      <c r="C44" s="179"/>
      <c r="D44" s="179"/>
      <c r="E44" s="179"/>
      <c r="F44" s="183"/>
      <c r="G44" s="183"/>
      <c r="H44" s="53">
        <f>Сертификат!B358</f>
        <v>81</v>
      </c>
      <c r="I44" s="53">
        <v>1</v>
      </c>
      <c r="J44" s="53" t="s">
        <v>53</v>
      </c>
      <c r="K44" s="63">
        <f>Сертификат!D358</f>
        <v>16177.299999999996</v>
      </c>
      <c r="L44" s="74"/>
      <c r="M44" s="26"/>
      <c r="N44" s="26"/>
      <c r="O44" s="26"/>
      <c r="P44" s="26"/>
    </row>
    <row r="45" spans="1:16" x14ac:dyDescent="0.25">
      <c r="A45" s="178" t="s">
        <v>33</v>
      </c>
      <c r="B45" s="178" t="s">
        <v>44</v>
      </c>
      <c r="C45" s="178" t="s">
        <v>73</v>
      </c>
      <c r="D45" s="178">
        <v>223</v>
      </c>
      <c r="E45" s="178">
        <f>'223'!B56</f>
        <v>220</v>
      </c>
      <c r="F45" s="181">
        <f>'223'!E56</f>
        <v>44417.600000000006</v>
      </c>
      <c r="G45" s="181">
        <f>'223'!J56</f>
        <v>43933.600000000006</v>
      </c>
      <c r="H45" s="53">
        <f>Сертификат!B373</f>
        <v>104</v>
      </c>
      <c r="I45" s="53">
        <v>1</v>
      </c>
      <c r="J45" s="53" t="s">
        <v>41</v>
      </c>
      <c r="K45" s="63">
        <f>Сертификат!D373</f>
        <v>20827.000000000004</v>
      </c>
      <c r="L45" s="74"/>
      <c r="M45" s="26"/>
      <c r="N45" s="26"/>
      <c r="O45" s="26"/>
      <c r="P45" s="26"/>
    </row>
    <row r="46" spans="1:16" x14ac:dyDescent="0.25">
      <c r="A46" s="179"/>
      <c r="B46" s="179"/>
      <c r="C46" s="179"/>
      <c r="D46" s="179"/>
      <c r="E46" s="179"/>
      <c r="F46" s="183"/>
      <c r="G46" s="183"/>
      <c r="H46" s="53">
        <f>Сертификат!B374</f>
        <v>116</v>
      </c>
      <c r="I46" s="53">
        <v>1</v>
      </c>
      <c r="J46" s="53" t="s">
        <v>53</v>
      </c>
      <c r="K46" s="63">
        <f>Сертификат!D374</f>
        <v>23106.6</v>
      </c>
      <c r="L46" s="74"/>
      <c r="M46" s="26"/>
      <c r="N46" s="26"/>
      <c r="O46" s="26"/>
      <c r="P46" s="26"/>
    </row>
    <row r="47" spans="1:16" x14ac:dyDescent="0.25">
      <c r="A47" s="53" t="s">
        <v>33</v>
      </c>
      <c r="B47" s="53" t="s">
        <v>44</v>
      </c>
      <c r="C47" s="53" t="s">
        <v>73</v>
      </c>
      <c r="D47" s="53">
        <v>224</v>
      </c>
      <c r="E47" s="53">
        <f>'224'!B56</f>
        <v>220</v>
      </c>
      <c r="F47" s="89">
        <f>'224'!E56</f>
        <v>43431.799999999996</v>
      </c>
      <c r="G47" s="89">
        <f>'224'!J56</f>
        <v>42947.799999999996</v>
      </c>
      <c r="H47" s="53">
        <f>Сертификат!B389</f>
        <v>220</v>
      </c>
      <c r="I47" s="53">
        <v>1</v>
      </c>
      <c r="J47" s="53" t="s">
        <v>53</v>
      </c>
      <c r="K47" s="63">
        <f>Сертификат!D389</f>
        <v>42947.799999999996</v>
      </c>
      <c r="L47" s="74"/>
      <c r="M47" s="26"/>
      <c r="N47" s="26"/>
      <c r="O47" s="26"/>
      <c r="P47" s="26"/>
    </row>
    <row r="48" spans="1:16" x14ac:dyDescent="0.25">
      <c r="A48" s="178" t="s">
        <v>33</v>
      </c>
      <c r="B48" s="178" t="s">
        <v>44</v>
      </c>
      <c r="C48" s="178" t="s">
        <v>73</v>
      </c>
      <c r="D48" s="178">
        <v>225</v>
      </c>
      <c r="E48" s="178">
        <f>'225'!B56</f>
        <v>220</v>
      </c>
      <c r="F48" s="181">
        <f>'225'!E56</f>
        <v>43555.5</v>
      </c>
      <c r="G48" s="181">
        <f>'225'!J56</f>
        <v>43071.5</v>
      </c>
      <c r="H48" s="53">
        <f>Сертификат!B405</f>
        <v>129</v>
      </c>
      <c r="I48" s="53">
        <v>1</v>
      </c>
      <c r="J48" s="53" t="s">
        <v>41</v>
      </c>
      <c r="K48" s="63">
        <f>Сертификат!D405</f>
        <v>25503.600000000002</v>
      </c>
      <c r="L48" s="74"/>
      <c r="M48" s="26"/>
      <c r="N48" s="26"/>
      <c r="O48" s="26"/>
      <c r="P48" s="26"/>
    </row>
    <row r="49" spans="1:16" x14ac:dyDescent="0.25">
      <c r="A49" s="179"/>
      <c r="B49" s="179"/>
      <c r="C49" s="179"/>
      <c r="D49" s="179"/>
      <c r="E49" s="179"/>
      <c r="F49" s="183"/>
      <c r="G49" s="183"/>
      <c r="H49" s="53">
        <f>Сертификат!B406</f>
        <v>91</v>
      </c>
      <c r="I49" s="53">
        <v>1</v>
      </c>
      <c r="J49" s="53" t="s">
        <v>53</v>
      </c>
      <c r="K49" s="63">
        <f>Сертификат!D406</f>
        <v>17567.900000000001</v>
      </c>
      <c r="L49" s="74"/>
      <c r="M49" s="26"/>
      <c r="N49" s="26"/>
      <c r="O49" s="26"/>
      <c r="P49" s="26"/>
    </row>
    <row r="50" spans="1:16" x14ac:dyDescent="0.25">
      <c r="A50" s="178" t="s">
        <v>33</v>
      </c>
      <c r="B50" s="178" t="s">
        <v>44</v>
      </c>
      <c r="C50" s="178" t="s">
        <v>73</v>
      </c>
      <c r="D50" s="178">
        <v>226</v>
      </c>
      <c r="E50" s="178">
        <f>'226'!B56</f>
        <v>220</v>
      </c>
      <c r="F50" s="181">
        <f>'226'!E56</f>
        <v>43104.599999999991</v>
      </c>
      <c r="G50" s="181">
        <f>'226'!J56</f>
        <v>42620.599999999991</v>
      </c>
      <c r="H50" s="53">
        <f>Сертификат!B421</f>
        <v>101</v>
      </c>
      <c r="I50" s="53">
        <v>1</v>
      </c>
      <c r="J50" s="53" t="s">
        <v>41</v>
      </c>
      <c r="K50" s="63">
        <f>Сертификат!D421</f>
        <v>19547.999999999996</v>
      </c>
      <c r="L50" s="74"/>
      <c r="M50" s="26"/>
      <c r="N50" s="26"/>
      <c r="O50" s="26"/>
      <c r="P50" s="26"/>
    </row>
    <row r="51" spans="1:16" x14ac:dyDescent="0.25">
      <c r="A51" s="179"/>
      <c r="B51" s="179"/>
      <c r="C51" s="179"/>
      <c r="D51" s="179"/>
      <c r="E51" s="179"/>
      <c r="F51" s="183"/>
      <c r="G51" s="183"/>
      <c r="H51" s="53">
        <f>Сертификат!B422</f>
        <v>119</v>
      </c>
      <c r="I51" s="53">
        <v>1</v>
      </c>
      <c r="J51" s="53" t="s">
        <v>53</v>
      </c>
      <c r="K51" s="63">
        <f>Сертификат!D422</f>
        <v>23072.6</v>
      </c>
      <c r="L51" s="74"/>
      <c r="M51" s="26"/>
      <c r="N51" s="26"/>
      <c r="O51" s="26"/>
      <c r="P51" s="26"/>
    </row>
    <row r="52" spans="1:16" x14ac:dyDescent="0.25">
      <c r="A52" s="53" t="s">
        <v>33</v>
      </c>
      <c r="B52" s="53" t="s">
        <v>44</v>
      </c>
      <c r="C52" s="53" t="s">
        <v>73</v>
      </c>
      <c r="D52" s="53">
        <v>227</v>
      </c>
      <c r="E52" s="53">
        <f>'227'!B56</f>
        <v>220</v>
      </c>
      <c r="F52" s="89">
        <f>'227'!E56</f>
        <v>43087.200000000004</v>
      </c>
      <c r="G52" s="89">
        <f>'227'!J56</f>
        <v>42603.200000000004</v>
      </c>
      <c r="H52" s="53">
        <f>Сертификат!B437</f>
        <v>220</v>
      </c>
      <c r="I52" s="53">
        <v>1</v>
      </c>
      <c r="J52" s="53" t="s">
        <v>53</v>
      </c>
      <c r="K52" s="63">
        <f>Сертификат!D437</f>
        <v>42603.200000000004</v>
      </c>
      <c r="L52" s="74"/>
      <c r="M52" s="26"/>
      <c r="N52" s="26"/>
      <c r="O52" s="26"/>
      <c r="P52" s="26"/>
    </row>
    <row r="53" spans="1:16" x14ac:dyDescent="0.25">
      <c r="A53" s="178" t="s">
        <v>33</v>
      </c>
      <c r="B53" s="178" t="s">
        <v>44</v>
      </c>
      <c r="C53" s="178" t="s">
        <v>73</v>
      </c>
      <c r="D53" s="178">
        <v>228</v>
      </c>
      <c r="E53" s="178">
        <f>'228'!B56</f>
        <v>220</v>
      </c>
      <c r="F53" s="181">
        <f>'228'!E56</f>
        <v>44018.400000000001</v>
      </c>
      <c r="G53" s="181">
        <f>'228'!J56</f>
        <v>43534.400000000001</v>
      </c>
      <c r="H53" s="53">
        <f>Сертификат!B452</f>
        <v>79</v>
      </c>
      <c r="I53" s="53">
        <v>1</v>
      </c>
      <c r="J53" s="53" t="s">
        <v>41</v>
      </c>
      <c r="K53" s="63">
        <f>Сертификат!D452</f>
        <v>15534.2</v>
      </c>
      <c r="L53" s="74"/>
      <c r="M53" s="26"/>
      <c r="N53" s="26"/>
      <c r="O53" s="26"/>
      <c r="P53" s="26"/>
    </row>
    <row r="54" spans="1:16" x14ac:dyDescent="0.25">
      <c r="A54" s="179"/>
      <c r="B54" s="179"/>
      <c r="C54" s="179"/>
      <c r="D54" s="179"/>
      <c r="E54" s="179"/>
      <c r="F54" s="183"/>
      <c r="G54" s="183"/>
      <c r="H54" s="53">
        <f>Сертификат!B453</f>
        <v>141</v>
      </c>
      <c r="I54" s="53">
        <v>1</v>
      </c>
      <c r="J54" s="53" t="s">
        <v>53</v>
      </c>
      <c r="K54" s="63">
        <f>Сертификат!D453</f>
        <v>28000.199999999997</v>
      </c>
      <c r="L54" s="74"/>
      <c r="M54" s="26"/>
      <c r="N54" s="26"/>
      <c r="O54" s="26"/>
      <c r="P54" s="26"/>
    </row>
    <row r="55" spans="1:16" x14ac:dyDescent="0.25">
      <c r="A55" s="178" t="s">
        <v>33</v>
      </c>
      <c r="B55" s="178" t="s">
        <v>44</v>
      </c>
      <c r="C55" s="178" t="s">
        <v>73</v>
      </c>
      <c r="D55" s="178">
        <v>229</v>
      </c>
      <c r="E55" s="178">
        <f>'229'!B56</f>
        <v>220</v>
      </c>
      <c r="F55" s="181">
        <f>'229'!E56</f>
        <v>45461.200000000004</v>
      </c>
      <c r="G55" s="181">
        <f>'229'!J56</f>
        <v>44977.200000000004</v>
      </c>
      <c r="H55" s="53">
        <f>Сертификат!B468</f>
        <v>55</v>
      </c>
      <c r="I55" s="53">
        <v>1</v>
      </c>
      <c r="J55" s="53" t="s">
        <v>41</v>
      </c>
      <c r="K55" s="63">
        <f>Сертификат!D468</f>
        <v>11147.5</v>
      </c>
      <c r="L55" s="74"/>
      <c r="M55" s="26"/>
      <c r="N55" s="26"/>
      <c r="O55" s="26"/>
      <c r="P55" s="26"/>
    </row>
    <row r="56" spans="1:16" x14ac:dyDescent="0.25">
      <c r="A56" s="180"/>
      <c r="B56" s="180"/>
      <c r="C56" s="180"/>
      <c r="D56" s="180"/>
      <c r="E56" s="180"/>
      <c r="F56" s="182"/>
      <c r="G56" s="182"/>
      <c r="H56" s="53">
        <f>Сертификат!B469</f>
        <v>99</v>
      </c>
      <c r="I56" s="53">
        <v>1</v>
      </c>
      <c r="J56" s="53" t="s">
        <v>53</v>
      </c>
      <c r="K56" s="63">
        <f>Сертификат!D469</f>
        <v>20293.599999999999</v>
      </c>
      <c r="L56" s="74"/>
      <c r="M56" s="26"/>
      <c r="N56" s="26"/>
      <c r="O56" s="26"/>
      <c r="P56" s="26"/>
    </row>
    <row r="57" spans="1:16" x14ac:dyDescent="0.25">
      <c r="A57" s="179"/>
      <c r="B57" s="179"/>
      <c r="C57" s="179"/>
      <c r="D57" s="179"/>
      <c r="E57" s="179"/>
      <c r="F57" s="183"/>
      <c r="G57" s="183"/>
      <c r="H57" s="53">
        <f>Сертификат!B470</f>
        <v>66</v>
      </c>
      <c r="I57" s="53">
        <v>1</v>
      </c>
      <c r="J57" s="53" t="s">
        <v>49</v>
      </c>
      <c r="K57" s="63">
        <f>Сертификат!D470</f>
        <v>13536.099999999999</v>
      </c>
      <c r="L57" s="74"/>
      <c r="M57" s="26"/>
      <c r="N57" s="26"/>
      <c r="O57" s="26"/>
      <c r="P57" s="26"/>
    </row>
    <row r="58" spans="1:16" x14ac:dyDescent="0.25">
      <c r="A58" s="178" t="s">
        <v>33</v>
      </c>
      <c r="B58" s="178" t="s">
        <v>44</v>
      </c>
      <c r="C58" s="178" t="s">
        <v>73</v>
      </c>
      <c r="D58" s="178">
        <v>230</v>
      </c>
      <c r="E58" s="178">
        <f>'230'!B56</f>
        <v>220</v>
      </c>
      <c r="F58" s="181">
        <f>'230'!E56</f>
        <v>44837.400000000009</v>
      </c>
      <c r="G58" s="181">
        <f>'230'!J56</f>
        <v>44353.400000000009</v>
      </c>
      <c r="H58" s="53">
        <f>Сертификат!B485</f>
        <v>90</v>
      </c>
      <c r="I58" s="53">
        <v>1</v>
      </c>
      <c r="J58" s="53" t="s">
        <v>41</v>
      </c>
      <c r="K58" s="63">
        <f>Сертификат!D485</f>
        <v>18231</v>
      </c>
      <c r="L58" s="74"/>
      <c r="M58" s="26"/>
      <c r="N58" s="26"/>
      <c r="O58" s="26"/>
      <c r="P58" s="26"/>
    </row>
    <row r="59" spans="1:16" x14ac:dyDescent="0.25">
      <c r="A59" s="180"/>
      <c r="B59" s="180"/>
      <c r="C59" s="180"/>
      <c r="D59" s="180"/>
      <c r="E59" s="180"/>
      <c r="F59" s="182"/>
      <c r="G59" s="182"/>
      <c r="H59" s="53">
        <f>Сертификат!B486</f>
        <v>120</v>
      </c>
      <c r="I59" s="53">
        <v>1</v>
      </c>
      <c r="J59" s="53" t="s">
        <v>53</v>
      </c>
      <c r="K59" s="63">
        <f>Сертификат!D486</f>
        <v>24029</v>
      </c>
      <c r="L59" s="74"/>
      <c r="M59" s="26"/>
      <c r="N59" s="26"/>
      <c r="O59" s="26"/>
      <c r="P59" s="26"/>
    </row>
    <row r="60" spans="1:16" x14ac:dyDescent="0.25">
      <c r="A60" s="179"/>
      <c r="B60" s="179"/>
      <c r="C60" s="179"/>
      <c r="D60" s="179"/>
      <c r="E60" s="179"/>
      <c r="F60" s="183"/>
      <c r="G60" s="183"/>
      <c r="H60" s="53">
        <f>Сертификат!B487</f>
        <v>10</v>
      </c>
      <c r="I60" s="53">
        <v>1</v>
      </c>
      <c r="J60" s="53" t="s">
        <v>49</v>
      </c>
      <c r="K60" s="63">
        <f>Сертификат!D487</f>
        <v>2093.4</v>
      </c>
      <c r="L60" s="74"/>
      <c r="M60" s="26"/>
      <c r="N60" s="26"/>
      <c r="O60" s="26"/>
      <c r="P60" s="26"/>
    </row>
    <row r="61" spans="1:16" x14ac:dyDescent="0.25">
      <c r="A61" s="53" t="s">
        <v>33</v>
      </c>
      <c r="B61" s="53" t="s">
        <v>44</v>
      </c>
      <c r="C61" s="53" t="s">
        <v>73</v>
      </c>
      <c r="D61" s="53">
        <v>231</v>
      </c>
      <c r="E61" s="53">
        <f>'231'!B56</f>
        <v>220</v>
      </c>
      <c r="F61" s="89">
        <f>'231'!E56</f>
        <v>43862.63</v>
      </c>
      <c r="G61" s="89">
        <f>'231'!J56</f>
        <v>43378.63</v>
      </c>
      <c r="H61" s="53">
        <f>Сертификат!B503</f>
        <v>220</v>
      </c>
      <c r="I61" s="53">
        <v>1</v>
      </c>
      <c r="J61" s="53" t="s">
        <v>53</v>
      </c>
      <c r="K61" s="63">
        <f>Сертификат!D503</f>
        <v>43378.63</v>
      </c>
      <c r="L61" s="74"/>
      <c r="M61" s="26"/>
      <c r="N61" s="26"/>
      <c r="O61" s="26"/>
      <c r="P61" s="26"/>
    </row>
    <row r="62" spans="1:16" x14ac:dyDescent="0.25">
      <c r="A62" s="178" t="s">
        <v>33</v>
      </c>
      <c r="B62" s="178" t="s">
        <v>44</v>
      </c>
      <c r="C62" s="178" t="s">
        <v>73</v>
      </c>
      <c r="D62" s="178">
        <v>232</v>
      </c>
      <c r="E62" s="178">
        <f>'232'!B56</f>
        <v>220</v>
      </c>
      <c r="F62" s="181">
        <f>'232'!E56</f>
        <v>44642.600000000006</v>
      </c>
      <c r="G62" s="181">
        <f>'232'!J56</f>
        <v>44158.600000000006</v>
      </c>
      <c r="H62" s="53">
        <f>Сертификат!B519</f>
        <v>121</v>
      </c>
      <c r="I62" s="53">
        <v>1</v>
      </c>
      <c r="J62" s="53" t="s">
        <v>41</v>
      </c>
      <c r="K62" s="62">
        <f>Сертификат!D519</f>
        <v>24311.099999999995</v>
      </c>
      <c r="L62" s="74"/>
      <c r="M62" s="26"/>
      <c r="N62" s="26"/>
      <c r="O62" s="26"/>
      <c r="P62" s="26"/>
    </row>
    <row r="63" spans="1:16" x14ac:dyDescent="0.25">
      <c r="A63" s="179"/>
      <c r="B63" s="179"/>
      <c r="C63" s="179"/>
      <c r="D63" s="179"/>
      <c r="E63" s="179"/>
      <c r="F63" s="183"/>
      <c r="G63" s="183"/>
      <c r="H63" s="53">
        <f>Сертификат!B520</f>
        <v>99</v>
      </c>
      <c r="I63" s="53">
        <v>1</v>
      </c>
      <c r="J63" s="53" t="s">
        <v>53</v>
      </c>
      <c r="K63" s="62">
        <f>Сертификат!D520</f>
        <v>19847.499999999996</v>
      </c>
      <c r="L63" s="74"/>
      <c r="M63" s="26"/>
      <c r="N63" s="26"/>
      <c r="O63" s="26"/>
      <c r="P63" s="26"/>
    </row>
    <row r="64" spans="1:16" x14ac:dyDescent="0.25">
      <c r="A64" s="178" t="s">
        <v>33</v>
      </c>
      <c r="B64" s="178" t="s">
        <v>44</v>
      </c>
      <c r="C64" s="178" t="s">
        <v>73</v>
      </c>
      <c r="D64" s="178">
        <v>233</v>
      </c>
      <c r="E64" s="178">
        <f>'233'!B56</f>
        <v>220</v>
      </c>
      <c r="F64" s="181">
        <f>'233'!E56</f>
        <v>45052.499999999993</v>
      </c>
      <c r="G64" s="181">
        <f>'233'!J56</f>
        <v>44568.499999999993</v>
      </c>
      <c r="H64" s="53">
        <f>Сертификат!B535</f>
        <v>130</v>
      </c>
      <c r="I64" s="53">
        <v>1</v>
      </c>
      <c r="J64" s="53" t="s">
        <v>41</v>
      </c>
      <c r="K64" s="62">
        <f>Сертификат!D535</f>
        <v>26419.999999999996</v>
      </c>
      <c r="L64" s="74"/>
      <c r="M64" s="26"/>
      <c r="N64" s="26"/>
      <c r="O64" s="26"/>
      <c r="P64" s="26"/>
    </row>
    <row r="65" spans="1:16" x14ac:dyDescent="0.25">
      <c r="A65" s="179"/>
      <c r="B65" s="179"/>
      <c r="C65" s="179"/>
      <c r="D65" s="179"/>
      <c r="E65" s="179"/>
      <c r="F65" s="183"/>
      <c r="G65" s="183"/>
      <c r="H65" s="53">
        <f>Сертификат!B536</f>
        <v>90</v>
      </c>
      <c r="I65" s="53">
        <v>1</v>
      </c>
      <c r="J65" s="53" t="s">
        <v>53</v>
      </c>
      <c r="K65" s="62">
        <f>Сертификат!D536</f>
        <v>18148.5</v>
      </c>
      <c r="L65" s="74"/>
      <c r="M65" s="26"/>
      <c r="N65" s="26"/>
      <c r="O65" s="26"/>
      <c r="P65" s="26"/>
    </row>
    <row r="66" spans="1:16" x14ac:dyDescent="0.25">
      <c r="A66" s="53" t="s">
        <v>33</v>
      </c>
      <c r="B66" s="53" t="s">
        <v>44</v>
      </c>
      <c r="C66" s="53" t="s">
        <v>73</v>
      </c>
      <c r="D66" s="53">
        <v>234</v>
      </c>
      <c r="E66" s="53">
        <f>'234'!B56</f>
        <v>220</v>
      </c>
      <c r="F66" s="89">
        <f>'234'!E56</f>
        <v>44399.609999999993</v>
      </c>
      <c r="G66" s="89">
        <f>'234'!J56</f>
        <v>43915.609999999993</v>
      </c>
      <c r="H66" s="53"/>
      <c r="I66" s="53"/>
      <c r="J66" s="53"/>
      <c r="K66" s="62"/>
      <c r="L66" s="74"/>
      <c r="M66" s="26"/>
      <c r="N66" s="26"/>
      <c r="O66" s="26"/>
      <c r="P66" s="26"/>
    </row>
    <row r="67" spans="1:16" x14ac:dyDescent="0.25">
      <c r="A67" s="53" t="s">
        <v>33</v>
      </c>
      <c r="B67" s="53" t="s">
        <v>44</v>
      </c>
      <c r="C67" s="53" t="s">
        <v>73</v>
      </c>
      <c r="D67" s="53">
        <v>235</v>
      </c>
      <c r="E67" s="53">
        <f>'235'!B56</f>
        <v>153</v>
      </c>
      <c r="F67" s="89">
        <f>'235'!E56</f>
        <v>30815.300000000003</v>
      </c>
      <c r="G67" s="89">
        <f>'235'!J56</f>
        <v>30478.700000000004</v>
      </c>
      <c r="H67" s="53"/>
      <c r="I67" s="53"/>
      <c r="J67" s="53"/>
      <c r="K67" s="62"/>
      <c r="L67" s="74"/>
      <c r="M67" s="26"/>
      <c r="N67" s="26"/>
      <c r="O67" s="26"/>
      <c r="P67" s="26"/>
    </row>
    <row r="68" spans="1:16" x14ac:dyDescent="0.25">
      <c r="A68" s="88"/>
      <c r="B68" s="53"/>
      <c r="C68" s="53"/>
      <c r="D68" s="53">
        <v>236</v>
      </c>
      <c r="E68" s="53">
        <f>'236'!B56</f>
        <v>0</v>
      </c>
      <c r="F68" s="89">
        <f>'236'!E56</f>
        <v>0</v>
      </c>
      <c r="G68" s="89">
        <f>'236'!J56</f>
        <v>0</v>
      </c>
      <c r="H68" s="53"/>
      <c r="I68" s="53"/>
      <c r="J68" s="53"/>
      <c r="K68" s="62"/>
      <c r="L68" s="74"/>
      <c r="M68" s="26"/>
      <c r="N68" s="26"/>
      <c r="O68" s="26"/>
      <c r="P68" s="26"/>
    </row>
    <row r="69" spans="1:16" x14ac:dyDescent="0.25">
      <c r="A69" s="53"/>
      <c r="B69" s="53"/>
      <c r="C69" s="53"/>
      <c r="D69" s="53">
        <v>237</v>
      </c>
      <c r="E69" s="53">
        <f>'237'!B56</f>
        <v>0</v>
      </c>
      <c r="F69" s="62">
        <f>'237'!E56</f>
        <v>0</v>
      </c>
      <c r="G69" s="62">
        <f>'237'!J56</f>
        <v>0</v>
      </c>
      <c r="H69" s="53"/>
      <c r="I69" s="53"/>
      <c r="J69" s="53"/>
      <c r="K69" s="62"/>
      <c r="L69" s="74"/>
      <c r="M69" s="26"/>
      <c r="N69" s="26"/>
      <c r="O69" s="26"/>
      <c r="P69" s="26"/>
    </row>
    <row r="70" spans="1:16" x14ac:dyDescent="0.25">
      <c r="A70" s="88"/>
      <c r="B70" s="53"/>
      <c r="C70" s="53"/>
      <c r="D70" s="53">
        <v>238</v>
      </c>
      <c r="E70" s="53">
        <f>'238'!B56</f>
        <v>0</v>
      </c>
      <c r="F70" s="89">
        <f>'238'!E56</f>
        <v>0</v>
      </c>
      <c r="G70" s="89">
        <f>'238'!J56</f>
        <v>0</v>
      </c>
      <c r="H70" s="53"/>
      <c r="I70" s="53"/>
      <c r="J70" s="53"/>
      <c r="K70" s="62"/>
      <c r="L70" s="74"/>
      <c r="M70" s="26"/>
      <c r="N70" s="26"/>
      <c r="O70" s="26"/>
      <c r="P70" s="26"/>
    </row>
    <row r="71" spans="1:16" x14ac:dyDescent="0.25">
      <c r="A71" s="88"/>
      <c r="B71" s="53"/>
      <c r="C71" s="53"/>
      <c r="D71" s="53">
        <v>239</v>
      </c>
      <c r="E71" s="53">
        <f>'239'!B56</f>
        <v>0</v>
      </c>
      <c r="F71" s="89">
        <f>'239'!E56</f>
        <v>0</v>
      </c>
      <c r="G71" s="89">
        <f>'239'!J56</f>
        <v>0</v>
      </c>
      <c r="H71" s="53"/>
      <c r="I71" s="53"/>
      <c r="J71" s="53"/>
      <c r="K71" s="62"/>
      <c r="L71" s="74"/>
      <c r="M71" s="26"/>
      <c r="N71" s="26"/>
      <c r="O71" s="26"/>
      <c r="P71" s="26"/>
    </row>
    <row r="72" spans="1:16" x14ac:dyDescent="0.25">
      <c r="A72" s="88"/>
      <c r="B72" s="53"/>
      <c r="C72" s="53"/>
      <c r="D72" s="53">
        <v>240</v>
      </c>
      <c r="E72" s="53">
        <f>'240'!B56</f>
        <v>0</v>
      </c>
      <c r="F72" s="89">
        <f>'240'!E56</f>
        <v>0</v>
      </c>
      <c r="G72" s="90">
        <f>'240'!J56</f>
        <v>0</v>
      </c>
      <c r="H72" s="53"/>
      <c r="I72" s="53"/>
      <c r="J72" s="53"/>
      <c r="K72" s="62"/>
      <c r="L72" s="74"/>
      <c r="M72" s="26"/>
      <c r="N72" s="26"/>
      <c r="O72" s="26"/>
      <c r="P72" s="26"/>
    </row>
    <row r="73" spans="1:16" x14ac:dyDescent="0.25">
      <c r="A73" s="88"/>
      <c r="B73" s="53"/>
      <c r="C73" s="53"/>
      <c r="D73" s="88"/>
      <c r="E73" s="53"/>
      <c r="F73" s="89"/>
      <c r="G73" s="90"/>
      <c r="H73" s="53"/>
      <c r="I73" s="53"/>
      <c r="J73" s="53"/>
      <c r="K73" s="62"/>
      <c r="L73" s="74"/>
      <c r="M73" s="26"/>
      <c r="N73" s="26"/>
      <c r="O73" s="26"/>
      <c r="P73" s="26"/>
    </row>
    <row r="74" spans="1:16" x14ac:dyDescent="0.25">
      <c r="A74" s="88"/>
      <c r="B74" s="53"/>
      <c r="C74" s="53"/>
      <c r="D74" s="88"/>
      <c r="E74" s="88"/>
      <c r="F74" s="89"/>
      <c r="G74" s="90"/>
      <c r="H74" s="53"/>
      <c r="I74" s="53"/>
      <c r="J74" s="53"/>
      <c r="K74" s="62"/>
      <c r="L74" s="74"/>
      <c r="M74" s="26"/>
      <c r="N74" s="26"/>
      <c r="O74" s="26"/>
      <c r="P74" s="26"/>
    </row>
    <row r="75" spans="1:16" x14ac:dyDescent="0.25">
      <c r="A75" s="88"/>
      <c r="B75" s="53"/>
      <c r="C75" s="53"/>
      <c r="D75" s="88"/>
      <c r="E75" s="88"/>
      <c r="F75" s="89"/>
      <c r="G75" s="90"/>
      <c r="H75" s="53"/>
      <c r="I75" s="53"/>
      <c r="J75" s="53"/>
      <c r="K75" s="62"/>
      <c r="L75" s="74"/>
      <c r="M75" s="26"/>
      <c r="N75" s="26"/>
      <c r="O75" s="26"/>
      <c r="P75" s="26"/>
    </row>
    <row r="76" spans="1:16" x14ac:dyDescent="0.25">
      <c r="A76" s="88"/>
      <c r="B76" s="53"/>
      <c r="C76" s="53"/>
      <c r="D76" s="88"/>
      <c r="E76" s="88"/>
      <c r="F76" s="89"/>
      <c r="G76" s="90"/>
      <c r="H76" s="53"/>
      <c r="I76" s="53"/>
      <c r="J76" s="53"/>
      <c r="K76" s="62"/>
      <c r="L76" s="74"/>
      <c r="M76" s="26"/>
      <c r="N76" s="26"/>
      <c r="O76" s="26"/>
      <c r="P76" s="26"/>
    </row>
    <row r="77" spans="1:16" x14ac:dyDescent="0.25">
      <c r="A77" s="88"/>
      <c r="B77" s="53"/>
      <c r="C77" s="53"/>
      <c r="D77" s="88"/>
      <c r="E77" s="88"/>
      <c r="F77" s="89"/>
      <c r="G77" s="90"/>
      <c r="H77" s="53"/>
      <c r="I77" s="53"/>
      <c r="J77" s="53"/>
      <c r="K77" s="62"/>
      <c r="L77" s="74"/>
      <c r="M77" s="26"/>
      <c r="N77" s="26"/>
      <c r="O77" s="26"/>
      <c r="P77" s="26"/>
    </row>
    <row r="78" spans="1:16" x14ac:dyDescent="0.25">
      <c r="A78" s="88"/>
      <c r="B78" s="53"/>
      <c r="C78" s="53"/>
      <c r="D78" s="88"/>
      <c r="E78" s="88"/>
      <c r="F78" s="89"/>
      <c r="G78" s="90"/>
      <c r="H78" s="53"/>
      <c r="I78" s="53"/>
      <c r="J78" s="53"/>
      <c r="K78" s="62"/>
      <c r="L78" s="74"/>
      <c r="M78" s="26"/>
      <c r="N78" s="26"/>
      <c r="O78" s="26"/>
      <c r="P78" s="26"/>
    </row>
    <row r="79" spans="1:16" x14ac:dyDescent="0.25">
      <c r="A79" s="88"/>
      <c r="B79" s="53"/>
      <c r="C79" s="53"/>
      <c r="D79" s="88"/>
      <c r="E79" s="88"/>
      <c r="F79" s="89"/>
      <c r="G79" s="90"/>
      <c r="H79" s="53"/>
      <c r="I79" s="53"/>
      <c r="J79" s="53"/>
      <c r="K79" s="62"/>
      <c r="L79" s="74"/>
      <c r="M79" s="26"/>
      <c r="N79" s="26"/>
      <c r="O79" s="26"/>
      <c r="P79" s="26"/>
    </row>
    <row r="80" spans="1:16" x14ac:dyDescent="0.25">
      <c r="A80" s="53"/>
      <c r="B80" s="53"/>
      <c r="C80" s="53"/>
      <c r="D80" s="53"/>
      <c r="E80" s="53"/>
      <c r="F80" s="62"/>
      <c r="G80" s="63"/>
      <c r="H80" s="53"/>
      <c r="I80" s="53"/>
      <c r="J80" s="53"/>
      <c r="K80" s="62"/>
      <c r="L80" s="74"/>
      <c r="M80" s="26"/>
      <c r="N80" s="26"/>
      <c r="O80" s="26"/>
      <c r="P80" s="26"/>
    </row>
    <row r="81" spans="1:16" x14ac:dyDescent="0.25">
      <c r="A81" s="53"/>
      <c r="B81" s="53"/>
      <c r="C81" s="53"/>
      <c r="D81" s="53"/>
      <c r="E81" s="53"/>
      <c r="F81" s="62"/>
      <c r="G81" s="63"/>
      <c r="H81" s="53"/>
      <c r="I81" s="53"/>
      <c r="J81" s="53"/>
      <c r="K81" s="62"/>
      <c r="L81" s="74"/>
      <c r="M81" s="69"/>
      <c r="N81" s="26"/>
      <c r="O81" s="26"/>
      <c r="P81" s="26"/>
    </row>
    <row r="82" spans="1:16" s="57" customFormat="1" x14ac:dyDescent="0.25">
      <c r="A82" s="60"/>
      <c r="B82" s="60"/>
      <c r="C82" s="60"/>
      <c r="D82" s="60"/>
      <c r="E82" s="60"/>
      <c r="F82" s="63"/>
      <c r="G82" s="63"/>
      <c r="H82" s="60"/>
      <c r="I82" s="60"/>
      <c r="J82" s="60"/>
      <c r="K82" s="63"/>
      <c r="L82" s="75"/>
      <c r="M82" s="70"/>
      <c r="N82" s="70"/>
      <c r="O82" s="70"/>
      <c r="P82" s="70"/>
    </row>
    <row r="83" spans="1:16" x14ac:dyDescent="0.25">
      <c r="A83" s="53"/>
      <c r="B83" s="53"/>
      <c r="C83" s="53"/>
      <c r="D83" s="53"/>
      <c r="E83" s="53"/>
      <c r="F83" s="62"/>
      <c r="G83" s="62"/>
      <c r="H83" s="53"/>
      <c r="I83" s="53"/>
      <c r="J83" s="53"/>
      <c r="K83" s="62"/>
      <c r="L83" s="74"/>
      <c r="M83" s="26"/>
      <c r="N83" s="26"/>
      <c r="O83" s="26"/>
      <c r="P83" s="26"/>
    </row>
    <row r="84" spans="1:16" x14ac:dyDescent="0.25">
      <c r="A84" s="53"/>
      <c r="B84" s="53"/>
      <c r="C84" s="53"/>
      <c r="D84" s="53"/>
      <c r="E84" s="53"/>
      <c r="F84" s="62"/>
      <c r="G84" s="62"/>
      <c r="H84" s="53"/>
      <c r="I84" s="53"/>
      <c r="J84" s="53"/>
      <c r="K84" s="62"/>
      <c r="L84" s="74"/>
      <c r="M84" s="26"/>
      <c r="N84" s="26"/>
      <c r="O84" s="26"/>
      <c r="P84" s="26"/>
    </row>
    <row r="85" spans="1:16" x14ac:dyDescent="0.25">
      <c r="A85" s="53"/>
      <c r="B85" s="53"/>
      <c r="C85" s="53"/>
      <c r="D85" s="53"/>
      <c r="E85" s="53"/>
      <c r="F85" s="62"/>
      <c r="G85" s="62"/>
      <c r="H85" s="53"/>
      <c r="I85" s="53"/>
      <c r="J85" s="53"/>
      <c r="K85" s="62"/>
      <c r="L85" s="74"/>
      <c r="M85" s="26"/>
      <c r="N85" s="26"/>
      <c r="O85" s="26"/>
      <c r="P85" s="26"/>
    </row>
    <row r="86" spans="1:16" x14ac:dyDescent="0.25">
      <c r="A86" s="53"/>
      <c r="B86" s="53"/>
      <c r="C86" s="53"/>
      <c r="D86" s="53"/>
      <c r="E86" s="53"/>
      <c r="F86" s="62"/>
      <c r="G86" s="62"/>
      <c r="H86" s="53"/>
      <c r="I86" s="53"/>
      <c r="J86" s="53"/>
      <c r="K86" s="62"/>
      <c r="L86" s="74"/>
      <c r="M86" s="26"/>
      <c r="N86" s="26"/>
      <c r="O86" s="26"/>
      <c r="P86" s="26"/>
    </row>
    <row r="87" spans="1:16" x14ac:dyDescent="0.25">
      <c r="A87" s="53"/>
      <c r="B87" s="53"/>
      <c r="C87" s="53"/>
      <c r="D87" s="53"/>
      <c r="E87" s="53"/>
      <c r="F87" s="62"/>
      <c r="G87" s="62"/>
      <c r="H87" s="53"/>
      <c r="I87" s="53"/>
      <c r="J87" s="53"/>
      <c r="K87" s="62"/>
      <c r="L87" s="74"/>
      <c r="M87" s="26"/>
      <c r="N87" s="26"/>
      <c r="O87" s="26"/>
      <c r="P87" s="26"/>
    </row>
    <row r="88" spans="1:16" x14ac:dyDescent="0.25">
      <c r="A88" s="53"/>
      <c r="B88" s="53"/>
      <c r="C88" s="53"/>
      <c r="D88" s="53"/>
      <c r="E88" s="53"/>
      <c r="F88" s="62"/>
      <c r="G88" s="62"/>
      <c r="H88" s="53"/>
      <c r="I88" s="53"/>
      <c r="J88" s="53"/>
      <c r="K88" s="62"/>
      <c r="L88" s="74"/>
      <c r="M88" s="26"/>
      <c r="N88" s="26"/>
      <c r="O88" s="26"/>
      <c r="P88" s="26"/>
    </row>
    <row r="89" spans="1:16" x14ac:dyDescent="0.25">
      <c r="A89" s="53"/>
      <c r="B89" s="53"/>
      <c r="C89" s="53"/>
      <c r="D89" s="53"/>
      <c r="E89" s="53"/>
      <c r="F89" s="62"/>
      <c r="G89" s="62"/>
      <c r="H89" s="53"/>
      <c r="I89" s="53"/>
      <c r="J89" s="53"/>
      <c r="K89" s="62"/>
      <c r="L89" s="74"/>
      <c r="M89" s="26"/>
      <c r="N89" s="26"/>
      <c r="O89" s="26"/>
      <c r="P89" s="26"/>
    </row>
    <row r="90" spans="1:16" x14ac:dyDescent="0.25">
      <c r="A90" s="53"/>
      <c r="B90" s="53"/>
      <c r="C90" s="53"/>
      <c r="D90" s="53"/>
      <c r="E90" s="53"/>
      <c r="F90" s="62"/>
      <c r="G90" s="62"/>
      <c r="H90" s="53"/>
      <c r="I90" s="53"/>
      <c r="J90" s="53"/>
      <c r="K90" s="62"/>
      <c r="L90" s="74"/>
      <c r="M90" s="26"/>
      <c r="N90" s="26"/>
      <c r="O90" s="26"/>
      <c r="P90" s="26"/>
    </row>
    <row r="91" spans="1:16" x14ac:dyDescent="0.25">
      <c r="A91" s="53"/>
      <c r="B91" s="53"/>
      <c r="C91" s="53"/>
      <c r="D91" s="53"/>
      <c r="E91" s="53"/>
      <c r="F91" s="62"/>
      <c r="G91" s="62"/>
      <c r="H91" s="53"/>
      <c r="I91" s="53"/>
      <c r="J91" s="53"/>
      <c r="K91" s="62"/>
      <c r="L91" s="74"/>
      <c r="M91" s="26"/>
      <c r="N91" s="26"/>
      <c r="O91" s="26"/>
      <c r="P91" s="26"/>
    </row>
    <row r="92" spans="1:16" x14ac:dyDescent="0.25">
      <c r="A92" s="88"/>
      <c r="B92" s="53"/>
      <c r="C92" s="53"/>
      <c r="D92" s="88"/>
      <c r="E92" s="88"/>
      <c r="F92" s="89"/>
      <c r="G92" s="89"/>
      <c r="H92" s="53"/>
      <c r="I92" s="53"/>
      <c r="J92" s="53"/>
      <c r="K92" s="62"/>
      <c r="L92" s="74"/>
      <c r="M92" s="26"/>
      <c r="N92" s="26"/>
      <c r="O92" s="26"/>
      <c r="P92" s="26"/>
    </row>
    <row r="93" spans="1:16" x14ac:dyDescent="0.25">
      <c r="A93" s="88"/>
      <c r="B93" s="53"/>
      <c r="C93" s="53"/>
      <c r="D93" s="88"/>
      <c r="E93" s="88"/>
      <c r="F93" s="89"/>
      <c r="G93" s="91"/>
      <c r="H93" s="53"/>
      <c r="I93" s="53"/>
      <c r="J93" s="53"/>
      <c r="K93" s="62"/>
      <c r="L93" s="74"/>
      <c r="M93" s="26"/>
      <c r="N93" s="26"/>
      <c r="O93" s="26"/>
      <c r="P93" s="26"/>
    </row>
    <row r="94" spans="1:16" x14ac:dyDescent="0.25">
      <c r="A94" s="88"/>
      <c r="B94" s="53"/>
      <c r="C94" s="53"/>
      <c r="D94" s="88"/>
      <c r="E94" s="88"/>
      <c r="F94" s="89"/>
      <c r="G94" s="89"/>
      <c r="H94" s="53"/>
      <c r="I94" s="53"/>
      <c r="J94" s="53"/>
      <c r="K94" s="62"/>
      <c r="L94" s="74"/>
      <c r="M94" s="26"/>
      <c r="N94" s="26"/>
      <c r="O94" s="26"/>
      <c r="P94" s="26"/>
    </row>
    <row r="95" spans="1:16" x14ac:dyDescent="0.25">
      <c r="A95" s="88"/>
      <c r="B95" s="53"/>
      <c r="C95" s="53"/>
      <c r="D95" s="88"/>
      <c r="E95" s="88"/>
      <c r="F95" s="89"/>
      <c r="G95" s="91"/>
      <c r="H95" s="53"/>
      <c r="I95" s="53"/>
      <c r="J95" s="53"/>
      <c r="K95" s="62"/>
      <c r="L95" s="74"/>
      <c r="M95" s="26"/>
      <c r="N95" s="26"/>
      <c r="O95" s="26"/>
      <c r="P95" s="26"/>
    </row>
    <row r="96" spans="1:16" x14ac:dyDescent="0.25">
      <c r="A96" s="53"/>
      <c r="B96" s="53"/>
      <c r="C96" s="53"/>
      <c r="D96" s="53"/>
      <c r="E96" s="53"/>
      <c r="F96" s="62"/>
      <c r="G96" s="62"/>
      <c r="H96" s="53"/>
      <c r="I96" s="53"/>
      <c r="J96" s="53"/>
      <c r="K96" s="62"/>
      <c r="L96" s="74"/>
      <c r="M96" s="26"/>
      <c r="N96" s="26"/>
      <c r="O96" s="26"/>
      <c r="P96" s="26"/>
    </row>
    <row r="97" spans="1:16" x14ac:dyDescent="0.25">
      <c r="A97" s="88"/>
      <c r="B97" s="53"/>
      <c r="C97" s="53"/>
      <c r="D97" s="88"/>
      <c r="E97" s="88"/>
      <c r="F97" s="89"/>
      <c r="G97" s="89"/>
      <c r="H97" s="53"/>
      <c r="I97" s="53"/>
      <c r="J97" s="53"/>
      <c r="K97" s="62"/>
      <c r="L97" s="74"/>
      <c r="M97" s="26"/>
      <c r="N97" s="26"/>
      <c r="O97" s="26"/>
      <c r="P97" s="26"/>
    </row>
    <row r="98" spans="1:16" x14ac:dyDescent="0.25">
      <c r="A98" s="88"/>
      <c r="B98" s="53"/>
      <c r="C98" s="53"/>
      <c r="D98" s="88"/>
      <c r="E98" s="88"/>
      <c r="F98" s="89"/>
      <c r="G98" s="91"/>
      <c r="H98" s="53"/>
      <c r="I98" s="53"/>
      <c r="J98" s="53"/>
      <c r="K98" s="62"/>
      <c r="L98" s="74"/>
      <c r="M98" s="26"/>
      <c r="N98" s="26"/>
      <c r="O98" s="26"/>
      <c r="P98" s="26"/>
    </row>
    <row r="99" spans="1:16" x14ac:dyDescent="0.25">
      <c r="A99" s="88"/>
      <c r="B99" s="53"/>
      <c r="C99" s="53"/>
      <c r="D99" s="88"/>
      <c r="E99" s="88"/>
      <c r="F99" s="89"/>
      <c r="G99" s="91"/>
      <c r="H99" s="53"/>
      <c r="I99" s="53"/>
      <c r="J99" s="53"/>
      <c r="K99" s="62"/>
      <c r="L99" s="74"/>
      <c r="M99" s="26"/>
      <c r="N99" s="26"/>
      <c r="O99" s="26"/>
      <c r="P99" s="26"/>
    </row>
    <row r="100" spans="1:16" x14ac:dyDescent="0.25">
      <c r="A100" s="88"/>
      <c r="B100" s="53"/>
      <c r="C100" s="53"/>
      <c r="D100" s="88"/>
      <c r="E100" s="88"/>
      <c r="F100" s="89"/>
      <c r="G100" s="89"/>
      <c r="H100" s="53"/>
      <c r="I100" s="53"/>
      <c r="J100" s="53"/>
      <c r="K100" s="62"/>
      <c r="L100" s="74"/>
      <c r="M100" s="26"/>
      <c r="N100" s="26"/>
      <c r="O100" s="26"/>
      <c r="P100" s="26"/>
    </row>
    <row r="101" spans="1:16" x14ac:dyDescent="0.25">
      <c r="A101" s="88"/>
      <c r="B101" s="53"/>
      <c r="C101" s="53"/>
      <c r="D101" s="88"/>
      <c r="E101" s="88"/>
      <c r="F101" s="89"/>
      <c r="G101" s="91"/>
      <c r="H101" s="53"/>
      <c r="I101" s="53"/>
      <c r="J101" s="53"/>
      <c r="K101" s="62"/>
      <c r="L101" s="74"/>
      <c r="M101" s="26"/>
      <c r="N101" s="26"/>
      <c r="O101" s="26"/>
      <c r="P101" s="26"/>
    </row>
    <row r="102" spans="1:16" x14ac:dyDescent="0.25">
      <c r="A102" s="88"/>
      <c r="B102" s="53"/>
      <c r="C102" s="53"/>
      <c r="D102" s="88"/>
      <c r="E102" s="88"/>
      <c r="F102" s="89"/>
      <c r="G102" s="89"/>
      <c r="H102" s="53"/>
      <c r="I102" s="53"/>
      <c r="J102" s="53"/>
      <c r="K102" s="62"/>
      <c r="L102" s="74"/>
      <c r="M102" s="26"/>
      <c r="N102" s="26"/>
      <c r="O102" s="26"/>
      <c r="P102" s="26"/>
    </row>
    <row r="103" spans="1:16" x14ac:dyDescent="0.25">
      <c r="A103" s="88"/>
      <c r="B103" s="53"/>
      <c r="C103" s="53"/>
      <c r="D103" s="88"/>
      <c r="E103" s="88"/>
      <c r="F103" s="89"/>
      <c r="G103" s="91"/>
      <c r="H103" s="53"/>
      <c r="I103" s="53"/>
      <c r="J103" s="53"/>
      <c r="K103" s="62"/>
      <c r="L103" s="74"/>
      <c r="M103" s="26"/>
      <c r="N103" s="26"/>
      <c r="O103" s="26"/>
      <c r="P103" s="26"/>
    </row>
    <row r="104" spans="1:16" ht="18.75" x14ac:dyDescent="0.3">
      <c r="A104" s="53"/>
      <c r="B104" s="53"/>
      <c r="C104" s="53"/>
      <c r="D104" s="53"/>
      <c r="E104" s="53"/>
      <c r="F104" s="62"/>
      <c r="G104" s="62"/>
      <c r="H104" s="53"/>
      <c r="I104" s="53"/>
      <c r="J104" s="53"/>
      <c r="K104" s="62"/>
      <c r="L104" s="76"/>
      <c r="M104" s="71"/>
      <c r="N104" s="71"/>
      <c r="O104" s="71"/>
      <c r="P104" s="71"/>
    </row>
    <row r="105" spans="1:16" ht="18.75" customHeight="1" x14ac:dyDescent="0.25">
      <c r="A105" s="88"/>
      <c r="B105" s="53"/>
      <c r="C105" s="53"/>
      <c r="D105" s="88"/>
      <c r="E105" s="88"/>
      <c r="F105" s="89"/>
      <c r="G105" s="89"/>
      <c r="H105" s="53"/>
      <c r="I105" s="53"/>
      <c r="J105" s="53"/>
      <c r="K105" s="62"/>
      <c r="L105" s="77"/>
      <c r="M105" s="72"/>
      <c r="N105" s="72"/>
      <c r="O105" s="72"/>
      <c r="P105" s="72"/>
    </row>
    <row r="106" spans="1:16" ht="18.75" customHeight="1" x14ac:dyDescent="0.25">
      <c r="A106" s="88"/>
      <c r="B106" s="53"/>
      <c r="C106" s="53"/>
      <c r="D106" s="88"/>
      <c r="E106" s="88"/>
      <c r="F106" s="89"/>
      <c r="G106" s="91"/>
      <c r="H106" s="53"/>
      <c r="I106" s="53"/>
      <c r="J106" s="53"/>
      <c r="K106" s="62"/>
      <c r="L106" s="77"/>
      <c r="M106" s="72"/>
      <c r="N106" s="72"/>
      <c r="O106" s="72"/>
      <c r="P106" s="72"/>
    </row>
    <row r="107" spans="1:16" ht="18.75" customHeight="1" x14ac:dyDescent="0.25">
      <c r="A107" s="88"/>
      <c r="B107" s="53"/>
      <c r="C107" s="53"/>
      <c r="D107" s="88"/>
      <c r="E107" s="88"/>
      <c r="F107" s="89"/>
      <c r="G107" s="89"/>
      <c r="H107" s="53"/>
      <c r="I107" s="53"/>
      <c r="J107" s="53"/>
      <c r="K107" s="62"/>
      <c r="L107" s="77"/>
      <c r="M107" s="72"/>
      <c r="N107" s="72"/>
      <c r="O107" s="72"/>
      <c r="P107" s="72"/>
    </row>
    <row r="108" spans="1:16" ht="15" customHeight="1" x14ac:dyDescent="0.25">
      <c r="A108" s="88"/>
      <c r="B108" s="53"/>
      <c r="C108" s="53"/>
      <c r="D108" s="88"/>
      <c r="E108" s="88"/>
      <c r="F108" s="89"/>
      <c r="G108" s="89"/>
      <c r="H108" s="53"/>
      <c r="I108" s="53"/>
      <c r="J108" s="53"/>
      <c r="K108" s="62"/>
      <c r="L108" s="77"/>
      <c r="M108" s="72"/>
      <c r="N108" s="72"/>
      <c r="O108" s="72"/>
      <c r="P108" s="72"/>
    </row>
    <row r="109" spans="1:16" ht="15" customHeight="1" x14ac:dyDescent="0.25">
      <c r="A109" s="88"/>
      <c r="B109" s="53"/>
      <c r="C109" s="53"/>
      <c r="D109" s="88"/>
      <c r="E109" s="88"/>
      <c r="F109" s="89"/>
      <c r="G109" s="89"/>
      <c r="H109" s="53"/>
      <c r="I109" s="53"/>
      <c r="J109" s="53"/>
      <c r="K109" s="62"/>
      <c r="L109" s="77"/>
      <c r="M109" s="72"/>
      <c r="N109" s="72"/>
      <c r="O109" s="72"/>
      <c r="P109" s="72"/>
    </row>
    <row r="110" spans="1:16" ht="18.75" customHeight="1" x14ac:dyDescent="0.25">
      <c r="A110" s="88"/>
      <c r="B110" s="53"/>
      <c r="C110" s="53"/>
      <c r="D110" s="88"/>
      <c r="E110" s="88"/>
      <c r="F110" s="89"/>
      <c r="G110" s="89"/>
      <c r="H110" s="53"/>
      <c r="I110" s="53"/>
      <c r="J110" s="53"/>
      <c r="K110" s="62"/>
      <c r="L110" s="77"/>
      <c r="M110" s="72"/>
      <c r="N110" s="72"/>
      <c r="O110" s="72"/>
      <c r="P110" s="72"/>
    </row>
    <row r="111" spans="1:16" ht="15" customHeight="1" x14ac:dyDescent="0.25">
      <c r="A111" s="88"/>
      <c r="B111" s="53"/>
      <c r="C111" s="53"/>
      <c r="D111" s="88"/>
      <c r="E111" s="88"/>
      <c r="F111" s="89"/>
      <c r="G111" s="89"/>
      <c r="H111" s="53"/>
      <c r="I111" s="53"/>
      <c r="J111" s="53"/>
      <c r="K111" s="62"/>
      <c r="L111" s="77"/>
      <c r="M111" s="72"/>
      <c r="N111" s="72"/>
      <c r="O111" s="72"/>
      <c r="P111" s="72"/>
    </row>
    <row r="112" spans="1:16" ht="15" customHeight="1" x14ac:dyDescent="0.25">
      <c r="A112" s="88"/>
      <c r="B112" s="53"/>
      <c r="C112" s="53"/>
      <c r="D112" s="88"/>
      <c r="E112" s="88"/>
      <c r="F112" s="89"/>
      <c r="G112" s="89"/>
      <c r="H112" s="53"/>
      <c r="I112" s="53"/>
      <c r="J112" s="53"/>
      <c r="K112" s="62"/>
      <c r="L112" s="77"/>
      <c r="M112" s="72"/>
      <c r="N112" s="72"/>
      <c r="O112" s="72"/>
      <c r="P112" s="72"/>
    </row>
    <row r="113" spans="1:16" x14ac:dyDescent="0.25">
      <c r="A113" s="53"/>
      <c r="B113" s="53"/>
      <c r="C113" s="53"/>
      <c r="D113" s="88"/>
      <c r="E113" s="88"/>
      <c r="F113" s="89"/>
      <c r="G113" s="89"/>
      <c r="H113" s="53"/>
      <c r="I113" s="53"/>
      <c r="J113" s="53"/>
      <c r="K113" s="62"/>
      <c r="L113" s="78"/>
      <c r="M113" s="73"/>
      <c r="N113" s="73"/>
      <c r="O113" s="73"/>
      <c r="P113" s="73"/>
    </row>
    <row r="114" spans="1:16" x14ac:dyDescent="0.25">
      <c r="A114" s="53"/>
      <c r="B114" s="53"/>
      <c r="C114" s="53"/>
      <c r="D114" s="88"/>
      <c r="E114" s="88"/>
      <c r="F114" s="89"/>
      <c r="G114" s="89"/>
      <c r="H114" s="53"/>
      <c r="I114" s="53"/>
      <c r="J114" s="53"/>
      <c r="K114" s="62"/>
      <c r="L114" s="74"/>
      <c r="M114" s="26"/>
      <c r="N114" s="26"/>
      <c r="O114" s="26"/>
      <c r="P114" s="26"/>
    </row>
    <row r="115" spans="1:16" x14ac:dyDescent="0.25">
      <c r="A115" s="53"/>
      <c r="B115" s="53"/>
      <c r="C115" s="53"/>
      <c r="D115" s="53"/>
      <c r="E115" s="53"/>
      <c r="F115" s="62"/>
      <c r="G115" s="62"/>
      <c r="H115" s="53"/>
      <c r="I115" s="53"/>
      <c r="J115" s="53"/>
      <c r="K115" s="62"/>
      <c r="L115" s="74"/>
      <c r="M115" s="26"/>
      <c r="N115" s="26"/>
      <c r="O115" s="26"/>
      <c r="P115" s="26"/>
    </row>
    <row r="116" spans="1:16" x14ac:dyDescent="0.25">
      <c r="A116" s="88"/>
      <c r="B116" s="53"/>
      <c r="C116" s="53"/>
      <c r="D116" s="88"/>
      <c r="E116" s="88"/>
      <c r="F116" s="89"/>
      <c r="G116" s="89"/>
      <c r="H116" s="53"/>
      <c r="I116" s="53"/>
      <c r="J116" s="53"/>
      <c r="K116" s="62"/>
      <c r="L116" s="74"/>
      <c r="M116" s="26"/>
      <c r="N116" s="26"/>
      <c r="O116" s="26"/>
      <c r="P116" s="26"/>
    </row>
    <row r="117" spans="1:16" x14ac:dyDescent="0.25">
      <c r="A117" s="88"/>
      <c r="B117" s="53"/>
      <c r="C117" s="53"/>
      <c r="D117" s="88"/>
      <c r="E117" s="88"/>
      <c r="F117" s="89"/>
      <c r="G117" s="89"/>
      <c r="H117" s="53"/>
      <c r="I117" s="53"/>
      <c r="J117" s="53"/>
      <c r="K117" s="62"/>
      <c r="L117" s="74"/>
      <c r="M117" s="26"/>
      <c r="N117" s="26"/>
      <c r="O117" s="26"/>
      <c r="P117" s="26"/>
    </row>
    <row r="118" spans="1:16" x14ac:dyDescent="0.25">
      <c r="A118" s="88"/>
      <c r="B118" s="53"/>
      <c r="C118" s="53"/>
      <c r="D118" s="88"/>
      <c r="E118" s="88"/>
      <c r="F118" s="89"/>
      <c r="G118" s="89"/>
      <c r="H118" s="53"/>
      <c r="I118" s="53"/>
      <c r="J118" s="53"/>
      <c r="K118" s="62"/>
      <c r="L118" s="74"/>
      <c r="M118" s="26"/>
      <c r="N118" s="26"/>
      <c r="O118" s="26"/>
      <c r="P118" s="26"/>
    </row>
    <row r="119" spans="1:16" x14ac:dyDescent="0.25">
      <c r="A119" s="88"/>
      <c r="B119" s="53"/>
      <c r="C119" s="53"/>
      <c r="D119" s="88"/>
      <c r="E119" s="88"/>
      <c r="F119" s="89"/>
      <c r="G119" s="89"/>
      <c r="H119" s="53"/>
      <c r="I119" s="53"/>
      <c r="J119" s="53"/>
      <c r="K119" s="62"/>
      <c r="L119" s="74"/>
      <c r="M119" s="26"/>
      <c r="N119" s="26"/>
      <c r="O119" s="26"/>
      <c r="P119" s="26"/>
    </row>
    <row r="120" spans="1:16" x14ac:dyDescent="0.25">
      <c r="A120" s="88"/>
      <c r="B120" s="53"/>
      <c r="C120" s="53"/>
      <c r="D120" s="88"/>
      <c r="E120" s="88"/>
      <c r="F120" s="89"/>
      <c r="G120" s="89"/>
      <c r="H120" s="53"/>
      <c r="I120" s="53"/>
      <c r="J120" s="53"/>
      <c r="K120" s="62"/>
      <c r="L120" s="74"/>
      <c r="M120" s="26"/>
      <c r="N120" s="26"/>
      <c r="O120" s="26"/>
      <c r="P120" s="26"/>
    </row>
    <row r="121" spans="1:16" x14ac:dyDescent="0.25">
      <c r="A121" s="88"/>
      <c r="B121" s="53"/>
      <c r="C121" s="53"/>
      <c r="D121" s="88"/>
      <c r="E121" s="88"/>
      <c r="F121" s="89"/>
      <c r="G121" s="89"/>
      <c r="H121" s="53"/>
      <c r="I121" s="53"/>
      <c r="J121" s="53"/>
      <c r="K121" s="62"/>
      <c r="L121" s="74"/>
      <c r="M121" s="26"/>
      <c r="N121" s="26"/>
      <c r="O121" s="26"/>
      <c r="P121" s="26"/>
    </row>
    <row r="122" spans="1:16" x14ac:dyDescent="0.25">
      <c r="A122" s="88"/>
      <c r="B122" s="53"/>
      <c r="C122" s="53"/>
      <c r="D122" s="88"/>
      <c r="E122" s="88"/>
      <c r="F122" s="89"/>
      <c r="G122" s="89"/>
      <c r="H122" s="53"/>
      <c r="I122" s="53"/>
      <c r="J122" s="53"/>
      <c r="K122" s="62"/>
      <c r="L122" s="74"/>
      <c r="M122" s="26"/>
      <c r="N122" s="26"/>
      <c r="O122" s="26"/>
      <c r="P122" s="26"/>
    </row>
    <row r="123" spans="1:16" x14ac:dyDescent="0.25">
      <c r="A123" s="88"/>
      <c r="B123" s="53"/>
      <c r="C123" s="53"/>
      <c r="D123" s="88"/>
      <c r="E123" s="88"/>
      <c r="F123" s="89"/>
      <c r="G123" s="89"/>
      <c r="H123" s="53"/>
      <c r="I123" s="53"/>
      <c r="J123" s="53"/>
      <c r="K123" s="62"/>
      <c r="L123" s="74"/>
      <c r="M123" s="26"/>
      <c r="N123" s="26"/>
      <c r="O123" s="26"/>
      <c r="P123" s="26"/>
    </row>
    <row r="124" spans="1:16" x14ac:dyDescent="0.25">
      <c r="A124" s="88"/>
      <c r="B124" s="53"/>
      <c r="C124" s="53"/>
      <c r="D124" s="88"/>
      <c r="E124" s="88"/>
      <c r="F124" s="89"/>
      <c r="G124" s="89"/>
      <c r="H124" s="53"/>
      <c r="I124" s="53"/>
      <c r="J124" s="53"/>
      <c r="K124" s="62"/>
      <c r="L124" s="74"/>
      <c r="M124" s="26"/>
      <c r="N124" s="26"/>
      <c r="O124" s="26"/>
      <c r="P124" s="26"/>
    </row>
    <row r="125" spans="1:16" x14ac:dyDescent="0.25">
      <c r="A125" s="88"/>
      <c r="B125" s="53"/>
      <c r="C125" s="53"/>
      <c r="D125" s="88"/>
      <c r="E125" s="88"/>
      <c r="F125" s="89"/>
      <c r="G125" s="89"/>
      <c r="H125" s="53"/>
      <c r="I125" s="53"/>
      <c r="J125" s="53"/>
      <c r="K125" s="62"/>
      <c r="L125" s="74"/>
      <c r="M125" s="26"/>
      <c r="N125" s="26"/>
      <c r="O125" s="26"/>
      <c r="P125" s="26"/>
    </row>
    <row r="126" spans="1:16" x14ac:dyDescent="0.25">
      <c r="A126" s="88"/>
      <c r="B126" s="53"/>
      <c r="C126" s="53"/>
      <c r="D126" s="88"/>
      <c r="E126" s="88"/>
      <c r="F126" s="89"/>
      <c r="G126" s="89"/>
      <c r="H126" s="53"/>
      <c r="I126" s="53"/>
      <c r="J126" s="53"/>
      <c r="K126" s="62"/>
      <c r="L126" s="74"/>
      <c r="M126" s="26"/>
      <c r="N126" s="26"/>
      <c r="O126" s="26"/>
      <c r="P126" s="26"/>
    </row>
    <row r="127" spans="1:16" x14ac:dyDescent="0.25">
      <c r="A127" s="88"/>
      <c r="B127" s="53"/>
      <c r="C127" s="53"/>
      <c r="D127" s="88"/>
      <c r="E127" s="88"/>
      <c r="F127" s="89"/>
      <c r="G127" s="89"/>
      <c r="H127" s="53"/>
      <c r="I127" s="53"/>
      <c r="J127" s="53"/>
      <c r="K127" s="62"/>
      <c r="L127" s="74"/>
      <c r="M127" s="26"/>
      <c r="N127" s="26"/>
      <c r="O127" s="26"/>
      <c r="P127" s="26"/>
    </row>
    <row r="128" spans="1:16" x14ac:dyDescent="0.25">
      <c r="A128" s="88"/>
      <c r="B128" s="53"/>
      <c r="C128" s="53"/>
      <c r="D128" s="88"/>
      <c r="E128" s="88"/>
      <c r="F128" s="89"/>
      <c r="G128" s="89"/>
      <c r="H128" s="53"/>
      <c r="I128" s="53"/>
      <c r="J128" s="53"/>
      <c r="K128" s="62"/>
      <c r="L128" s="74"/>
      <c r="M128" s="26"/>
      <c r="N128" s="26"/>
      <c r="O128" s="26"/>
      <c r="P128" s="26"/>
    </row>
    <row r="129" spans="1:16" x14ac:dyDescent="0.25">
      <c r="A129" s="88"/>
      <c r="B129" s="53"/>
      <c r="C129" s="53"/>
      <c r="D129" s="88"/>
      <c r="E129" s="88"/>
      <c r="F129" s="89"/>
      <c r="G129" s="89"/>
      <c r="H129" s="53"/>
      <c r="I129" s="53"/>
      <c r="J129" s="53"/>
      <c r="K129" s="62"/>
      <c r="L129" s="74"/>
      <c r="M129" s="26"/>
      <c r="N129" s="26"/>
      <c r="O129" s="26"/>
      <c r="P129" s="26"/>
    </row>
    <row r="130" spans="1:16" x14ac:dyDescent="0.25">
      <c r="A130" s="88"/>
      <c r="B130" s="53"/>
      <c r="C130" s="53"/>
      <c r="D130" s="88"/>
      <c r="E130" s="88"/>
      <c r="F130" s="89"/>
      <c r="G130" s="89"/>
      <c r="H130" s="53"/>
      <c r="I130" s="53"/>
      <c r="J130" s="53"/>
      <c r="K130" s="62"/>
      <c r="L130" s="74"/>
      <c r="M130" s="26"/>
      <c r="N130" s="26"/>
      <c r="O130" s="26"/>
      <c r="P130" s="26"/>
    </row>
    <row r="131" spans="1:16" x14ac:dyDescent="0.25">
      <c r="A131" s="88"/>
      <c r="B131" s="53"/>
      <c r="C131" s="53"/>
      <c r="D131" s="88"/>
      <c r="E131" s="88"/>
      <c r="F131" s="89"/>
      <c r="G131" s="89"/>
      <c r="H131" s="53"/>
      <c r="I131" s="53"/>
      <c r="J131" s="53"/>
      <c r="K131" s="62"/>
      <c r="L131" s="74"/>
      <c r="M131" s="26"/>
      <c r="N131" s="26"/>
      <c r="O131" s="26"/>
      <c r="P131" s="26"/>
    </row>
    <row r="132" spans="1:16" x14ac:dyDescent="0.25">
      <c r="A132" s="88"/>
      <c r="B132" s="53"/>
      <c r="C132" s="53"/>
      <c r="D132" s="88"/>
      <c r="E132" s="88"/>
      <c r="F132" s="89"/>
      <c r="G132" s="89"/>
      <c r="H132" s="53"/>
      <c r="I132" s="53"/>
      <c r="J132" s="53"/>
      <c r="K132" s="62"/>
      <c r="L132" s="74"/>
      <c r="M132" s="26"/>
      <c r="N132" s="26"/>
      <c r="O132" s="26"/>
      <c r="P132" s="26"/>
    </row>
    <row r="133" spans="1:16" x14ac:dyDescent="0.25">
      <c r="A133" s="88"/>
      <c r="B133" s="53"/>
      <c r="C133" s="53"/>
      <c r="D133" s="88"/>
      <c r="E133" s="88"/>
      <c r="F133" s="89"/>
      <c r="G133" s="89"/>
      <c r="H133" s="53"/>
      <c r="I133" s="53"/>
      <c r="J133" s="53"/>
      <c r="K133" s="62"/>
      <c r="L133" s="74"/>
      <c r="M133" s="26"/>
      <c r="N133" s="26"/>
      <c r="O133" s="26"/>
      <c r="P133" s="26"/>
    </row>
    <row r="134" spans="1:16" x14ac:dyDescent="0.25">
      <c r="A134" s="88"/>
      <c r="B134" s="53"/>
      <c r="C134" s="53"/>
      <c r="D134" s="88"/>
      <c r="E134" s="88"/>
      <c r="F134" s="89"/>
      <c r="G134" s="89"/>
      <c r="H134" s="53"/>
      <c r="I134" s="53"/>
      <c r="J134" s="53"/>
      <c r="K134" s="62"/>
      <c r="L134" s="74"/>
      <c r="M134" s="26"/>
      <c r="N134" s="26"/>
      <c r="O134" s="26"/>
      <c r="P134" s="26"/>
    </row>
    <row r="135" spans="1:16" x14ac:dyDescent="0.25">
      <c r="A135" s="88"/>
      <c r="B135" s="53"/>
      <c r="C135" s="53"/>
      <c r="D135" s="88"/>
      <c r="E135" s="88"/>
      <c r="F135" s="89"/>
      <c r="G135" s="89"/>
      <c r="H135" s="53"/>
      <c r="I135" s="53"/>
      <c r="J135" s="53"/>
      <c r="K135" s="62"/>
      <c r="L135" s="74"/>
      <c r="M135" s="26"/>
      <c r="N135" s="26"/>
      <c r="O135" s="26"/>
      <c r="P135" s="26"/>
    </row>
    <row r="136" spans="1:16" x14ac:dyDescent="0.25">
      <c r="A136" s="88"/>
      <c r="B136" s="53"/>
      <c r="C136" s="53"/>
      <c r="D136" s="88"/>
      <c r="E136" s="88"/>
      <c r="F136" s="89"/>
      <c r="G136" s="89"/>
      <c r="H136" s="53"/>
      <c r="I136" s="53"/>
      <c r="J136" s="53"/>
      <c r="K136" s="62"/>
      <c r="L136" s="74"/>
      <c r="M136" s="26"/>
      <c r="N136" s="26"/>
      <c r="O136" s="26"/>
      <c r="P136" s="26"/>
    </row>
    <row r="137" spans="1:16" x14ac:dyDescent="0.25">
      <c r="A137" s="88"/>
      <c r="B137" s="53"/>
      <c r="C137" s="53"/>
      <c r="D137" s="88"/>
      <c r="E137" s="88"/>
      <c r="F137" s="89"/>
      <c r="G137" s="89"/>
      <c r="H137" s="53"/>
      <c r="I137" s="53"/>
      <c r="J137" s="53"/>
      <c r="K137" s="62"/>
      <c r="L137" s="74"/>
      <c r="M137" s="26"/>
      <c r="N137" s="26"/>
      <c r="O137" s="26"/>
      <c r="P137" s="26"/>
    </row>
    <row r="138" spans="1:16" x14ac:dyDescent="0.25">
      <c r="A138" s="88"/>
      <c r="B138" s="53"/>
      <c r="C138" s="53"/>
      <c r="D138" s="88"/>
      <c r="E138" s="88"/>
      <c r="F138" s="89"/>
      <c r="G138" s="89"/>
      <c r="H138" s="53"/>
      <c r="I138" s="53"/>
      <c r="J138" s="53"/>
      <c r="K138" s="62"/>
      <c r="L138" s="74"/>
      <c r="M138" s="26"/>
      <c r="N138" s="26"/>
      <c r="O138" s="26"/>
      <c r="P138" s="26"/>
    </row>
    <row r="139" spans="1:16" x14ac:dyDescent="0.25">
      <c r="A139" s="88"/>
      <c r="B139" s="53"/>
      <c r="C139" s="53"/>
      <c r="D139" s="88"/>
      <c r="E139" s="88"/>
      <c r="F139" s="89"/>
      <c r="G139" s="89"/>
      <c r="H139" s="53"/>
      <c r="I139" s="53"/>
      <c r="J139" s="53"/>
      <c r="K139" s="62"/>
      <c r="L139" s="74"/>
      <c r="M139" s="26"/>
      <c r="N139" s="26"/>
      <c r="O139" s="26"/>
      <c r="P139" s="26"/>
    </row>
    <row r="140" spans="1:16" x14ac:dyDescent="0.25">
      <c r="A140" s="88"/>
      <c r="B140" s="53"/>
      <c r="C140" s="53"/>
      <c r="D140" s="88"/>
      <c r="E140" s="88"/>
      <c r="F140" s="89"/>
      <c r="G140" s="89"/>
      <c r="H140" s="53"/>
      <c r="I140" s="53"/>
      <c r="J140" s="53"/>
      <c r="K140" s="62"/>
      <c r="L140" s="74"/>
      <c r="M140" s="26"/>
      <c r="N140" s="26"/>
      <c r="O140" s="26"/>
      <c r="P140" s="26"/>
    </row>
    <row r="141" spans="1:16" x14ac:dyDescent="0.25">
      <c r="A141" s="88"/>
      <c r="B141" s="53"/>
      <c r="C141" s="53"/>
      <c r="D141" s="88"/>
      <c r="E141" s="88"/>
      <c r="F141" s="89"/>
      <c r="G141" s="89"/>
      <c r="H141" s="53"/>
      <c r="I141" s="53"/>
      <c r="J141" s="53"/>
      <c r="K141" s="62"/>
      <c r="L141" s="74"/>
      <c r="M141" s="26"/>
      <c r="N141" s="26"/>
      <c r="O141" s="26"/>
      <c r="P141" s="26"/>
    </row>
    <row r="142" spans="1:16" x14ac:dyDescent="0.25">
      <c r="A142" s="88"/>
      <c r="B142" s="53"/>
      <c r="C142" s="53"/>
      <c r="D142" s="88"/>
      <c r="E142" s="88"/>
      <c r="F142" s="89"/>
      <c r="G142" s="89"/>
      <c r="H142" s="53"/>
      <c r="I142" s="53"/>
      <c r="J142" s="53"/>
      <c r="K142" s="62"/>
      <c r="L142" s="74"/>
      <c r="M142" s="26"/>
      <c r="N142" s="26"/>
      <c r="O142" s="26"/>
      <c r="P142" s="26"/>
    </row>
    <row r="143" spans="1:16" x14ac:dyDescent="0.25">
      <c r="A143" s="88"/>
      <c r="B143" s="53"/>
      <c r="C143" s="53"/>
      <c r="D143" s="88"/>
      <c r="E143" s="88"/>
      <c r="F143" s="89"/>
      <c r="G143" s="89"/>
      <c r="H143" s="53"/>
      <c r="I143" s="53"/>
      <c r="J143" s="53"/>
      <c r="K143" s="62"/>
      <c r="L143" s="74"/>
      <c r="M143" s="26"/>
      <c r="N143" s="26"/>
      <c r="O143" s="26"/>
      <c r="P143" s="26"/>
    </row>
    <row r="144" spans="1:16" x14ac:dyDescent="0.25">
      <c r="A144" s="88"/>
      <c r="B144" s="53"/>
      <c r="C144" s="53"/>
      <c r="D144" s="88"/>
      <c r="E144" s="88"/>
      <c r="F144" s="89"/>
      <c r="G144" s="89"/>
      <c r="H144" s="53"/>
      <c r="I144" s="53"/>
      <c r="J144" s="53"/>
      <c r="K144" s="62"/>
      <c r="L144" s="74"/>
      <c r="M144" s="26"/>
      <c r="N144" s="26"/>
      <c r="O144" s="26"/>
      <c r="P144" s="26"/>
    </row>
    <row r="145" spans="1:16" x14ac:dyDescent="0.25">
      <c r="A145" s="88"/>
      <c r="B145" s="53"/>
      <c r="C145" s="53"/>
      <c r="D145" s="88"/>
      <c r="E145" s="88"/>
      <c r="F145" s="89"/>
      <c r="G145" s="89"/>
      <c r="H145" s="53"/>
      <c r="I145" s="53"/>
      <c r="J145" s="53"/>
      <c r="K145" s="62"/>
      <c r="L145" s="74"/>
      <c r="M145" s="26"/>
      <c r="N145" s="26"/>
      <c r="O145" s="26"/>
      <c r="P145" s="26"/>
    </row>
    <row r="146" spans="1:16" x14ac:dyDescent="0.25">
      <c r="A146" s="53"/>
      <c r="B146" s="53"/>
      <c r="C146" s="53"/>
      <c r="D146" s="53"/>
      <c r="E146" s="53"/>
      <c r="F146" s="62"/>
      <c r="G146" s="62"/>
      <c r="H146" s="53"/>
      <c r="I146" s="53"/>
      <c r="J146" s="53"/>
      <c r="K146" s="62"/>
      <c r="L146" s="74"/>
      <c r="M146" s="26"/>
      <c r="N146" s="26"/>
      <c r="O146" s="26"/>
      <c r="P146" s="26"/>
    </row>
    <row r="147" spans="1:16" x14ac:dyDescent="0.25">
      <c r="A147" s="53"/>
      <c r="B147" s="53"/>
      <c r="C147" s="53"/>
      <c r="D147" s="53"/>
      <c r="E147" s="53"/>
      <c r="F147" s="62"/>
      <c r="G147" s="62"/>
      <c r="H147" s="53"/>
      <c r="I147" s="53"/>
      <c r="J147" s="53"/>
      <c r="K147" s="62"/>
      <c r="L147" s="74"/>
      <c r="M147" s="26"/>
      <c r="N147" s="26"/>
      <c r="O147" s="26"/>
      <c r="P147" s="26"/>
    </row>
    <row r="148" spans="1:16" x14ac:dyDescent="0.25">
      <c r="A148" s="53"/>
      <c r="B148" s="53"/>
      <c r="C148" s="53"/>
      <c r="D148" s="53"/>
      <c r="E148" s="53"/>
      <c r="F148" s="62"/>
      <c r="G148" s="62"/>
      <c r="H148" s="53"/>
      <c r="I148" s="53"/>
      <c r="J148" s="53"/>
      <c r="K148" s="62"/>
      <c r="L148" s="74"/>
      <c r="M148" s="26"/>
      <c r="N148" s="26"/>
      <c r="O148" s="26"/>
      <c r="P148" s="26"/>
    </row>
    <row r="149" spans="1:16" x14ac:dyDescent="0.25">
      <c r="A149" s="53"/>
      <c r="B149" s="53"/>
      <c r="C149" s="53"/>
      <c r="D149" s="53"/>
      <c r="E149" s="53"/>
      <c r="F149" s="62"/>
      <c r="G149" s="62"/>
      <c r="H149" s="53"/>
      <c r="I149" s="53"/>
      <c r="J149" s="53"/>
      <c r="K149" s="62"/>
      <c r="L149" s="74"/>
      <c r="M149" s="26"/>
      <c r="N149" s="26"/>
      <c r="O149" s="26"/>
      <c r="P149" s="26"/>
    </row>
    <row r="150" spans="1:16" x14ac:dyDescent="0.25">
      <c r="A150" s="53"/>
      <c r="B150" s="53"/>
      <c r="C150" s="53"/>
      <c r="D150" s="53"/>
      <c r="E150" s="53"/>
      <c r="F150" s="62"/>
      <c r="G150" s="62"/>
      <c r="H150" s="53"/>
      <c r="I150" s="53"/>
      <c r="J150" s="53"/>
      <c r="K150" s="62"/>
      <c r="L150" s="74"/>
      <c r="M150" s="26"/>
      <c r="N150" s="26"/>
      <c r="O150" s="26"/>
      <c r="P150" s="26"/>
    </row>
    <row r="151" spans="1:16" x14ac:dyDescent="0.25">
      <c r="A151" s="50"/>
      <c r="B151" s="50"/>
      <c r="C151" s="50"/>
      <c r="D151" s="53"/>
      <c r="E151" s="54">
        <f>SUM(E2:E150)</f>
        <v>7295</v>
      </c>
      <c r="F151" s="61">
        <f>SUM(F2:F150)</f>
        <v>1459375.54</v>
      </c>
      <c r="G151" s="61">
        <f>SUM(G2:G150)</f>
        <v>1443433.64</v>
      </c>
      <c r="H151" s="54">
        <f>SUM(H2:H150)</f>
        <v>6922</v>
      </c>
      <c r="I151" s="55"/>
      <c r="J151" s="55"/>
      <c r="K151" s="54">
        <f>SUM(K2:K150)</f>
        <v>1369039.3299999998</v>
      </c>
      <c r="L151" s="74"/>
      <c r="M151" s="26"/>
      <c r="N151" s="26"/>
      <c r="O151" s="26"/>
      <c r="P151" s="26"/>
    </row>
    <row r="154" spans="1:16" x14ac:dyDescent="0.25">
      <c r="H154" s="66">
        <f>E151-H151</f>
        <v>373</v>
      </c>
      <c r="I154" s="67"/>
      <c r="J154" s="67"/>
      <c r="K154" s="68">
        <f>G151-K151</f>
        <v>74394.310000000056</v>
      </c>
    </row>
    <row r="155" spans="1:16" x14ac:dyDescent="0.25">
      <c r="H155" s="58"/>
      <c r="I155" s="59"/>
      <c r="J155" s="59"/>
      <c r="K155" s="65"/>
    </row>
  </sheetData>
  <autoFilter ref="A1:K146"/>
  <mergeCells count="189">
    <mergeCell ref="A64:A65"/>
    <mergeCell ref="B64:B65"/>
    <mergeCell ref="C64:C65"/>
    <mergeCell ref="D64:D65"/>
    <mergeCell ref="E64:E65"/>
    <mergeCell ref="F64:F65"/>
    <mergeCell ref="G64:G65"/>
    <mergeCell ref="A62:A63"/>
    <mergeCell ref="B62:B63"/>
    <mergeCell ref="C62:C63"/>
    <mergeCell ref="D62:D63"/>
    <mergeCell ref="E62:E63"/>
    <mergeCell ref="F62:F63"/>
    <mergeCell ref="G62:G63"/>
    <mergeCell ref="D53:D54"/>
    <mergeCell ref="E53:E54"/>
    <mergeCell ref="F53:F54"/>
    <mergeCell ref="G53:G54"/>
    <mergeCell ref="D58:D60"/>
    <mergeCell ref="E58:E60"/>
    <mergeCell ref="F58:F60"/>
    <mergeCell ref="G58:G60"/>
    <mergeCell ref="A55:A57"/>
    <mergeCell ref="B55:B57"/>
    <mergeCell ref="C55:C57"/>
    <mergeCell ref="D55:D57"/>
    <mergeCell ref="E55:E57"/>
    <mergeCell ref="F55:F57"/>
    <mergeCell ref="G55:G57"/>
    <mergeCell ref="F11:F12"/>
    <mergeCell ref="C24:C25"/>
    <mergeCell ref="E24:E25"/>
    <mergeCell ref="F24:F25"/>
    <mergeCell ref="F28:F29"/>
    <mergeCell ref="B28:B29"/>
    <mergeCell ref="D28:D29"/>
    <mergeCell ref="E28:E29"/>
    <mergeCell ref="D45:D46"/>
    <mergeCell ref="E45:E46"/>
    <mergeCell ref="F45:F46"/>
    <mergeCell ref="D43:D44"/>
    <mergeCell ref="E43:E44"/>
    <mergeCell ref="F43:F44"/>
    <mergeCell ref="E30:E31"/>
    <mergeCell ref="F30:F31"/>
    <mergeCell ref="B24:B25"/>
    <mergeCell ref="D24:D25"/>
    <mergeCell ref="F39:F40"/>
    <mergeCell ref="F37:F38"/>
    <mergeCell ref="B43:B44"/>
    <mergeCell ref="C43:C44"/>
    <mergeCell ref="F20:F21"/>
    <mergeCell ref="G16:G17"/>
    <mergeCell ref="G20:G21"/>
    <mergeCell ref="G22:G23"/>
    <mergeCell ref="E18:E19"/>
    <mergeCell ref="F18:F19"/>
    <mergeCell ref="G18:G19"/>
    <mergeCell ref="C50:C51"/>
    <mergeCell ref="D50:D51"/>
    <mergeCell ref="F50:F51"/>
    <mergeCell ref="G50:G51"/>
    <mergeCell ref="G30:G31"/>
    <mergeCell ref="G37:G38"/>
    <mergeCell ref="G39:G40"/>
    <mergeCell ref="G45:G46"/>
    <mergeCell ref="G43:G44"/>
    <mergeCell ref="E50:E51"/>
    <mergeCell ref="C48:C49"/>
    <mergeCell ref="D48:D49"/>
    <mergeCell ref="E48:E49"/>
    <mergeCell ref="F48:F49"/>
    <mergeCell ref="G48:G49"/>
    <mergeCell ref="G2:G4"/>
    <mergeCell ref="G7:G8"/>
    <mergeCell ref="G5:G6"/>
    <mergeCell ref="F9:F10"/>
    <mergeCell ref="A7:A8"/>
    <mergeCell ref="B7:B8"/>
    <mergeCell ref="D7:D8"/>
    <mergeCell ref="E7:E8"/>
    <mergeCell ref="F7:F8"/>
    <mergeCell ref="C7:C8"/>
    <mergeCell ref="A2:A4"/>
    <mergeCell ref="B2:B4"/>
    <mergeCell ref="F2:F4"/>
    <mergeCell ref="A5:A6"/>
    <mergeCell ref="B5:B6"/>
    <mergeCell ref="D5:D6"/>
    <mergeCell ref="E5:E6"/>
    <mergeCell ref="F5:F6"/>
    <mergeCell ref="D2:D4"/>
    <mergeCell ref="C5:C6"/>
    <mergeCell ref="C2:C4"/>
    <mergeCell ref="C9:C10"/>
    <mergeCell ref="A9:A10"/>
    <mergeCell ref="E2:E4"/>
    <mergeCell ref="A22:A23"/>
    <mergeCell ref="B22:B23"/>
    <mergeCell ref="A16:A17"/>
    <mergeCell ref="A26:A27"/>
    <mergeCell ref="B9:B10"/>
    <mergeCell ref="D9:D10"/>
    <mergeCell ref="E9:E10"/>
    <mergeCell ref="G14:G15"/>
    <mergeCell ref="G9:G10"/>
    <mergeCell ref="G11:G12"/>
    <mergeCell ref="F14:F15"/>
    <mergeCell ref="D16:D17"/>
    <mergeCell ref="E16:E17"/>
    <mergeCell ref="F16:F17"/>
    <mergeCell ref="C16:C17"/>
    <mergeCell ref="B26:B27"/>
    <mergeCell ref="D26:D27"/>
    <mergeCell ref="E26:E27"/>
    <mergeCell ref="F26:F27"/>
    <mergeCell ref="C26:C27"/>
    <mergeCell ref="D22:D23"/>
    <mergeCell ref="E22:E23"/>
    <mergeCell ref="F22:F23"/>
    <mergeCell ref="C22:C23"/>
    <mergeCell ref="A11:A12"/>
    <mergeCell ref="A14:A15"/>
    <mergeCell ref="B14:B15"/>
    <mergeCell ref="D14:D15"/>
    <mergeCell ref="E14:E15"/>
    <mergeCell ref="B11:B12"/>
    <mergeCell ref="D11:D12"/>
    <mergeCell ref="A20:A21"/>
    <mergeCell ref="B20:B21"/>
    <mergeCell ref="D20:D21"/>
    <mergeCell ref="A18:A19"/>
    <mergeCell ref="B18:B19"/>
    <mergeCell ref="D18:D19"/>
    <mergeCell ref="C18:C19"/>
    <mergeCell ref="C20:C21"/>
    <mergeCell ref="C14:C15"/>
    <mergeCell ref="C11:C12"/>
    <mergeCell ref="E11:E12"/>
    <mergeCell ref="B16:B17"/>
    <mergeCell ref="E20:E21"/>
    <mergeCell ref="A24:A25"/>
    <mergeCell ref="F32:F34"/>
    <mergeCell ref="G32:G34"/>
    <mergeCell ref="A35:A36"/>
    <mergeCell ref="B35:B36"/>
    <mergeCell ref="C35:C36"/>
    <mergeCell ref="D35:D36"/>
    <mergeCell ref="E35:E36"/>
    <mergeCell ref="F35:F36"/>
    <mergeCell ref="G35:G36"/>
    <mergeCell ref="A32:A34"/>
    <mergeCell ref="B32:B34"/>
    <mergeCell ref="C32:C34"/>
    <mergeCell ref="D32:D34"/>
    <mergeCell ref="E32:E34"/>
    <mergeCell ref="C28:C29"/>
    <mergeCell ref="A28:A29"/>
    <mergeCell ref="A30:A31"/>
    <mergeCell ref="B30:B31"/>
    <mergeCell ref="C30:C31"/>
    <mergeCell ref="D30:D31"/>
    <mergeCell ref="G26:G27"/>
    <mergeCell ref="G28:G29"/>
    <mergeCell ref="G24:G25"/>
    <mergeCell ref="A37:A38"/>
    <mergeCell ref="B37:B38"/>
    <mergeCell ref="C37:C38"/>
    <mergeCell ref="D37:D38"/>
    <mergeCell ref="E37:E38"/>
    <mergeCell ref="A39:A40"/>
    <mergeCell ref="B39:B40"/>
    <mergeCell ref="C39:C40"/>
    <mergeCell ref="D39:D40"/>
    <mergeCell ref="E39:E40"/>
    <mergeCell ref="A45:A46"/>
    <mergeCell ref="B45:B46"/>
    <mergeCell ref="C45:C46"/>
    <mergeCell ref="A43:A44"/>
    <mergeCell ref="A53:A54"/>
    <mergeCell ref="B53:B54"/>
    <mergeCell ref="A58:A60"/>
    <mergeCell ref="B58:B60"/>
    <mergeCell ref="C58:C60"/>
    <mergeCell ref="C53:C54"/>
    <mergeCell ref="A48:A49"/>
    <mergeCell ref="B48:B49"/>
    <mergeCell ref="A50:A51"/>
    <mergeCell ref="B50:B51"/>
  </mergeCells>
  <pageMargins left="0.22" right="0.7" top="0.25" bottom="0.75" header="0.3" footer="0.3"/>
  <pageSetup paperSize="9"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0"/>
  <sheetViews>
    <sheetView topLeftCell="A526" zoomScale="90" zoomScaleNormal="90" workbookViewId="0">
      <selection activeCell="A530" sqref="A530:L530"/>
    </sheetView>
  </sheetViews>
  <sheetFormatPr defaultRowHeight="15" x14ac:dyDescent="0.25"/>
  <cols>
    <col min="2" max="2" width="10.42578125" customWidth="1"/>
    <col min="3" max="3" width="14.28515625" customWidth="1"/>
    <col min="4" max="4" width="14.5703125" customWidth="1"/>
  </cols>
  <sheetData>
    <row r="1" spans="1:12" ht="18.75" x14ac:dyDescent="0.3">
      <c r="A1" s="190" t="s">
        <v>11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</row>
    <row r="2" spans="1:12" ht="18.75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8.75" x14ac:dyDescent="0.3">
      <c r="A3" s="191" t="s">
        <v>32</v>
      </c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</row>
    <row r="4" spans="1:12" ht="18.75" x14ac:dyDescent="0.3">
      <c r="A4" s="191" t="s">
        <v>31</v>
      </c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</row>
    <row r="5" spans="1:12" ht="18.75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18.75" x14ac:dyDescent="0.3">
      <c r="A6" s="192" t="s">
        <v>42</v>
      </c>
      <c r="B6" s="193"/>
      <c r="C6" s="193"/>
      <c r="D6" s="193"/>
      <c r="E6" s="193"/>
      <c r="F6" s="193"/>
      <c r="G6" s="193"/>
      <c r="H6" s="193"/>
      <c r="I6" s="193"/>
      <c r="J6" s="193"/>
      <c r="K6" s="193"/>
      <c r="L6" s="194"/>
    </row>
    <row r="7" spans="1:12" ht="18.75" x14ac:dyDescent="0.25">
      <c r="A7" s="195" t="s">
        <v>12</v>
      </c>
      <c r="B7" s="197" t="s">
        <v>13</v>
      </c>
      <c r="C7" s="199" t="s">
        <v>14</v>
      </c>
      <c r="D7" s="199" t="s">
        <v>15</v>
      </c>
      <c r="E7" s="201" t="s">
        <v>16</v>
      </c>
      <c r="F7" s="202"/>
      <c r="G7" s="202"/>
      <c r="H7" s="202"/>
      <c r="I7" s="202"/>
      <c r="J7" s="203"/>
      <c r="K7" s="197" t="s">
        <v>17</v>
      </c>
      <c r="L7" s="197" t="s">
        <v>18</v>
      </c>
    </row>
    <row r="8" spans="1:12" ht="122.25" x14ac:dyDescent="0.25">
      <c r="A8" s="196"/>
      <c r="B8" s="198"/>
      <c r="C8" s="200"/>
      <c r="D8" s="200"/>
      <c r="E8" s="4" t="s">
        <v>19</v>
      </c>
      <c r="F8" s="4" t="s">
        <v>20</v>
      </c>
      <c r="G8" s="4" t="s">
        <v>21</v>
      </c>
      <c r="H8" s="4" t="s">
        <v>22</v>
      </c>
      <c r="I8" s="4" t="s">
        <v>23</v>
      </c>
      <c r="J8" s="4" t="s">
        <v>24</v>
      </c>
      <c r="K8" s="198"/>
      <c r="L8" s="198"/>
    </row>
    <row r="9" spans="1:12" ht="18.75" x14ac:dyDescent="0.25">
      <c r="A9" s="5">
        <v>211</v>
      </c>
      <c r="B9" s="5">
        <f>'201'!X56</f>
        <v>174</v>
      </c>
      <c r="C9" s="6">
        <f>'201'!AA56</f>
        <v>32712.199999999997</v>
      </c>
      <c r="D9" s="6">
        <f>'201'!AF56</f>
        <v>32346.799999999996</v>
      </c>
      <c r="E9" s="5">
        <v>4</v>
      </c>
      <c r="F9" s="5">
        <v>1</v>
      </c>
      <c r="G9" s="5" t="s">
        <v>41</v>
      </c>
      <c r="H9" s="6">
        <v>1.8</v>
      </c>
      <c r="I9" s="7">
        <v>36</v>
      </c>
      <c r="J9" s="6">
        <v>4.5</v>
      </c>
      <c r="K9" s="6">
        <v>2.5</v>
      </c>
      <c r="L9" s="6">
        <v>5</v>
      </c>
    </row>
    <row r="10" spans="1:12" ht="18.75" x14ac:dyDescent="0.25">
      <c r="A10" s="5">
        <v>211</v>
      </c>
      <c r="B10" s="5">
        <f>'201'!AI56</f>
        <v>34</v>
      </c>
      <c r="C10" s="6">
        <f>'201'!AL56</f>
        <v>6498.4</v>
      </c>
      <c r="D10" s="6">
        <f>'201'!AQ56</f>
        <v>6427</v>
      </c>
      <c r="E10" s="5">
        <v>4</v>
      </c>
      <c r="F10" s="5">
        <v>1</v>
      </c>
      <c r="G10" s="5" t="s">
        <v>53</v>
      </c>
      <c r="H10" s="6">
        <v>1.8</v>
      </c>
      <c r="I10" s="7">
        <v>36</v>
      </c>
      <c r="J10" s="6">
        <v>4.5</v>
      </c>
      <c r="K10" s="6">
        <v>3</v>
      </c>
      <c r="L10" s="6">
        <v>5</v>
      </c>
    </row>
    <row r="11" spans="1:12" ht="18.75" x14ac:dyDescent="0.25">
      <c r="A11" s="5">
        <v>211</v>
      </c>
      <c r="B11" s="5">
        <f>'201'!M56</f>
        <v>12</v>
      </c>
      <c r="C11" s="6">
        <f>'201'!P56</f>
        <v>2201.1</v>
      </c>
      <c r="D11" s="6">
        <f>'201'!U56</f>
        <v>2175.9</v>
      </c>
      <c r="E11" s="5">
        <v>4</v>
      </c>
      <c r="F11" s="5">
        <v>1</v>
      </c>
      <c r="G11" s="5" t="s">
        <v>49</v>
      </c>
      <c r="H11" s="6">
        <v>1.8</v>
      </c>
      <c r="I11" s="7">
        <v>36</v>
      </c>
      <c r="J11" s="6">
        <v>4.5</v>
      </c>
      <c r="K11" s="6">
        <v>4</v>
      </c>
      <c r="L11" s="6">
        <v>5</v>
      </c>
    </row>
    <row r="12" spans="1:12" ht="18.75" x14ac:dyDescent="0.25">
      <c r="A12" s="8" t="s">
        <v>25</v>
      </c>
      <c r="B12" s="8">
        <f>SUM(B9:B11)</f>
        <v>220</v>
      </c>
      <c r="C12" s="8">
        <f>SUM(C9:C11)</f>
        <v>41411.699999999997</v>
      </c>
      <c r="D12" s="8">
        <f>SUM(D9:D11)</f>
        <v>40949.699999999997</v>
      </c>
      <c r="E12" s="8"/>
      <c r="F12" s="5"/>
      <c r="G12" s="5"/>
      <c r="H12" s="6"/>
      <c r="I12" s="7"/>
      <c r="J12" s="6"/>
      <c r="K12" s="6"/>
      <c r="L12" s="6"/>
    </row>
    <row r="13" spans="1:12" ht="18.75" x14ac:dyDescent="0.25">
      <c r="A13" s="9"/>
      <c r="B13" s="9"/>
      <c r="C13" s="9"/>
      <c r="D13" s="9"/>
      <c r="E13" s="10"/>
      <c r="F13" s="10"/>
      <c r="G13" s="10"/>
      <c r="H13" s="10"/>
      <c r="I13" s="10"/>
      <c r="J13" s="10"/>
      <c r="K13" s="10"/>
      <c r="L13" s="10"/>
    </row>
    <row r="14" spans="1:12" ht="18.75" x14ac:dyDescent="0.3">
      <c r="A14" s="190" t="s">
        <v>26</v>
      </c>
      <c r="B14" s="190"/>
      <c r="C14" s="190"/>
      <c r="D14" s="190"/>
      <c r="E14" s="190"/>
      <c r="F14" s="190"/>
      <c r="G14" s="190"/>
      <c r="H14" s="11"/>
      <c r="I14" s="10"/>
      <c r="J14" s="11"/>
      <c r="K14" s="11"/>
      <c r="L14" s="11"/>
    </row>
    <row r="15" spans="1:12" ht="18.75" x14ac:dyDescent="0.3">
      <c r="A15" s="12" t="s">
        <v>27</v>
      </c>
      <c r="B15" s="190" t="s">
        <v>28</v>
      </c>
      <c r="C15" s="190"/>
      <c r="D15" s="190"/>
      <c r="E15" s="190"/>
      <c r="F15" s="190"/>
      <c r="G15" s="190" t="s">
        <v>29</v>
      </c>
      <c r="H15" s="190"/>
      <c r="I15" s="190" t="s">
        <v>30</v>
      </c>
      <c r="J15" s="190"/>
      <c r="K15" s="190"/>
      <c r="L15" s="190"/>
    </row>
    <row r="18" spans="1:12" ht="18.75" x14ac:dyDescent="0.3">
      <c r="A18" s="190" t="s">
        <v>11</v>
      </c>
      <c r="B18" s="190"/>
      <c r="C18" s="190"/>
      <c r="D18" s="190"/>
      <c r="E18" s="190"/>
      <c r="F18" s="190"/>
      <c r="G18" s="190"/>
      <c r="H18" s="190"/>
      <c r="I18" s="190"/>
      <c r="J18" s="190"/>
      <c r="K18" s="190"/>
      <c r="L18" s="190"/>
    </row>
    <row r="19" spans="1:12" ht="18.75" x14ac:dyDescent="0.3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</row>
    <row r="20" spans="1:12" ht="18.75" x14ac:dyDescent="0.3">
      <c r="A20" s="191" t="s">
        <v>32</v>
      </c>
      <c r="B20" s="191"/>
      <c r="C20" s="191"/>
      <c r="D20" s="191"/>
      <c r="E20" s="191"/>
      <c r="F20" s="191"/>
      <c r="G20" s="191"/>
      <c r="H20" s="191"/>
      <c r="I20" s="191"/>
      <c r="J20" s="191"/>
      <c r="K20" s="191"/>
      <c r="L20" s="191"/>
    </row>
    <row r="21" spans="1:12" ht="18.75" x14ac:dyDescent="0.3">
      <c r="A21" s="191" t="s">
        <v>31</v>
      </c>
      <c r="B21" s="191"/>
      <c r="C21" s="191"/>
      <c r="D21" s="191"/>
      <c r="E21" s="191"/>
      <c r="F21" s="191"/>
      <c r="G21" s="191"/>
      <c r="H21" s="191"/>
      <c r="I21" s="191"/>
      <c r="J21" s="191"/>
      <c r="K21" s="191"/>
      <c r="L21" s="191"/>
    </row>
    <row r="22" spans="1:12" ht="18.75" x14ac:dyDescent="0.3">
      <c r="A22" s="82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</row>
    <row r="23" spans="1:12" ht="18.75" x14ac:dyDescent="0.3">
      <c r="A23" s="192" t="s">
        <v>51</v>
      </c>
      <c r="B23" s="193"/>
      <c r="C23" s="193"/>
      <c r="D23" s="193"/>
      <c r="E23" s="193"/>
      <c r="F23" s="193"/>
      <c r="G23" s="193"/>
      <c r="H23" s="193"/>
      <c r="I23" s="193"/>
      <c r="J23" s="193"/>
      <c r="K23" s="193"/>
      <c r="L23" s="194"/>
    </row>
    <row r="24" spans="1:12" ht="18.75" x14ac:dyDescent="0.25">
      <c r="A24" s="195" t="s">
        <v>12</v>
      </c>
      <c r="B24" s="197" t="s">
        <v>13</v>
      </c>
      <c r="C24" s="199" t="s">
        <v>14</v>
      </c>
      <c r="D24" s="199" t="s">
        <v>15</v>
      </c>
      <c r="E24" s="201" t="s">
        <v>16</v>
      </c>
      <c r="F24" s="202"/>
      <c r="G24" s="202"/>
      <c r="H24" s="202"/>
      <c r="I24" s="202"/>
      <c r="J24" s="203"/>
      <c r="K24" s="197" t="s">
        <v>17</v>
      </c>
      <c r="L24" s="197" t="s">
        <v>18</v>
      </c>
    </row>
    <row r="25" spans="1:12" ht="122.25" x14ac:dyDescent="0.25">
      <c r="A25" s="196"/>
      <c r="B25" s="198"/>
      <c r="C25" s="200"/>
      <c r="D25" s="200"/>
      <c r="E25" s="4" t="s">
        <v>19</v>
      </c>
      <c r="F25" s="4" t="s">
        <v>20</v>
      </c>
      <c r="G25" s="4" t="s">
        <v>21</v>
      </c>
      <c r="H25" s="4" t="s">
        <v>22</v>
      </c>
      <c r="I25" s="4" t="s">
        <v>23</v>
      </c>
      <c r="J25" s="4" t="s">
        <v>24</v>
      </c>
      <c r="K25" s="198"/>
      <c r="L25" s="198"/>
    </row>
    <row r="26" spans="1:12" ht="18.75" x14ac:dyDescent="0.25">
      <c r="A26" s="5">
        <v>211</v>
      </c>
      <c r="B26" s="5">
        <f>'202'!X56+'202'!AI56</f>
        <v>183</v>
      </c>
      <c r="C26" s="6">
        <f>'202'!AA56+'202'!AL56</f>
        <v>35741</v>
      </c>
      <c r="D26" s="6">
        <f>'202'!AF56+'202'!AQ56</f>
        <v>35351.000000000007</v>
      </c>
      <c r="E26" s="5">
        <v>4</v>
      </c>
      <c r="F26" s="5">
        <v>1</v>
      </c>
      <c r="G26" s="5" t="s">
        <v>52</v>
      </c>
      <c r="H26" s="6">
        <v>1.8</v>
      </c>
      <c r="I26" s="7">
        <v>37</v>
      </c>
      <c r="J26" s="6">
        <v>4.5</v>
      </c>
      <c r="K26" s="6">
        <v>3</v>
      </c>
      <c r="L26" s="6">
        <v>5</v>
      </c>
    </row>
    <row r="27" spans="1:12" ht="18.75" x14ac:dyDescent="0.25">
      <c r="A27" s="5">
        <v>211</v>
      </c>
      <c r="B27" s="5">
        <f>'202'!AT56</f>
        <v>37</v>
      </c>
      <c r="C27" s="6">
        <f>'202'!AW56</f>
        <v>7544.2</v>
      </c>
      <c r="D27" s="6">
        <f>'202'!BB56</f>
        <v>7462.8</v>
      </c>
      <c r="E27" s="5">
        <v>4</v>
      </c>
      <c r="F27" s="5">
        <v>1</v>
      </c>
      <c r="G27" s="5" t="s">
        <v>49</v>
      </c>
      <c r="H27" s="6">
        <v>1.8</v>
      </c>
      <c r="I27" s="7">
        <v>37</v>
      </c>
      <c r="J27" s="6">
        <v>4.5</v>
      </c>
      <c r="K27" s="6">
        <v>4</v>
      </c>
      <c r="L27" s="6">
        <v>5</v>
      </c>
    </row>
    <row r="28" spans="1:12" ht="18.75" x14ac:dyDescent="0.25">
      <c r="A28" s="8" t="s">
        <v>25</v>
      </c>
      <c r="B28" s="8">
        <f>SUM(B26:B27)</f>
        <v>220</v>
      </c>
      <c r="C28" s="118">
        <f>SUM(C26:C27)</f>
        <v>43285.2</v>
      </c>
      <c r="D28" s="118">
        <f>SUM(D26:D27)</f>
        <v>42813.80000000001</v>
      </c>
      <c r="E28" s="8"/>
      <c r="F28" s="5"/>
      <c r="G28" s="5"/>
      <c r="H28" s="6"/>
      <c r="I28" s="7"/>
      <c r="J28" s="6"/>
      <c r="K28" s="6"/>
      <c r="L28" s="6"/>
    </row>
    <row r="29" spans="1:12" ht="18.75" x14ac:dyDescent="0.25">
      <c r="A29" s="9"/>
      <c r="B29" s="9"/>
      <c r="C29" s="9"/>
      <c r="D29" s="9"/>
      <c r="E29" s="10"/>
      <c r="F29" s="10"/>
      <c r="G29" s="10"/>
      <c r="H29" s="10"/>
      <c r="I29" s="10"/>
      <c r="J29" s="10"/>
      <c r="K29" s="10"/>
      <c r="L29" s="10"/>
    </row>
    <row r="30" spans="1:12" ht="18.75" x14ac:dyDescent="0.3">
      <c r="A30" s="190" t="s">
        <v>26</v>
      </c>
      <c r="B30" s="190"/>
      <c r="C30" s="190"/>
      <c r="D30" s="190"/>
      <c r="E30" s="190"/>
      <c r="F30" s="190"/>
      <c r="G30" s="190"/>
      <c r="H30" s="11"/>
      <c r="I30" s="10"/>
      <c r="J30" s="11"/>
      <c r="K30" s="11"/>
      <c r="L30" s="11"/>
    </row>
    <row r="31" spans="1:12" ht="18.75" x14ac:dyDescent="0.3">
      <c r="A31" s="12" t="s">
        <v>27</v>
      </c>
      <c r="B31" s="190" t="s">
        <v>28</v>
      </c>
      <c r="C31" s="190"/>
      <c r="D31" s="190"/>
      <c r="E31" s="190"/>
      <c r="F31" s="190"/>
      <c r="G31" s="190" t="s">
        <v>29</v>
      </c>
      <c r="H31" s="190"/>
      <c r="I31" s="190" t="s">
        <v>30</v>
      </c>
      <c r="J31" s="190"/>
      <c r="K31" s="190"/>
      <c r="L31" s="190"/>
    </row>
    <row r="34" spans="1:12" ht="18.75" x14ac:dyDescent="0.3">
      <c r="A34" s="190" t="s">
        <v>11</v>
      </c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</row>
    <row r="35" spans="1:12" ht="18.75" x14ac:dyDescent="0.3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</row>
    <row r="36" spans="1:12" ht="18.75" x14ac:dyDescent="0.3">
      <c r="A36" s="191" t="s">
        <v>32</v>
      </c>
      <c r="B36" s="191"/>
      <c r="C36" s="191"/>
      <c r="D36" s="191"/>
      <c r="E36" s="191"/>
      <c r="F36" s="191"/>
      <c r="G36" s="191"/>
      <c r="H36" s="191"/>
      <c r="I36" s="191"/>
      <c r="J36" s="191"/>
      <c r="K36" s="191"/>
      <c r="L36" s="191"/>
    </row>
    <row r="37" spans="1:12" ht="18.75" x14ac:dyDescent="0.3">
      <c r="A37" s="191" t="s">
        <v>31</v>
      </c>
      <c r="B37" s="191"/>
      <c r="C37" s="191"/>
      <c r="D37" s="191"/>
      <c r="E37" s="191"/>
      <c r="F37" s="191"/>
      <c r="G37" s="191"/>
      <c r="H37" s="191"/>
      <c r="I37" s="191"/>
      <c r="J37" s="191"/>
      <c r="K37" s="191"/>
      <c r="L37" s="191"/>
    </row>
    <row r="38" spans="1:12" ht="18.75" x14ac:dyDescent="0.3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</row>
    <row r="39" spans="1:12" ht="18.75" x14ac:dyDescent="0.3">
      <c r="A39" s="192" t="s">
        <v>55</v>
      </c>
      <c r="B39" s="193"/>
      <c r="C39" s="193"/>
      <c r="D39" s="193"/>
      <c r="E39" s="193"/>
      <c r="F39" s="193"/>
      <c r="G39" s="193"/>
      <c r="H39" s="193"/>
      <c r="I39" s="193"/>
      <c r="J39" s="193"/>
      <c r="K39" s="193"/>
      <c r="L39" s="194"/>
    </row>
    <row r="40" spans="1:12" ht="18.75" x14ac:dyDescent="0.25">
      <c r="A40" s="195" t="s">
        <v>12</v>
      </c>
      <c r="B40" s="197" t="s">
        <v>13</v>
      </c>
      <c r="C40" s="199" t="s">
        <v>14</v>
      </c>
      <c r="D40" s="199" t="s">
        <v>15</v>
      </c>
      <c r="E40" s="201" t="s">
        <v>16</v>
      </c>
      <c r="F40" s="202"/>
      <c r="G40" s="202"/>
      <c r="H40" s="202"/>
      <c r="I40" s="202"/>
      <c r="J40" s="203"/>
      <c r="K40" s="197" t="s">
        <v>17</v>
      </c>
      <c r="L40" s="197" t="s">
        <v>18</v>
      </c>
    </row>
    <row r="41" spans="1:12" ht="122.25" x14ac:dyDescent="0.25">
      <c r="A41" s="196"/>
      <c r="B41" s="198"/>
      <c r="C41" s="200"/>
      <c r="D41" s="200"/>
      <c r="E41" s="4" t="s">
        <v>19</v>
      </c>
      <c r="F41" s="4" t="s">
        <v>20</v>
      </c>
      <c r="G41" s="4" t="s">
        <v>21</v>
      </c>
      <c r="H41" s="4" t="s">
        <v>22</v>
      </c>
      <c r="I41" s="4" t="s">
        <v>23</v>
      </c>
      <c r="J41" s="4" t="s">
        <v>24</v>
      </c>
      <c r="K41" s="198"/>
      <c r="L41" s="198"/>
    </row>
    <row r="42" spans="1:12" ht="18.75" x14ac:dyDescent="0.25">
      <c r="A42" s="5">
        <v>211</v>
      </c>
      <c r="B42" s="5">
        <f>'203'!M56</f>
        <v>158</v>
      </c>
      <c r="C42" s="6">
        <f>'203'!P56</f>
        <v>30662.1</v>
      </c>
      <c r="D42" s="6">
        <f>'203'!U56</f>
        <v>30330.3</v>
      </c>
      <c r="E42" s="5">
        <v>4</v>
      </c>
      <c r="F42" s="5">
        <v>1</v>
      </c>
      <c r="G42" s="5" t="s">
        <v>41</v>
      </c>
      <c r="H42" s="6">
        <v>1.8</v>
      </c>
      <c r="I42" s="7">
        <v>36</v>
      </c>
      <c r="J42" s="6">
        <v>4.5</v>
      </c>
      <c r="K42" s="6">
        <v>2.5</v>
      </c>
      <c r="L42" s="6">
        <v>5</v>
      </c>
    </row>
    <row r="43" spans="1:12" ht="18.75" x14ac:dyDescent="0.25">
      <c r="A43" s="5">
        <v>211</v>
      </c>
      <c r="B43" s="5">
        <f>'203'!X56</f>
        <v>62</v>
      </c>
      <c r="C43" s="6">
        <f>'203'!AA56</f>
        <v>12009.900000000003</v>
      </c>
      <c r="D43" s="6">
        <f>'203'!AF56</f>
        <v>11879.700000000003</v>
      </c>
      <c r="E43" s="5">
        <v>4</v>
      </c>
      <c r="F43" s="5">
        <v>1</v>
      </c>
      <c r="G43" s="5" t="s">
        <v>53</v>
      </c>
      <c r="H43" s="6">
        <v>1.8</v>
      </c>
      <c r="I43" s="7">
        <v>36</v>
      </c>
      <c r="J43" s="6">
        <v>4.5</v>
      </c>
      <c r="K43" s="6">
        <v>3</v>
      </c>
      <c r="L43" s="6">
        <v>5</v>
      </c>
    </row>
    <row r="44" spans="1:12" ht="18.75" x14ac:dyDescent="0.25">
      <c r="A44" s="8" t="s">
        <v>25</v>
      </c>
      <c r="B44" s="8">
        <f>SUM(B42:B43)</f>
        <v>220</v>
      </c>
      <c r="C44" s="8">
        <f>SUM(C42:C43)</f>
        <v>42672</v>
      </c>
      <c r="D44" s="8">
        <f>SUM(D42:D43)</f>
        <v>42210</v>
      </c>
      <c r="E44" s="8"/>
      <c r="F44" s="5"/>
      <c r="G44" s="5"/>
      <c r="H44" s="6"/>
      <c r="I44" s="7"/>
      <c r="J44" s="6"/>
      <c r="K44" s="6"/>
      <c r="L44" s="6"/>
    </row>
    <row r="45" spans="1:12" ht="18.75" x14ac:dyDescent="0.25">
      <c r="A45" s="9"/>
      <c r="B45" s="9"/>
      <c r="C45" s="9"/>
      <c r="D45" s="9"/>
      <c r="E45" s="10"/>
      <c r="F45" s="10"/>
      <c r="G45" s="10"/>
      <c r="H45" s="10"/>
      <c r="I45" s="10"/>
      <c r="J45" s="10"/>
      <c r="K45" s="10"/>
      <c r="L45" s="10"/>
    </row>
    <row r="46" spans="1:12" ht="18.75" x14ac:dyDescent="0.3">
      <c r="A46" s="190" t="s">
        <v>26</v>
      </c>
      <c r="B46" s="190"/>
      <c r="C46" s="190"/>
      <c r="D46" s="190"/>
      <c r="E46" s="190"/>
      <c r="F46" s="190"/>
      <c r="G46" s="190"/>
      <c r="H46" s="11"/>
      <c r="I46" s="10"/>
      <c r="J46" s="11"/>
      <c r="K46" s="11"/>
      <c r="L46" s="11"/>
    </row>
    <row r="47" spans="1:12" ht="18.75" x14ac:dyDescent="0.3">
      <c r="A47" s="12" t="s">
        <v>27</v>
      </c>
      <c r="B47" s="190" t="s">
        <v>28</v>
      </c>
      <c r="C47" s="190"/>
      <c r="D47" s="190"/>
      <c r="E47" s="190"/>
      <c r="F47" s="190"/>
      <c r="G47" s="190" t="s">
        <v>29</v>
      </c>
      <c r="H47" s="190"/>
      <c r="I47" s="190" t="s">
        <v>30</v>
      </c>
      <c r="J47" s="190"/>
      <c r="K47" s="190"/>
      <c r="L47" s="190"/>
    </row>
    <row r="50" spans="1:12" ht="18.75" x14ac:dyDescent="0.3">
      <c r="A50" s="190" t="s">
        <v>11</v>
      </c>
      <c r="B50" s="190"/>
      <c r="C50" s="190"/>
      <c r="D50" s="190"/>
      <c r="E50" s="190"/>
      <c r="F50" s="190"/>
      <c r="G50" s="190"/>
      <c r="H50" s="190"/>
      <c r="I50" s="190"/>
      <c r="J50" s="190"/>
      <c r="K50" s="190"/>
      <c r="L50" s="190"/>
    </row>
    <row r="51" spans="1:12" ht="18.75" x14ac:dyDescent="0.3">
      <c r="A51" s="93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</row>
    <row r="52" spans="1:12" ht="18.75" x14ac:dyDescent="0.3">
      <c r="A52" s="191" t="s">
        <v>32</v>
      </c>
      <c r="B52" s="191"/>
      <c r="C52" s="191"/>
      <c r="D52" s="191"/>
      <c r="E52" s="191"/>
      <c r="F52" s="191"/>
      <c r="G52" s="191"/>
      <c r="H52" s="191"/>
      <c r="I52" s="191"/>
      <c r="J52" s="191"/>
      <c r="K52" s="191"/>
      <c r="L52" s="191"/>
    </row>
    <row r="53" spans="1:12" ht="18.75" x14ac:dyDescent="0.3">
      <c r="A53" s="191" t="s">
        <v>31</v>
      </c>
      <c r="B53" s="191"/>
      <c r="C53" s="191"/>
      <c r="D53" s="191"/>
      <c r="E53" s="191"/>
      <c r="F53" s="191"/>
      <c r="G53" s="191"/>
      <c r="H53" s="191"/>
      <c r="I53" s="191"/>
      <c r="J53" s="191"/>
      <c r="K53" s="191"/>
      <c r="L53" s="191"/>
    </row>
    <row r="54" spans="1:12" ht="18.75" x14ac:dyDescent="0.3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</row>
    <row r="55" spans="1:12" ht="18.75" x14ac:dyDescent="0.3">
      <c r="A55" s="192" t="s">
        <v>56</v>
      </c>
      <c r="B55" s="193"/>
      <c r="C55" s="193"/>
      <c r="D55" s="193"/>
      <c r="E55" s="193"/>
      <c r="F55" s="193"/>
      <c r="G55" s="193"/>
      <c r="H55" s="193"/>
      <c r="I55" s="193"/>
      <c r="J55" s="193"/>
      <c r="K55" s="193"/>
      <c r="L55" s="194"/>
    </row>
    <row r="56" spans="1:12" ht="18.75" x14ac:dyDescent="0.25">
      <c r="A56" s="195" t="s">
        <v>12</v>
      </c>
      <c r="B56" s="197" t="s">
        <v>13</v>
      </c>
      <c r="C56" s="199" t="s">
        <v>14</v>
      </c>
      <c r="D56" s="199" t="s">
        <v>15</v>
      </c>
      <c r="E56" s="201" t="s">
        <v>16</v>
      </c>
      <c r="F56" s="202"/>
      <c r="G56" s="202"/>
      <c r="H56" s="202"/>
      <c r="I56" s="202"/>
      <c r="J56" s="203"/>
      <c r="K56" s="197" t="s">
        <v>17</v>
      </c>
      <c r="L56" s="197" t="s">
        <v>18</v>
      </c>
    </row>
    <row r="57" spans="1:12" ht="122.25" x14ac:dyDescent="0.25">
      <c r="A57" s="196"/>
      <c r="B57" s="198"/>
      <c r="C57" s="200"/>
      <c r="D57" s="200"/>
      <c r="E57" s="4" t="s">
        <v>19</v>
      </c>
      <c r="F57" s="4" t="s">
        <v>20</v>
      </c>
      <c r="G57" s="4" t="s">
        <v>21</v>
      </c>
      <c r="H57" s="4" t="s">
        <v>22</v>
      </c>
      <c r="I57" s="4" t="s">
        <v>23</v>
      </c>
      <c r="J57" s="4" t="s">
        <v>24</v>
      </c>
      <c r="K57" s="198"/>
      <c r="L57" s="198"/>
    </row>
    <row r="58" spans="1:12" ht="18.75" x14ac:dyDescent="0.25">
      <c r="A58" s="5">
        <v>211</v>
      </c>
      <c r="B58" s="5">
        <f>'204'!M56</f>
        <v>109</v>
      </c>
      <c r="C58" s="6">
        <f>'204'!P56</f>
        <v>20743.899999999998</v>
      </c>
      <c r="D58" s="6">
        <f>'204'!U56</f>
        <v>20514.999999999996</v>
      </c>
      <c r="E58" s="5">
        <v>4</v>
      </c>
      <c r="F58" s="5">
        <v>1</v>
      </c>
      <c r="G58" s="5" t="s">
        <v>41</v>
      </c>
      <c r="H58" s="6">
        <v>1.8</v>
      </c>
      <c r="I58" s="7">
        <v>36</v>
      </c>
      <c r="J58" s="6">
        <v>4.5</v>
      </c>
      <c r="K58" s="6">
        <v>2.5</v>
      </c>
      <c r="L58" s="6">
        <v>5</v>
      </c>
    </row>
    <row r="59" spans="1:12" ht="18.75" x14ac:dyDescent="0.25">
      <c r="A59" s="5">
        <v>211</v>
      </c>
      <c r="B59" s="5">
        <f>'204'!X56</f>
        <v>111</v>
      </c>
      <c r="C59" s="6">
        <f>'204'!AA56</f>
        <v>21432.699999999997</v>
      </c>
      <c r="D59" s="6">
        <f>'204'!AF56</f>
        <v>21199.599999999999</v>
      </c>
      <c r="E59" s="5">
        <v>4</v>
      </c>
      <c r="F59" s="5">
        <v>1</v>
      </c>
      <c r="G59" s="5" t="s">
        <v>53</v>
      </c>
      <c r="H59" s="6">
        <v>1.8</v>
      </c>
      <c r="I59" s="7">
        <v>36</v>
      </c>
      <c r="J59" s="6">
        <v>4.5</v>
      </c>
      <c r="K59" s="6">
        <v>3</v>
      </c>
      <c r="L59" s="6">
        <v>5</v>
      </c>
    </row>
    <row r="60" spans="1:12" ht="18.75" x14ac:dyDescent="0.25">
      <c r="A60" s="8" t="s">
        <v>25</v>
      </c>
      <c r="B60" s="8">
        <f>SUM(B58:B59)</f>
        <v>220</v>
      </c>
      <c r="C60" s="8">
        <f>SUM(C58:C59)</f>
        <v>42176.599999999991</v>
      </c>
      <c r="D60" s="8">
        <f>SUM(D58:D59)</f>
        <v>41714.599999999991</v>
      </c>
      <c r="E60" s="8"/>
      <c r="F60" s="5"/>
      <c r="G60" s="5"/>
      <c r="H60" s="6"/>
      <c r="I60" s="7"/>
      <c r="J60" s="6"/>
      <c r="K60" s="6"/>
      <c r="L60" s="6"/>
    </row>
    <row r="61" spans="1:12" ht="18.75" x14ac:dyDescent="0.25">
      <c r="A61" s="9"/>
      <c r="B61" s="9"/>
      <c r="C61" s="9"/>
      <c r="D61" s="9"/>
      <c r="E61" s="10"/>
      <c r="F61" s="10"/>
      <c r="G61" s="10"/>
      <c r="H61" s="10"/>
      <c r="I61" s="10"/>
      <c r="J61" s="10"/>
      <c r="K61" s="10"/>
      <c r="L61" s="10"/>
    </row>
    <row r="62" spans="1:12" ht="18.75" x14ac:dyDescent="0.3">
      <c r="A62" s="190" t="s">
        <v>26</v>
      </c>
      <c r="B62" s="190"/>
      <c r="C62" s="190"/>
      <c r="D62" s="190"/>
      <c r="E62" s="190"/>
      <c r="F62" s="190"/>
      <c r="G62" s="190"/>
      <c r="H62" s="11"/>
      <c r="I62" s="10"/>
      <c r="J62" s="11"/>
      <c r="K62" s="11"/>
      <c r="L62" s="11"/>
    </row>
    <row r="63" spans="1:12" ht="18.75" x14ac:dyDescent="0.3">
      <c r="A63" s="12" t="s">
        <v>27</v>
      </c>
      <c r="B63" s="190" t="s">
        <v>28</v>
      </c>
      <c r="C63" s="190"/>
      <c r="D63" s="190"/>
      <c r="E63" s="190"/>
      <c r="F63" s="190"/>
      <c r="G63" s="190" t="s">
        <v>29</v>
      </c>
      <c r="H63" s="190"/>
      <c r="I63" s="190" t="s">
        <v>30</v>
      </c>
      <c r="J63" s="190"/>
      <c r="K63" s="190"/>
      <c r="L63" s="190"/>
    </row>
    <row r="66" spans="1:12" ht="18.75" x14ac:dyDescent="0.3">
      <c r="A66" s="190" t="s">
        <v>11</v>
      </c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</row>
    <row r="67" spans="1:12" ht="18.75" x14ac:dyDescent="0.3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</row>
    <row r="68" spans="1:12" ht="18.75" x14ac:dyDescent="0.3">
      <c r="A68" s="191" t="s">
        <v>32</v>
      </c>
      <c r="B68" s="191"/>
      <c r="C68" s="191"/>
      <c r="D68" s="191"/>
      <c r="E68" s="191"/>
      <c r="F68" s="191"/>
      <c r="G68" s="191"/>
      <c r="H68" s="191"/>
      <c r="I68" s="191"/>
      <c r="J68" s="191"/>
      <c r="K68" s="191"/>
      <c r="L68" s="191"/>
    </row>
    <row r="69" spans="1:12" ht="18.75" x14ac:dyDescent="0.3">
      <c r="A69" s="191" t="s">
        <v>31</v>
      </c>
      <c r="B69" s="191"/>
      <c r="C69" s="191"/>
      <c r="D69" s="191"/>
      <c r="E69" s="191"/>
      <c r="F69" s="191"/>
      <c r="G69" s="191"/>
      <c r="H69" s="191"/>
      <c r="I69" s="191"/>
      <c r="J69" s="191"/>
      <c r="K69" s="191"/>
      <c r="L69" s="191"/>
    </row>
    <row r="70" spans="1:12" ht="18.75" x14ac:dyDescent="0.3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</row>
    <row r="71" spans="1:12" ht="18.75" x14ac:dyDescent="0.3">
      <c r="A71" s="192" t="s">
        <v>57</v>
      </c>
      <c r="B71" s="193"/>
      <c r="C71" s="193"/>
      <c r="D71" s="193"/>
      <c r="E71" s="193"/>
      <c r="F71" s="193"/>
      <c r="G71" s="193"/>
      <c r="H71" s="193"/>
      <c r="I71" s="193"/>
      <c r="J71" s="193"/>
      <c r="K71" s="193"/>
      <c r="L71" s="194"/>
    </row>
    <row r="72" spans="1:12" ht="18.75" x14ac:dyDescent="0.25">
      <c r="A72" s="195" t="s">
        <v>12</v>
      </c>
      <c r="B72" s="197" t="s">
        <v>13</v>
      </c>
      <c r="C72" s="199" t="s">
        <v>14</v>
      </c>
      <c r="D72" s="199" t="s">
        <v>15</v>
      </c>
      <c r="E72" s="201" t="s">
        <v>16</v>
      </c>
      <c r="F72" s="202"/>
      <c r="G72" s="202"/>
      <c r="H72" s="202"/>
      <c r="I72" s="202"/>
      <c r="J72" s="203"/>
      <c r="K72" s="197" t="s">
        <v>17</v>
      </c>
      <c r="L72" s="197" t="s">
        <v>18</v>
      </c>
    </row>
    <row r="73" spans="1:12" ht="122.25" x14ac:dyDescent="0.25">
      <c r="A73" s="196"/>
      <c r="B73" s="198"/>
      <c r="C73" s="200"/>
      <c r="D73" s="200"/>
      <c r="E73" s="4" t="s">
        <v>19</v>
      </c>
      <c r="F73" s="4" t="s">
        <v>20</v>
      </c>
      <c r="G73" s="4" t="s">
        <v>21</v>
      </c>
      <c r="H73" s="4" t="s">
        <v>22</v>
      </c>
      <c r="I73" s="4" t="s">
        <v>23</v>
      </c>
      <c r="J73" s="4" t="s">
        <v>24</v>
      </c>
      <c r="K73" s="198"/>
      <c r="L73" s="198"/>
    </row>
    <row r="74" spans="1:12" ht="18.75" x14ac:dyDescent="0.25">
      <c r="A74" s="5">
        <v>211</v>
      </c>
      <c r="B74" s="5">
        <f>'205'!M56</f>
        <v>111</v>
      </c>
      <c r="C74" s="6">
        <f>'205'!P56</f>
        <v>22068.399999999998</v>
      </c>
      <c r="D74" s="6">
        <f>'205'!U56</f>
        <v>21835.3</v>
      </c>
      <c r="E74" s="5">
        <v>4</v>
      </c>
      <c r="F74" s="5">
        <v>1</v>
      </c>
      <c r="G74" s="5" t="s">
        <v>53</v>
      </c>
      <c r="H74" s="6">
        <v>1.8</v>
      </c>
      <c r="I74" s="7">
        <v>37</v>
      </c>
      <c r="J74" s="6">
        <v>4.5</v>
      </c>
      <c r="K74" s="6">
        <v>2.5</v>
      </c>
      <c r="L74" s="6">
        <v>5</v>
      </c>
    </row>
    <row r="75" spans="1:12" ht="18.75" x14ac:dyDescent="0.25">
      <c r="A75" s="5">
        <v>211</v>
      </c>
      <c r="B75" s="5">
        <f>'205'!X56</f>
        <v>109</v>
      </c>
      <c r="C75" s="6">
        <f>'205'!AA56</f>
        <v>22432.300000000003</v>
      </c>
      <c r="D75" s="6">
        <f>'205'!AF56</f>
        <v>22203.4</v>
      </c>
      <c r="E75" s="5">
        <v>4</v>
      </c>
      <c r="F75" s="5">
        <v>1</v>
      </c>
      <c r="G75" s="5" t="s">
        <v>49</v>
      </c>
      <c r="H75" s="6">
        <v>1.8</v>
      </c>
      <c r="I75" s="7">
        <v>37</v>
      </c>
      <c r="J75" s="6">
        <v>4.5</v>
      </c>
      <c r="K75" s="6">
        <v>3</v>
      </c>
      <c r="L75" s="6">
        <v>5</v>
      </c>
    </row>
    <row r="76" spans="1:12" ht="18.75" x14ac:dyDescent="0.25">
      <c r="A76" s="8" t="s">
        <v>25</v>
      </c>
      <c r="B76" s="8">
        <f>SUM(B74:B75)</f>
        <v>220</v>
      </c>
      <c r="C76" s="8">
        <f>SUM(C74:C75)</f>
        <v>44500.7</v>
      </c>
      <c r="D76" s="8">
        <f>SUM(D74:D75)</f>
        <v>44038.7</v>
      </c>
      <c r="E76" s="8"/>
      <c r="F76" s="5"/>
      <c r="G76" s="5"/>
      <c r="H76" s="6"/>
      <c r="I76" s="7"/>
      <c r="J76" s="6"/>
      <c r="K76" s="6"/>
      <c r="L76" s="6"/>
    </row>
    <row r="77" spans="1:12" ht="18.75" x14ac:dyDescent="0.25">
      <c r="A77" s="9"/>
      <c r="B77" s="9"/>
      <c r="C77" s="9"/>
      <c r="D77" s="9"/>
      <c r="E77" s="10"/>
      <c r="F77" s="10"/>
      <c r="G77" s="10"/>
      <c r="H77" s="10"/>
      <c r="I77" s="10"/>
      <c r="J77" s="10"/>
      <c r="K77" s="10"/>
      <c r="L77" s="10"/>
    </row>
    <row r="78" spans="1:12" ht="18.75" x14ac:dyDescent="0.3">
      <c r="A78" s="190" t="s">
        <v>26</v>
      </c>
      <c r="B78" s="190"/>
      <c r="C78" s="190"/>
      <c r="D78" s="190"/>
      <c r="E78" s="190"/>
      <c r="F78" s="190"/>
      <c r="G78" s="190"/>
      <c r="H78" s="11"/>
      <c r="I78" s="10"/>
      <c r="J78" s="11"/>
      <c r="K78" s="11"/>
      <c r="L78" s="11"/>
    </row>
    <row r="79" spans="1:12" ht="18.75" x14ac:dyDescent="0.3">
      <c r="A79" s="12" t="s">
        <v>27</v>
      </c>
      <c r="B79" s="190" t="s">
        <v>28</v>
      </c>
      <c r="C79" s="190"/>
      <c r="D79" s="190"/>
      <c r="E79" s="190"/>
      <c r="F79" s="190"/>
      <c r="G79" s="190" t="s">
        <v>29</v>
      </c>
      <c r="H79" s="190"/>
      <c r="I79" s="190" t="s">
        <v>30</v>
      </c>
      <c r="J79" s="190"/>
      <c r="K79" s="190"/>
      <c r="L79" s="190"/>
    </row>
    <row r="82" spans="1:12" ht="18.75" x14ac:dyDescent="0.3">
      <c r="A82" s="190" t="s">
        <v>11</v>
      </c>
      <c r="B82" s="190"/>
      <c r="C82" s="190"/>
      <c r="D82" s="190"/>
      <c r="E82" s="190"/>
      <c r="F82" s="190"/>
      <c r="G82" s="190"/>
      <c r="H82" s="190"/>
      <c r="I82" s="190"/>
      <c r="J82" s="190"/>
      <c r="K82" s="190"/>
      <c r="L82" s="190"/>
    </row>
    <row r="83" spans="1:12" ht="18.75" x14ac:dyDescent="0.3">
      <c r="A83" s="98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</row>
    <row r="84" spans="1:12" ht="18.75" x14ac:dyDescent="0.3">
      <c r="A84" s="191" t="s">
        <v>32</v>
      </c>
      <c r="B84" s="191"/>
      <c r="C84" s="191"/>
      <c r="D84" s="191"/>
      <c r="E84" s="191"/>
      <c r="F84" s="191"/>
      <c r="G84" s="191"/>
      <c r="H84" s="191"/>
      <c r="I84" s="191"/>
      <c r="J84" s="191"/>
      <c r="K84" s="191"/>
      <c r="L84" s="191"/>
    </row>
    <row r="85" spans="1:12" ht="18.75" x14ac:dyDescent="0.3">
      <c r="A85" s="191" t="s">
        <v>31</v>
      </c>
      <c r="B85" s="191"/>
      <c r="C85" s="191"/>
      <c r="D85" s="191"/>
      <c r="E85" s="191"/>
      <c r="F85" s="191"/>
      <c r="G85" s="191"/>
      <c r="H85" s="191"/>
      <c r="I85" s="191"/>
      <c r="J85" s="191"/>
      <c r="K85" s="191"/>
      <c r="L85" s="191"/>
    </row>
    <row r="86" spans="1:12" ht="18.75" x14ac:dyDescent="0.3">
      <c r="A86" s="99"/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</row>
    <row r="87" spans="1:12" ht="18.75" x14ac:dyDescent="0.3">
      <c r="A87" s="192" t="s">
        <v>59</v>
      </c>
      <c r="B87" s="193"/>
      <c r="C87" s="193"/>
      <c r="D87" s="193"/>
      <c r="E87" s="193"/>
      <c r="F87" s="193"/>
      <c r="G87" s="193"/>
      <c r="H87" s="193"/>
      <c r="I87" s="193"/>
      <c r="J87" s="193"/>
      <c r="K87" s="193"/>
      <c r="L87" s="194"/>
    </row>
    <row r="88" spans="1:12" ht="18.75" x14ac:dyDescent="0.25">
      <c r="A88" s="195" t="s">
        <v>12</v>
      </c>
      <c r="B88" s="197" t="s">
        <v>13</v>
      </c>
      <c r="C88" s="199" t="s">
        <v>14</v>
      </c>
      <c r="D88" s="199" t="s">
        <v>15</v>
      </c>
      <c r="E88" s="201" t="s">
        <v>16</v>
      </c>
      <c r="F88" s="202"/>
      <c r="G88" s="202"/>
      <c r="H88" s="202"/>
      <c r="I88" s="202"/>
      <c r="J88" s="203"/>
      <c r="K88" s="197" t="s">
        <v>17</v>
      </c>
      <c r="L88" s="197" t="s">
        <v>18</v>
      </c>
    </row>
    <row r="89" spans="1:12" ht="122.25" x14ac:dyDescent="0.25">
      <c r="A89" s="196"/>
      <c r="B89" s="198"/>
      <c r="C89" s="200"/>
      <c r="D89" s="200"/>
      <c r="E89" s="4" t="s">
        <v>19</v>
      </c>
      <c r="F89" s="4" t="s">
        <v>20</v>
      </c>
      <c r="G89" s="4" t="s">
        <v>21</v>
      </c>
      <c r="H89" s="4" t="s">
        <v>22</v>
      </c>
      <c r="I89" s="4" t="s">
        <v>23</v>
      </c>
      <c r="J89" s="4" t="s">
        <v>24</v>
      </c>
      <c r="K89" s="198"/>
      <c r="L89" s="198"/>
    </row>
    <row r="90" spans="1:12" ht="18.75" x14ac:dyDescent="0.25">
      <c r="A90" s="5">
        <v>211</v>
      </c>
      <c r="B90" s="5">
        <f>'206'!M56</f>
        <v>64</v>
      </c>
      <c r="C90" s="6">
        <f>'206'!P56</f>
        <v>13549.600000000002</v>
      </c>
      <c r="D90" s="6">
        <f>'206'!U56</f>
        <v>13415.200000000003</v>
      </c>
      <c r="E90" s="5">
        <v>4</v>
      </c>
      <c r="F90" s="5">
        <v>1</v>
      </c>
      <c r="G90" s="5" t="s">
        <v>49</v>
      </c>
      <c r="H90" s="6">
        <v>1.8</v>
      </c>
      <c r="I90" s="7">
        <v>36</v>
      </c>
      <c r="J90" s="6">
        <v>4.5</v>
      </c>
      <c r="K90" s="6">
        <v>4</v>
      </c>
      <c r="L90" s="6">
        <v>5</v>
      </c>
    </row>
    <row r="91" spans="1:12" ht="18.75" x14ac:dyDescent="0.25">
      <c r="A91" s="8" t="s">
        <v>25</v>
      </c>
      <c r="B91" s="8">
        <f>SUM(B90:B90)</f>
        <v>64</v>
      </c>
      <c r="C91" s="8">
        <f>SUM(C90:C90)</f>
        <v>13549.600000000002</v>
      </c>
      <c r="D91" s="8">
        <f>SUM(D90:D90)</f>
        <v>13415.200000000003</v>
      </c>
      <c r="E91" s="8"/>
      <c r="F91" s="5"/>
      <c r="G91" s="5"/>
      <c r="H91" s="6"/>
      <c r="I91" s="7"/>
      <c r="J91" s="6"/>
      <c r="K91" s="6"/>
      <c r="L91" s="6"/>
    </row>
    <row r="92" spans="1:12" ht="18.75" x14ac:dyDescent="0.25">
      <c r="A92" s="9"/>
      <c r="B92" s="9"/>
      <c r="C92" s="9"/>
      <c r="D92" s="9"/>
      <c r="E92" s="10"/>
      <c r="F92" s="10"/>
      <c r="G92" s="10"/>
      <c r="H92" s="10"/>
      <c r="I92" s="10"/>
      <c r="J92" s="10"/>
      <c r="K92" s="10"/>
      <c r="L92" s="10"/>
    </row>
    <row r="93" spans="1:12" ht="18.75" x14ac:dyDescent="0.3">
      <c r="A93" s="190" t="s">
        <v>26</v>
      </c>
      <c r="B93" s="190"/>
      <c r="C93" s="190"/>
      <c r="D93" s="190"/>
      <c r="E93" s="190"/>
      <c r="F93" s="190"/>
      <c r="G93" s="190"/>
      <c r="H93" s="11"/>
      <c r="I93" s="10"/>
      <c r="J93" s="11"/>
      <c r="K93" s="11"/>
      <c r="L93" s="11"/>
    </row>
    <row r="94" spans="1:12" ht="18.75" x14ac:dyDescent="0.3">
      <c r="A94" s="12" t="s">
        <v>27</v>
      </c>
      <c r="B94" s="190" t="s">
        <v>28</v>
      </c>
      <c r="C94" s="190"/>
      <c r="D94" s="190"/>
      <c r="E94" s="190"/>
      <c r="F94" s="190"/>
      <c r="G94" s="190" t="s">
        <v>29</v>
      </c>
      <c r="H94" s="190"/>
      <c r="I94" s="190" t="s">
        <v>30</v>
      </c>
      <c r="J94" s="190"/>
      <c r="K94" s="190"/>
      <c r="L94" s="190"/>
    </row>
    <row r="97" spans="1:12" ht="18.75" x14ac:dyDescent="0.3">
      <c r="A97" s="190" t="s">
        <v>11</v>
      </c>
      <c r="B97" s="190"/>
      <c r="C97" s="190"/>
      <c r="D97" s="190"/>
      <c r="E97" s="190"/>
      <c r="F97" s="190"/>
      <c r="G97" s="190"/>
      <c r="H97" s="190"/>
      <c r="I97" s="190"/>
      <c r="J97" s="190"/>
      <c r="K97" s="190"/>
      <c r="L97" s="190"/>
    </row>
    <row r="98" spans="1:12" ht="18.75" x14ac:dyDescent="0.3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</row>
    <row r="99" spans="1:12" ht="18.75" x14ac:dyDescent="0.3">
      <c r="A99" s="191" t="s">
        <v>32</v>
      </c>
      <c r="B99" s="191"/>
      <c r="C99" s="191"/>
      <c r="D99" s="191"/>
      <c r="E99" s="191"/>
      <c r="F99" s="191"/>
      <c r="G99" s="191"/>
      <c r="H99" s="191"/>
      <c r="I99" s="191"/>
      <c r="J99" s="191"/>
      <c r="K99" s="191"/>
      <c r="L99" s="191"/>
    </row>
    <row r="100" spans="1:12" ht="18.75" x14ac:dyDescent="0.3">
      <c r="A100" s="191" t="s">
        <v>31</v>
      </c>
      <c r="B100" s="191"/>
      <c r="C100" s="191"/>
      <c r="D100" s="191"/>
      <c r="E100" s="191"/>
      <c r="F100" s="191"/>
      <c r="G100" s="191"/>
      <c r="H100" s="191"/>
      <c r="I100" s="191"/>
      <c r="J100" s="191"/>
      <c r="K100" s="191"/>
      <c r="L100" s="191"/>
    </row>
    <row r="101" spans="1:12" ht="18.75" x14ac:dyDescent="0.3">
      <c r="A101" s="101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</row>
    <row r="102" spans="1:12" ht="18.75" x14ac:dyDescent="0.3">
      <c r="A102" s="192" t="s">
        <v>62</v>
      </c>
      <c r="B102" s="193"/>
      <c r="C102" s="193"/>
      <c r="D102" s="193"/>
      <c r="E102" s="193"/>
      <c r="F102" s="193"/>
      <c r="G102" s="193"/>
      <c r="H102" s="193"/>
      <c r="I102" s="193"/>
      <c r="J102" s="193"/>
      <c r="K102" s="193"/>
      <c r="L102" s="194"/>
    </row>
    <row r="103" spans="1:12" ht="18.75" x14ac:dyDescent="0.25">
      <c r="A103" s="195" t="s">
        <v>12</v>
      </c>
      <c r="B103" s="197" t="s">
        <v>13</v>
      </c>
      <c r="C103" s="199" t="s">
        <v>14</v>
      </c>
      <c r="D103" s="199" t="s">
        <v>15</v>
      </c>
      <c r="E103" s="201" t="s">
        <v>16</v>
      </c>
      <c r="F103" s="202"/>
      <c r="G103" s="202"/>
      <c r="H103" s="202"/>
      <c r="I103" s="202"/>
      <c r="J103" s="203"/>
      <c r="K103" s="197" t="s">
        <v>17</v>
      </c>
      <c r="L103" s="197" t="s">
        <v>18</v>
      </c>
    </row>
    <row r="104" spans="1:12" ht="122.25" x14ac:dyDescent="0.25">
      <c r="A104" s="196"/>
      <c r="B104" s="198"/>
      <c r="C104" s="200"/>
      <c r="D104" s="200"/>
      <c r="E104" s="4" t="s">
        <v>19</v>
      </c>
      <c r="F104" s="4" t="s">
        <v>20</v>
      </c>
      <c r="G104" s="4" t="s">
        <v>21</v>
      </c>
      <c r="H104" s="4" t="s">
        <v>22</v>
      </c>
      <c r="I104" s="4" t="s">
        <v>23</v>
      </c>
      <c r="J104" s="4" t="s">
        <v>24</v>
      </c>
      <c r="K104" s="198"/>
      <c r="L104" s="198"/>
    </row>
    <row r="105" spans="1:12" ht="18.75" x14ac:dyDescent="0.25">
      <c r="A105" s="5">
        <v>211</v>
      </c>
      <c r="B105" s="5">
        <f>'207'!AT56</f>
        <v>73</v>
      </c>
      <c r="C105" s="6">
        <f>'207'!AW56</f>
        <v>14585.900000000001</v>
      </c>
      <c r="D105" s="6">
        <f>'207'!BB56</f>
        <v>14425.300000000001</v>
      </c>
      <c r="E105" s="5">
        <v>4</v>
      </c>
      <c r="F105" s="5">
        <v>1</v>
      </c>
      <c r="G105" s="5" t="s">
        <v>52</v>
      </c>
      <c r="H105" s="6">
        <v>1.8</v>
      </c>
      <c r="I105" s="7">
        <v>37</v>
      </c>
      <c r="J105" s="6">
        <v>4.5</v>
      </c>
      <c r="K105" s="6">
        <v>3</v>
      </c>
      <c r="L105" s="6">
        <v>5</v>
      </c>
    </row>
    <row r="106" spans="1:12" ht="18.75" x14ac:dyDescent="0.25">
      <c r="A106" s="5">
        <v>211</v>
      </c>
      <c r="B106" s="5">
        <f>'207'!X56+'207'!AI56</f>
        <v>147</v>
      </c>
      <c r="C106" s="6">
        <f>'207'!AA56+'207'!AL56</f>
        <v>29668.199999999997</v>
      </c>
      <c r="D106" s="6">
        <f>'207'!AF56+'207'!AQ56</f>
        <v>29344.899999999998</v>
      </c>
      <c r="E106" s="5">
        <v>4</v>
      </c>
      <c r="F106" s="5">
        <v>1</v>
      </c>
      <c r="G106" s="5" t="s">
        <v>49</v>
      </c>
      <c r="H106" s="6">
        <v>1.8</v>
      </c>
      <c r="I106" s="7">
        <v>37</v>
      </c>
      <c r="J106" s="6">
        <v>4.5</v>
      </c>
      <c r="K106" s="6">
        <v>4</v>
      </c>
      <c r="L106" s="6">
        <v>5</v>
      </c>
    </row>
    <row r="107" spans="1:12" ht="18.75" x14ac:dyDescent="0.25">
      <c r="A107" s="8" t="s">
        <v>25</v>
      </c>
      <c r="B107" s="8">
        <f>SUM(B105:B106)</f>
        <v>220</v>
      </c>
      <c r="C107" s="8">
        <f>SUM(C105:C106)</f>
        <v>44254.1</v>
      </c>
      <c r="D107" s="8">
        <f>SUM(D105:D106)</f>
        <v>43770.2</v>
      </c>
      <c r="E107" s="8"/>
      <c r="F107" s="5"/>
      <c r="G107" s="5"/>
      <c r="H107" s="6"/>
      <c r="I107" s="7"/>
      <c r="J107" s="6"/>
      <c r="K107" s="6"/>
      <c r="L107" s="6"/>
    </row>
    <row r="108" spans="1:12" ht="18.75" x14ac:dyDescent="0.25">
      <c r="A108" s="9"/>
      <c r="B108" s="9"/>
      <c r="C108" s="9"/>
      <c r="D108" s="9"/>
      <c r="E108" s="10"/>
      <c r="F108" s="10"/>
      <c r="G108" s="10"/>
      <c r="H108" s="10"/>
      <c r="I108" s="10"/>
      <c r="J108" s="10"/>
      <c r="K108" s="10"/>
      <c r="L108" s="10"/>
    </row>
    <row r="109" spans="1:12" ht="18.75" x14ac:dyDescent="0.3">
      <c r="A109" s="190" t="s">
        <v>26</v>
      </c>
      <c r="B109" s="190"/>
      <c r="C109" s="190"/>
      <c r="D109" s="190"/>
      <c r="E109" s="190"/>
      <c r="F109" s="190"/>
      <c r="G109" s="190"/>
      <c r="H109" s="11"/>
      <c r="I109" s="10"/>
      <c r="J109" s="11"/>
      <c r="K109" s="11"/>
      <c r="L109" s="11"/>
    </row>
    <row r="110" spans="1:12" ht="18.75" x14ac:dyDescent="0.3">
      <c r="A110" s="12" t="s">
        <v>27</v>
      </c>
      <c r="B110" s="190" t="s">
        <v>28</v>
      </c>
      <c r="C110" s="190"/>
      <c r="D110" s="190"/>
      <c r="E110" s="190"/>
      <c r="F110" s="190"/>
      <c r="G110" s="190" t="s">
        <v>29</v>
      </c>
      <c r="H110" s="190"/>
      <c r="I110" s="190" t="s">
        <v>30</v>
      </c>
      <c r="J110" s="190"/>
      <c r="K110" s="190"/>
      <c r="L110" s="190"/>
    </row>
    <row r="113" spans="1:12" ht="18.75" x14ac:dyDescent="0.3">
      <c r="A113" s="190" t="s">
        <v>11</v>
      </c>
      <c r="B113" s="190"/>
      <c r="C113" s="190"/>
      <c r="D113" s="190"/>
      <c r="E113" s="190"/>
      <c r="F113" s="190"/>
      <c r="G113" s="190"/>
      <c r="H113" s="190"/>
      <c r="I113" s="190"/>
      <c r="J113" s="190"/>
      <c r="K113" s="190"/>
      <c r="L113" s="190"/>
    </row>
    <row r="114" spans="1:12" ht="18.75" x14ac:dyDescent="0.3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</row>
    <row r="115" spans="1:12" ht="18.75" x14ac:dyDescent="0.3">
      <c r="A115" s="191" t="s">
        <v>32</v>
      </c>
      <c r="B115" s="191"/>
      <c r="C115" s="191"/>
      <c r="D115" s="191"/>
      <c r="E115" s="191"/>
      <c r="F115" s="191"/>
      <c r="G115" s="191"/>
      <c r="H115" s="191"/>
      <c r="I115" s="191"/>
      <c r="J115" s="191"/>
      <c r="K115" s="191"/>
      <c r="L115" s="191"/>
    </row>
    <row r="116" spans="1:12" ht="18.75" x14ac:dyDescent="0.3">
      <c r="A116" s="191" t="s">
        <v>31</v>
      </c>
      <c r="B116" s="191"/>
      <c r="C116" s="191"/>
      <c r="D116" s="191"/>
      <c r="E116" s="191"/>
      <c r="F116" s="191"/>
      <c r="G116" s="191"/>
      <c r="H116" s="191"/>
      <c r="I116" s="191"/>
      <c r="J116" s="191"/>
      <c r="K116" s="191"/>
      <c r="L116" s="191"/>
    </row>
    <row r="117" spans="1:12" ht="18.75" x14ac:dyDescent="0.3">
      <c r="A117" s="114"/>
      <c r="B117" s="114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</row>
    <row r="118" spans="1:12" ht="18.75" x14ac:dyDescent="0.3">
      <c r="A118" s="192" t="s">
        <v>65</v>
      </c>
      <c r="B118" s="193"/>
      <c r="C118" s="193"/>
      <c r="D118" s="193"/>
      <c r="E118" s="193"/>
      <c r="F118" s="193"/>
      <c r="G118" s="193"/>
      <c r="H118" s="193"/>
      <c r="I118" s="193"/>
      <c r="J118" s="193"/>
      <c r="K118" s="193"/>
      <c r="L118" s="194"/>
    </row>
    <row r="119" spans="1:12" ht="18.75" x14ac:dyDescent="0.25">
      <c r="A119" s="195" t="s">
        <v>12</v>
      </c>
      <c r="B119" s="197" t="s">
        <v>13</v>
      </c>
      <c r="C119" s="199" t="s">
        <v>14</v>
      </c>
      <c r="D119" s="199" t="s">
        <v>15</v>
      </c>
      <c r="E119" s="201" t="s">
        <v>16</v>
      </c>
      <c r="F119" s="202"/>
      <c r="G119" s="202"/>
      <c r="H119" s="202"/>
      <c r="I119" s="202"/>
      <c r="J119" s="203"/>
      <c r="K119" s="197" t="s">
        <v>17</v>
      </c>
      <c r="L119" s="197" t="s">
        <v>18</v>
      </c>
    </row>
    <row r="120" spans="1:12" ht="122.25" x14ac:dyDescent="0.25">
      <c r="A120" s="196"/>
      <c r="B120" s="198"/>
      <c r="C120" s="200"/>
      <c r="D120" s="200"/>
      <c r="E120" s="4" t="s">
        <v>19</v>
      </c>
      <c r="F120" s="4" t="s">
        <v>20</v>
      </c>
      <c r="G120" s="4" t="s">
        <v>21</v>
      </c>
      <c r="H120" s="4" t="s">
        <v>22</v>
      </c>
      <c r="I120" s="4" t="s">
        <v>23</v>
      </c>
      <c r="J120" s="4" t="s">
        <v>24</v>
      </c>
      <c r="K120" s="198"/>
      <c r="L120" s="198"/>
    </row>
    <row r="121" spans="1:12" ht="18.75" x14ac:dyDescent="0.25">
      <c r="A121" s="5">
        <v>211</v>
      </c>
      <c r="B121" s="5">
        <f>'208'!M56</f>
        <v>61</v>
      </c>
      <c r="C121" s="6">
        <f>'208'!P56</f>
        <v>11978.6</v>
      </c>
      <c r="D121" s="6">
        <f>'208'!U56</f>
        <v>11844.4</v>
      </c>
      <c r="E121" s="5">
        <v>4</v>
      </c>
      <c r="F121" s="5">
        <v>1</v>
      </c>
      <c r="G121" s="5" t="s">
        <v>63</v>
      </c>
      <c r="H121" s="6">
        <v>1.8</v>
      </c>
      <c r="I121" s="7">
        <v>36</v>
      </c>
      <c r="J121" s="6">
        <v>4.5</v>
      </c>
      <c r="K121" s="6">
        <v>5.5</v>
      </c>
      <c r="L121" s="6">
        <v>5</v>
      </c>
    </row>
    <row r="122" spans="1:12" ht="18.75" x14ac:dyDescent="0.25">
      <c r="A122" s="5">
        <v>211</v>
      </c>
      <c r="B122" s="5">
        <f>'208'!X56</f>
        <v>26</v>
      </c>
      <c r="C122" s="6">
        <f>'208'!AA56</f>
        <v>5092.7999999999993</v>
      </c>
      <c r="D122" s="6">
        <f>'208'!AF56</f>
        <v>5035.5999999999995</v>
      </c>
      <c r="E122" s="5">
        <v>4</v>
      </c>
      <c r="F122" s="5">
        <v>1</v>
      </c>
      <c r="G122" s="5" t="s">
        <v>70</v>
      </c>
      <c r="H122" s="6">
        <v>1.8</v>
      </c>
      <c r="I122" s="7">
        <v>36</v>
      </c>
      <c r="J122" s="6">
        <v>4.5</v>
      </c>
      <c r="K122" s="6">
        <v>3</v>
      </c>
      <c r="L122" s="6">
        <v>5</v>
      </c>
    </row>
    <row r="123" spans="1:12" ht="18.75" x14ac:dyDescent="0.25">
      <c r="A123" s="8" t="s">
        <v>25</v>
      </c>
      <c r="B123" s="8">
        <f>SUM(B121:B122)</f>
        <v>87</v>
      </c>
      <c r="C123" s="8">
        <f>SUM(C121:C122)</f>
        <v>17071.400000000001</v>
      </c>
      <c r="D123" s="8">
        <f>SUM(D121:D122)</f>
        <v>16880</v>
      </c>
      <c r="E123" s="8"/>
      <c r="F123" s="5"/>
      <c r="G123" s="5"/>
      <c r="H123" s="6"/>
      <c r="I123" s="7"/>
      <c r="J123" s="6"/>
      <c r="K123" s="6"/>
      <c r="L123" s="6"/>
    </row>
    <row r="124" spans="1:12" ht="18.75" x14ac:dyDescent="0.25">
      <c r="A124" s="9"/>
      <c r="B124" s="9"/>
      <c r="C124" s="9"/>
      <c r="D124" s="9"/>
      <c r="E124" s="10"/>
      <c r="F124" s="10"/>
      <c r="G124" s="10"/>
      <c r="H124" s="10"/>
      <c r="I124" s="10"/>
      <c r="J124" s="10"/>
      <c r="K124" s="10"/>
      <c r="L124" s="10"/>
    </row>
    <row r="125" spans="1:12" ht="18.75" x14ac:dyDescent="0.3">
      <c r="A125" s="190" t="s">
        <v>26</v>
      </c>
      <c r="B125" s="190"/>
      <c r="C125" s="190"/>
      <c r="D125" s="190"/>
      <c r="E125" s="190"/>
      <c r="F125" s="190"/>
      <c r="G125" s="190"/>
      <c r="H125" s="11"/>
      <c r="I125" s="10"/>
      <c r="J125" s="11"/>
      <c r="K125" s="11"/>
      <c r="L125" s="11"/>
    </row>
    <row r="126" spans="1:12" ht="18.75" x14ac:dyDescent="0.3">
      <c r="A126" s="12" t="s">
        <v>27</v>
      </c>
      <c r="B126" s="190" t="s">
        <v>28</v>
      </c>
      <c r="C126" s="190"/>
      <c r="D126" s="190"/>
      <c r="E126" s="190"/>
      <c r="F126" s="190"/>
      <c r="G126" s="190" t="s">
        <v>29</v>
      </c>
      <c r="H126" s="190"/>
      <c r="I126" s="190" t="s">
        <v>30</v>
      </c>
      <c r="J126" s="190"/>
      <c r="K126" s="190"/>
      <c r="L126" s="190"/>
    </row>
    <row r="130" spans="1:12" ht="18.75" x14ac:dyDescent="0.3">
      <c r="A130" s="190" t="s">
        <v>11</v>
      </c>
      <c r="B130" s="190"/>
      <c r="C130" s="190"/>
      <c r="D130" s="190"/>
      <c r="E130" s="190"/>
      <c r="F130" s="190"/>
      <c r="G130" s="190"/>
      <c r="H130" s="190"/>
      <c r="I130" s="190"/>
      <c r="J130" s="190"/>
      <c r="K130" s="190"/>
      <c r="L130" s="190"/>
    </row>
    <row r="131" spans="1:12" ht="18.75" x14ac:dyDescent="0.3">
      <c r="A131" s="120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</row>
    <row r="132" spans="1:12" ht="18.75" x14ac:dyDescent="0.3">
      <c r="A132" s="191" t="s">
        <v>32</v>
      </c>
      <c r="B132" s="191"/>
      <c r="C132" s="191"/>
      <c r="D132" s="191"/>
      <c r="E132" s="191"/>
      <c r="F132" s="191"/>
      <c r="G132" s="191"/>
      <c r="H132" s="191"/>
      <c r="I132" s="191"/>
      <c r="J132" s="191"/>
      <c r="K132" s="191"/>
      <c r="L132" s="191"/>
    </row>
    <row r="133" spans="1:12" ht="18.75" x14ac:dyDescent="0.3">
      <c r="A133" s="191" t="s">
        <v>31</v>
      </c>
      <c r="B133" s="191"/>
      <c r="C133" s="191"/>
      <c r="D133" s="191"/>
      <c r="E133" s="191"/>
      <c r="F133" s="191"/>
      <c r="G133" s="191"/>
      <c r="H133" s="191"/>
      <c r="I133" s="191"/>
      <c r="J133" s="191"/>
      <c r="K133" s="191"/>
      <c r="L133" s="191"/>
    </row>
    <row r="134" spans="1:12" ht="18.75" x14ac:dyDescent="0.3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</row>
    <row r="135" spans="1:12" ht="18.75" x14ac:dyDescent="0.3">
      <c r="A135" s="192" t="s">
        <v>66</v>
      </c>
      <c r="B135" s="193"/>
      <c r="C135" s="193"/>
      <c r="D135" s="193"/>
      <c r="E135" s="193"/>
      <c r="F135" s="193"/>
      <c r="G135" s="193"/>
      <c r="H135" s="193"/>
      <c r="I135" s="193"/>
      <c r="J135" s="193"/>
      <c r="K135" s="193"/>
      <c r="L135" s="194"/>
    </row>
    <row r="136" spans="1:12" ht="18.75" x14ac:dyDescent="0.25">
      <c r="A136" s="195" t="s">
        <v>12</v>
      </c>
      <c r="B136" s="197" t="s">
        <v>13</v>
      </c>
      <c r="C136" s="199" t="s">
        <v>14</v>
      </c>
      <c r="D136" s="199" t="s">
        <v>15</v>
      </c>
      <c r="E136" s="201" t="s">
        <v>16</v>
      </c>
      <c r="F136" s="202"/>
      <c r="G136" s="202"/>
      <c r="H136" s="202"/>
      <c r="I136" s="202"/>
      <c r="J136" s="203"/>
      <c r="K136" s="197" t="s">
        <v>17</v>
      </c>
      <c r="L136" s="197" t="s">
        <v>18</v>
      </c>
    </row>
    <row r="137" spans="1:12" ht="122.25" x14ac:dyDescent="0.25">
      <c r="A137" s="196"/>
      <c r="B137" s="198"/>
      <c r="C137" s="200"/>
      <c r="D137" s="200"/>
      <c r="E137" s="4" t="s">
        <v>19</v>
      </c>
      <c r="F137" s="4" t="s">
        <v>20</v>
      </c>
      <c r="G137" s="4" t="s">
        <v>21</v>
      </c>
      <c r="H137" s="4" t="s">
        <v>22</v>
      </c>
      <c r="I137" s="4" t="s">
        <v>23</v>
      </c>
      <c r="J137" s="4" t="s">
        <v>24</v>
      </c>
      <c r="K137" s="198"/>
      <c r="L137" s="198"/>
    </row>
    <row r="138" spans="1:12" ht="18.75" x14ac:dyDescent="0.25">
      <c r="A138" s="5">
        <v>211</v>
      </c>
      <c r="B138" s="5">
        <f>'209'!M56</f>
        <v>101</v>
      </c>
      <c r="C138" s="6">
        <f>'209'!P56</f>
        <v>20232.900000000001</v>
      </c>
      <c r="D138" s="6">
        <f>'209'!U56</f>
        <v>20010.7</v>
      </c>
      <c r="E138" s="5">
        <v>4</v>
      </c>
      <c r="F138" s="5">
        <v>1</v>
      </c>
      <c r="G138" s="5" t="s">
        <v>41</v>
      </c>
      <c r="H138" s="6">
        <v>1.8</v>
      </c>
      <c r="I138" s="7">
        <v>36</v>
      </c>
      <c r="J138" s="6">
        <v>4.5</v>
      </c>
      <c r="K138" s="6">
        <v>2.5</v>
      </c>
      <c r="L138" s="6">
        <v>5</v>
      </c>
    </row>
    <row r="139" spans="1:12" ht="18.75" x14ac:dyDescent="0.25">
      <c r="A139" s="5">
        <v>211</v>
      </c>
      <c r="B139" s="5">
        <f>'209'!X56</f>
        <v>119</v>
      </c>
      <c r="C139" s="6">
        <f>'209'!AA56</f>
        <v>23900.2</v>
      </c>
      <c r="D139" s="6">
        <f>'209'!AF56</f>
        <v>23638.400000000001</v>
      </c>
      <c r="E139" s="5">
        <v>4</v>
      </c>
      <c r="F139" s="5">
        <v>1</v>
      </c>
      <c r="G139" s="5" t="s">
        <v>53</v>
      </c>
      <c r="H139" s="6">
        <v>1.8</v>
      </c>
      <c r="I139" s="7">
        <v>36</v>
      </c>
      <c r="J139" s="6">
        <v>4.5</v>
      </c>
      <c r="K139" s="6">
        <v>3</v>
      </c>
      <c r="L139" s="6">
        <v>5</v>
      </c>
    </row>
    <row r="140" spans="1:12" ht="18.75" x14ac:dyDescent="0.25">
      <c r="A140" s="8" t="s">
        <v>25</v>
      </c>
      <c r="B140" s="8">
        <f>SUM(B138:B139)</f>
        <v>220</v>
      </c>
      <c r="C140" s="8">
        <f>SUM(C138:C139)</f>
        <v>44133.100000000006</v>
      </c>
      <c r="D140" s="8">
        <f>SUM(D138:D139)</f>
        <v>43649.100000000006</v>
      </c>
      <c r="E140" s="8"/>
      <c r="F140" s="5"/>
      <c r="G140" s="5"/>
      <c r="H140" s="6"/>
      <c r="I140" s="7"/>
      <c r="J140" s="6"/>
      <c r="K140" s="6"/>
      <c r="L140" s="6"/>
    </row>
    <row r="141" spans="1:12" ht="18.75" x14ac:dyDescent="0.25">
      <c r="A141" s="9"/>
      <c r="B141" s="9"/>
      <c r="C141" s="9"/>
      <c r="D141" s="9"/>
      <c r="E141" s="10"/>
      <c r="F141" s="10"/>
      <c r="G141" s="10"/>
      <c r="H141" s="10"/>
      <c r="I141" s="10"/>
      <c r="J141" s="10"/>
      <c r="K141" s="10"/>
      <c r="L141" s="10"/>
    </row>
    <row r="142" spans="1:12" ht="18.75" x14ac:dyDescent="0.3">
      <c r="A142" s="190" t="s">
        <v>26</v>
      </c>
      <c r="B142" s="190"/>
      <c r="C142" s="190"/>
      <c r="D142" s="190"/>
      <c r="E142" s="190"/>
      <c r="F142" s="190"/>
      <c r="G142" s="190"/>
      <c r="H142" s="11"/>
      <c r="I142" s="10"/>
      <c r="J142" s="11"/>
      <c r="K142" s="11"/>
      <c r="L142" s="11"/>
    </row>
    <row r="143" spans="1:12" ht="18.75" x14ac:dyDescent="0.3">
      <c r="A143" s="12" t="s">
        <v>27</v>
      </c>
      <c r="B143" s="190" t="s">
        <v>28</v>
      </c>
      <c r="C143" s="190"/>
      <c r="D143" s="190"/>
      <c r="E143" s="190"/>
      <c r="F143" s="190"/>
      <c r="G143" s="190" t="s">
        <v>29</v>
      </c>
      <c r="H143" s="190"/>
      <c r="I143" s="190" t="s">
        <v>30</v>
      </c>
      <c r="J143" s="190"/>
      <c r="K143" s="190"/>
      <c r="L143" s="190"/>
    </row>
    <row r="147" spans="1:12" ht="18.75" x14ac:dyDescent="0.3">
      <c r="A147" s="190" t="s">
        <v>11</v>
      </c>
      <c r="B147" s="190"/>
      <c r="C147" s="190"/>
      <c r="D147" s="190"/>
      <c r="E147" s="190"/>
      <c r="F147" s="190"/>
      <c r="G147" s="190"/>
      <c r="H147" s="190"/>
      <c r="I147" s="190"/>
      <c r="J147" s="190"/>
      <c r="K147" s="190"/>
      <c r="L147" s="190"/>
    </row>
    <row r="148" spans="1:12" ht="18.75" x14ac:dyDescent="0.3">
      <c r="A148" s="123"/>
      <c r="B148" s="123"/>
      <c r="C148" s="123"/>
      <c r="D148" s="123"/>
      <c r="E148" s="123"/>
      <c r="F148" s="123"/>
      <c r="G148" s="123"/>
      <c r="H148" s="123"/>
      <c r="I148" s="123"/>
      <c r="J148" s="123"/>
      <c r="K148" s="123"/>
      <c r="L148" s="123"/>
    </row>
    <row r="149" spans="1:12" ht="18.75" x14ac:dyDescent="0.3">
      <c r="A149" s="191" t="s">
        <v>32</v>
      </c>
      <c r="B149" s="191"/>
      <c r="C149" s="191"/>
      <c r="D149" s="191"/>
      <c r="E149" s="191"/>
      <c r="F149" s="191"/>
      <c r="G149" s="191"/>
      <c r="H149" s="191"/>
      <c r="I149" s="191"/>
      <c r="J149" s="191"/>
      <c r="K149" s="191"/>
      <c r="L149" s="191"/>
    </row>
    <row r="150" spans="1:12" ht="18.75" x14ac:dyDescent="0.3">
      <c r="A150" s="191" t="s">
        <v>31</v>
      </c>
      <c r="B150" s="191"/>
      <c r="C150" s="191"/>
      <c r="D150" s="191"/>
      <c r="E150" s="191"/>
      <c r="F150" s="191"/>
      <c r="G150" s="191"/>
      <c r="H150" s="191"/>
      <c r="I150" s="191"/>
      <c r="J150" s="191"/>
      <c r="K150" s="191"/>
      <c r="L150" s="191"/>
    </row>
    <row r="151" spans="1:12" ht="18.75" x14ac:dyDescent="0.3">
      <c r="A151" s="124"/>
      <c r="B151" s="124"/>
      <c r="C151" s="124"/>
      <c r="D151" s="124"/>
      <c r="E151" s="124"/>
      <c r="F151" s="124"/>
      <c r="G151" s="124"/>
      <c r="H151" s="124"/>
      <c r="I151" s="124"/>
      <c r="J151" s="124"/>
      <c r="K151" s="124"/>
      <c r="L151" s="124"/>
    </row>
    <row r="152" spans="1:12" ht="18.75" x14ac:dyDescent="0.3">
      <c r="A152" s="192" t="s">
        <v>67</v>
      </c>
      <c r="B152" s="193"/>
      <c r="C152" s="193"/>
      <c r="D152" s="193"/>
      <c r="E152" s="193"/>
      <c r="F152" s="193"/>
      <c r="G152" s="193"/>
      <c r="H152" s="193"/>
      <c r="I152" s="193"/>
      <c r="J152" s="193"/>
      <c r="K152" s="193"/>
      <c r="L152" s="194"/>
    </row>
    <row r="153" spans="1:12" ht="18.75" x14ac:dyDescent="0.25">
      <c r="A153" s="195" t="s">
        <v>12</v>
      </c>
      <c r="B153" s="197" t="s">
        <v>13</v>
      </c>
      <c r="C153" s="199" t="s">
        <v>14</v>
      </c>
      <c r="D153" s="199" t="s">
        <v>15</v>
      </c>
      <c r="E153" s="201" t="s">
        <v>16</v>
      </c>
      <c r="F153" s="202"/>
      <c r="G153" s="202"/>
      <c r="H153" s="202"/>
      <c r="I153" s="202"/>
      <c r="J153" s="203"/>
      <c r="K153" s="197" t="s">
        <v>17</v>
      </c>
      <c r="L153" s="197" t="s">
        <v>18</v>
      </c>
    </row>
    <row r="154" spans="1:12" ht="122.25" x14ac:dyDescent="0.25">
      <c r="A154" s="196"/>
      <c r="B154" s="198"/>
      <c r="C154" s="200"/>
      <c r="D154" s="200"/>
      <c r="E154" s="4" t="s">
        <v>19</v>
      </c>
      <c r="F154" s="4" t="s">
        <v>20</v>
      </c>
      <c r="G154" s="4" t="s">
        <v>21</v>
      </c>
      <c r="H154" s="4" t="s">
        <v>22</v>
      </c>
      <c r="I154" s="4" t="s">
        <v>23</v>
      </c>
      <c r="J154" s="4" t="s">
        <v>24</v>
      </c>
      <c r="K154" s="198"/>
      <c r="L154" s="198"/>
    </row>
    <row r="155" spans="1:12" ht="18.75" x14ac:dyDescent="0.25">
      <c r="A155" s="5">
        <v>211</v>
      </c>
      <c r="B155" s="5">
        <f>'210'!M56</f>
        <v>109</v>
      </c>
      <c r="C155" s="6">
        <f>'210'!P56</f>
        <v>21838.400000000005</v>
      </c>
      <c r="D155" s="6">
        <f>'210'!U56</f>
        <v>21598.600000000006</v>
      </c>
      <c r="E155" s="5">
        <v>4</v>
      </c>
      <c r="F155" s="5">
        <v>1</v>
      </c>
      <c r="G155" s="5" t="s">
        <v>41</v>
      </c>
      <c r="H155" s="6">
        <v>1.8</v>
      </c>
      <c r="I155" s="7">
        <v>36</v>
      </c>
      <c r="J155" s="6">
        <v>4.5</v>
      </c>
      <c r="K155" s="6">
        <v>2.5</v>
      </c>
      <c r="L155" s="6">
        <v>5</v>
      </c>
    </row>
    <row r="156" spans="1:12" ht="18.75" x14ac:dyDescent="0.25">
      <c r="A156" s="5">
        <v>211</v>
      </c>
      <c r="B156" s="5">
        <f>'210'!X56</f>
        <v>111</v>
      </c>
      <c r="C156" s="6">
        <f>'210'!AA56</f>
        <v>22380</v>
      </c>
      <c r="D156" s="6">
        <f>'210'!AF56</f>
        <v>22135.8</v>
      </c>
      <c r="E156" s="5">
        <v>4</v>
      </c>
      <c r="F156" s="5">
        <v>1</v>
      </c>
      <c r="G156" s="5" t="s">
        <v>53</v>
      </c>
      <c r="H156" s="6">
        <v>1.8</v>
      </c>
      <c r="I156" s="7">
        <v>36</v>
      </c>
      <c r="J156" s="6">
        <v>4.5</v>
      </c>
      <c r="K156" s="6">
        <v>3</v>
      </c>
      <c r="L156" s="6">
        <v>5</v>
      </c>
    </row>
    <row r="157" spans="1:12" ht="18.75" x14ac:dyDescent="0.25">
      <c r="A157" s="8" t="s">
        <v>25</v>
      </c>
      <c r="B157" s="8">
        <f>SUM(B155:B156)</f>
        <v>220</v>
      </c>
      <c r="C157" s="8">
        <f>SUM(C155:C156)</f>
        <v>44218.400000000009</v>
      </c>
      <c r="D157" s="8">
        <f>SUM(D155:D156)</f>
        <v>43734.400000000009</v>
      </c>
      <c r="E157" s="8"/>
      <c r="F157" s="5"/>
      <c r="G157" s="5"/>
      <c r="H157" s="6"/>
      <c r="I157" s="7"/>
      <c r="J157" s="6"/>
      <c r="K157" s="6"/>
      <c r="L157" s="6"/>
    </row>
    <row r="158" spans="1:12" ht="18.75" x14ac:dyDescent="0.25">
      <c r="A158" s="9"/>
      <c r="B158" s="9"/>
      <c r="C158" s="9"/>
      <c r="D158" s="9"/>
      <c r="E158" s="10"/>
      <c r="F158" s="10"/>
      <c r="G158" s="10"/>
      <c r="H158" s="10"/>
      <c r="I158" s="10"/>
      <c r="J158" s="10"/>
      <c r="K158" s="10"/>
      <c r="L158" s="10"/>
    </row>
    <row r="159" spans="1:12" ht="18.75" x14ac:dyDescent="0.3">
      <c r="A159" s="190" t="s">
        <v>26</v>
      </c>
      <c r="B159" s="190"/>
      <c r="C159" s="190"/>
      <c r="D159" s="190"/>
      <c r="E159" s="190"/>
      <c r="F159" s="190"/>
      <c r="G159" s="190"/>
      <c r="H159" s="11"/>
      <c r="I159" s="10"/>
      <c r="J159" s="11"/>
      <c r="K159" s="11"/>
      <c r="L159" s="11"/>
    </row>
    <row r="160" spans="1:12" ht="18.75" x14ac:dyDescent="0.3">
      <c r="A160" s="12" t="s">
        <v>27</v>
      </c>
      <c r="B160" s="190" t="s">
        <v>28</v>
      </c>
      <c r="C160" s="190"/>
      <c r="D160" s="190"/>
      <c r="E160" s="190"/>
      <c r="F160" s="190"/>
      <c r="G160" s="190" t="s">
        <v>29</v>
      </c>
      <c r="H160" s="190"/>
      <c r="I160" s="190" t="s">
        <v>30</v>
      </c>
      <c r="J160" s="190"/>
      <c r="K160" s="190"/>
      <c r="L160" s="190"/>
    </row>
    <row r="163" spans="1:12" ht="18.75" x14ac:dyDescent="0.3">
      <c r="A163" s="190" t="s">
        <v>11</v>
      </c>
      <c r="B163" s="190"/>
      <c r="C163" s="190"/>
      <c r="D163" s="190"/>
      <c r="E163" s="190"/>
      <c r="F163" s="190"/>
      <c r="G163" s="190"/>
      <c r="H163" s="190"/>
      <c r="I163" s="190"/>
      <c r="J163" s="190"/>
      <c r="K163" s="190"/>
      <c r="L163" s="190"/>
    </row>
    <row r="164" spans="1:12" ht="18.75" x14ac:dyDescent="0.3">
      <c r="A164" s="123"/>
      <c r="B164" s="123"/>
      <c r="C164" s="123"/>
      <c r="D164" s="123"/>
      <c r="E164" s="123"/>
      <c r="F164" s="123"/>
      <c r="G164" s="123"/>
      <c r="H164" s="123"/>
      <c r="I164" s="123"/>
      <c r="J164" s="123"/>
      <c r="K164" s="123"/>
      <c r="L164" s="123"/>
    </row>
    <row r="165" spans="1:12" ht="18.75" x14ac:dyDescent="0.3">
      <c r="A165" s="191" t="s">
        <v>32</v>
      </c>
      <c r="B165" s="191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</row>
    <row r="166" spans="1:12" ht="18.75" x14ac:dyDescent="0.3">
      <c r="A166" s="191" t="s">
        <v>31</v>
      </c>
      <c r="B166" s="191"/>
      <c r="C166" s="191"/>
      <c r="D166" s="191"/>
      <c r="E166" s="191"/>
      <c r="F166" s="191"/>
      <c r="G166" s="191"/>
      <c r="H166" s="191"/>
      <c r="I166" s="191"/>
      <c r="J166" s="191"/>
      <c r="K166" s="191"/>
      <c r="L166" s="191"/>
    </row>
    <row r="167" spans="1:12" ht="18.75" x14ac:dyDescent="0.3">
      <c r="A167" s="124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</row>
    <row r="168" spans="1:12" ht="18.75" x14ac:dyDescent="0.3">
      <c r="A168" s="192" t="s">
        <v>68</v>
      </c>
      <c r="B168" s="193"/>
      <c r="C168" s="193"/>
      <c r="D168" s="193"/>
      <c r="E168" s="193"/>
      <c r="F168" s="193"/>
      <c r="G168" s="193"/>
      <c r="H168" s="193"/>
      <c r="I168" s="193"/>
      <c r="J168" s="193"/>
      <c r="K168" s="193"/>
      <c r="L168" s="194"/>
    </row>
    <row r="169" spans="1:12" ht="18.75" x14ac:dyDescent="0.25">
      <c r="A169" s="195" t="s">
        <v>12</v>
      </c>
      <c r="B169" s="197" t="s">
        <v>13</v>
      </c>
      <c r="C169" s="199" t="s">
        <v>14</v>
      </c>
      <c r="D169" s="199" t="s">
        <v>15</v>
      </c>
      <c r="E169" s="201" t="s">
        <v>16</v>
      </c>
      <c r="F169" s="202"/>
      <c r="G169" s="202"/>
      <c r="H169" s="202"/>
      <c r="I169" s="202"/>
      <c r="J169" s="203"/>
      <c r="K169" s="197" t="s">
        <v>17</v>
      </c>
      <c r="L169" s="197" t="s">
        <v>18</v>
      </c>
    </row>
    <row r="170" spans="1:12" ht="122.25" x14ac:dyDescent="0.25">
      <c r="A170" s="196"/>
      <c r="B170" s="198"/>
      <c r="C170" s="200"/>
      <c r="D170" s="200"/>
      <c r="E170" s="4" t="s">
        <v>19</v>
      </c>
      <c r="F170" s="4" t="s">
        <v>20</v>
      </c>
      <c r="G170" s="4" t="s">
        <v>21</v>
      </c>
      <c r="H170" s="4" t="s">
        <v>22</v>
      </c>
      <c r="I170" s="4" t="s">
        <v>23</v>
      </c>
      <c r="J170" s="4" t="s">
        <v>24</v>
      </c>
      <c r="K170" s="198"/>
      <c r="L170" s="198"/>
    </row>
    <row r="171" spans="1:12" ht="18.75" x14ac:dyDescent="0.25">
      <c r="A171" s="5">
        <v>211</v>
      </c>
      <c r="B171" s="5">
        <f>'211'!M56</f>
        <v>170</v>
      </c>
      <c r="C171" s="6">
        <f>'211'!P56</f>
        <v>34267.200000000012</v>
      </c>
      <c r="D171" s="6">
        <f>'211'!U56</f>
        <v>33893.200000000012</v>
      </c>
      <c r="E171" s="5">
        <v>4</v>
      </c>
      <c r="F171" s="5">
        <v>1</v>
      </c>
      <c r="G171" s="5" t="s">
        <v>41</v>
      </c>
      <c r="H171" s="6">
        <v>1.8</v>
      </c>
      <c r="I171" s="7">
        <v>36</v>
      </c>
      <c r="J171" s="6">
        <v>4.5</v>
      </c>
      <c r="K171" s="6">
        <v>2.5</v>
      </c>
      <c r="L171" s="6">
        <v>5</v>
      </c>
    </row>
    <row r="172" spans="1:12" ht="18.75" x14ac:dyDescent="0.25">
      <c r="A172" s="5">
        <v>211</v>
      </c>
      <c r="B172" s="5">
        <f>'211'!X56</f>
        <v>50</v>
      </c>
      <c r="C172" s="6">
        <f>'211'!AA56</f>
        <v>10113.700000000001</v>
      </c>
      <c r="D172" s="6">
        <f>'211'!AF56</f>
        <v>10003.700000000001</v>
      </c>
      <c r="E172" s="5">
        <v>4</v>
      </c>
      <c r="F172" s="5">
        <v>1</v>
      </c>
      <c r="G172" s="5" t="s">
        <v>53</v>
      </c>
      <c r="H172" s="6">
        <v>1.8</v>
      </c>
      <c r="I172" s="7">
        <v>36</v>
      </c>
      <c r="J172" s="6">
        <v>4.5</v>
      </c>
      <c r="K172" s="6">
        <v>3</v>
      </c>
      <c r="L172" s="6">
        <v>5</v>
      </c>
    </row>
    <row r="173" spans="1:12" ht="18.75" x14ac:dyDescent="0.25">
      <c r="A173" s="8" t="s">
        <v>25</v>
      </c>
      <c r="B173" s="8">
        <f>SUM(B171:B172)</f>
        <v>220</v>
      </c>
      <c r="C173" s="8">
        <f>SUM(C171:C172)</f>
        <v>44380.900000000009</v>
      </c>
      <c r="D173" s="8">
        <f>SUM(D171:D172)</f>
        <v>43896.900000000009</v>
      </c>
      <c r="E173" s="8"/>
      <c r="F173" s="5"/>
      <c r="G173" s="5"/>
      <c r="H173" s="6"/>
      <c r="I173" s="7"/>
      <c r="J173" s="6"/>
      <c r="K173" s="6"/>
      <c r="L173" s="6"/>
    </row>
    <row r="174" spans="1:12" ht="18.75" x14ac:dyDescent="0.25">
      <c r="A174" s="9"/>
      <c r="B174" s="9"/>
      <c r="C174" s="9"/>
      <c r="D174" s="9"/>
      <c r="E174" s="10"/>
      <c r="F174" s="10"/>
      <c r="G174" s="10"/>
      <c r="H174" s="10"/>
      <c r="I174" s="10"/>
      <c r="J174" s="10"/>
      <c r="K174" s="10"/>
      <c r="L174" s="10"/>
    </row>
    <row r="175" spans="1:12" ht="18.75" x14ac:dyDescent="0.3">
      <c r="A175" s="190" t="s">
        <v>26</v>
      </c>
      <c r="B175" s="190"/>
      <c r="C175" s="190"/>
      <c r="D175" s="190"/>
      <c r="E175" s="190"/>
      <c r="F175" s="190"/>
      <c r="G175" s="190"/>
      <c r="H175" s="11"/>
      <c r="I175" s="10"/>
      <c r="J175" s="11"/>
      <c r="K175" s="11"/>
      <c r="L175" s="11"/>
    </row>
    <row r="176" spans="1:12" ht="18.75" x14ac:dyDescent="0.3">
      <c r="A176" s="12" t="s">
        <v>27</v>
      </c>
      <c r="B176" s="190" t="s">
        <v>28</v>
      </c>
      <c r="C176" s="190"/>
      <c r="D176" s="190"/>
      <c r="E176" s="190"/>
      <c r="F176" s="190"/>
      <c r="G176" s="190" t="s">
        <v>29</v>
      </c>
      <c r="H176" s="190"/>
      <c r="I176" s="190" t="s">
        <v>30</v>
      </c>
      <c r="J176" s="190"/>
      <c r="K176" s="190"/>
      <c r="L176" s="190"/>
    </row>
    <row r="181" spans="1:12" ht="18.75" x14ac:dyDescent="0.3">
      <c r="A181" s="190" t="s">
        <v>11</v>
      </c>
      <c r="B181" s="190"/>
      <c r="C181" s="190"/>
      <c r="D181" s="190"/>
      <c r="E181" s="190"/>
      <c r="F181" s="190"/>
      <c r="G181" s="190"/>
      <c r="H181" s="190"/>
      <c r="I181" s="190"/>
      <c r="J181" s="190"/>
      <c r="K181" s="190"/>
      <c r="L181" s="190"/>
    </row>
    <row r="182" spans="1:12" ht="18.75" x14ac:dyDescent="0.3">
      <c r="A182" s="123"/>
      <c r="B182" s="123"/>
      <c r="C182" s="123"/>
      <c r="D182" s="123"/>
      <c r="E182" s="123"/>
      <c r="F182" s="123"/>
      <c r="G182" s="123"/>
      <c r="H182" s="123"/>
      <c r="I182" s="123"/>
      <c r="J182" s="123"/>
      <c r="K182" s="123"/>
      <c r="L182" s="123"/>
    </row>
    <row r="183" spans="1:12" ht="18.75" x14ac:dyDescent="0.3">
      <c r="A183" s="191" t="s">
        <v>32</v>
      </c>
      <c r="B183" s="191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</row>
    <row r="184" spans="1:12" ht="18.75" x14ac:dyDescent="0.3">
      <c r="A184" s="191" t="s">
        <v>31</v>
      </c>
      <c r="B184" s="191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</row>
    <row r="185" spans="1:12" ht="18.75" x14ac:dyDescent="0.3">
      <c r="A185" s="124"/>
      <c r="B185" s="124"/>
      <c r="C185" s="124"/>
      <c r="D185" s="124"/>
      <c r="E185" s="124"/>
      <c r="F185" s="124"/>
      <c r="G185" s="124"/>
      <c r="H185" s="124"/>
      <c r="I185" s="124"/>
      <c r="J185" s="124"/>
      <c r="K185" s="124"/>
      <c r="L185" s="124"/>
    </row>
    <row r="186" spans="1:12" ht="18.75" x14ac:dyDescent="0.3">
      <c r="A186" s="192" t="s">
        <v>69</v>
      </c>
      <c r="B186" s="193"/>
      <c r="C186" s="193"/>
      <c r="D186" s="193"/>
      <c r="E186" s="193"/>
      <c r="F186" s="193"/>
      <c r="G186" s="193"/>
      <c r="H186" s="193"/>
      <c r="I186" s="193"/>
      <c r="J186" s="193"/>
      <c r="K186" s="193"/>
      <c r="L186" s="194"/>
    </row>
    <row r="187" spans="1:12" ht="18.75" x14ac:dyDescent="0.25">
      <c r="A187" s="195" t="s">
        <v>12</v>
      </c>
      <c r="B187" s="197" t="s">
        <v>13</v>
      </c>
      <c r="C187" s="199" t="s">
        <v>14</v>
      </c>
      <c r="D187" s="199" t="s">
        <v>15</v>
      </c>
      <c r="E187" s="201" t="s">
        <v>16</v>
      </c>
      <c r="F187" s="202"/>
      <c r="G187" s="202"/>
      <c r="H187" s="202"/>
      <c r="I187" s="202"/>
      <c r="J187" s="203"/>
      <c r="K187" s="197" t="s">
        <v>17</v>
      </c>
      <c r="L187" s="197" t="s">
        <v>18</v>
      </c>
    </row>
    <row r="188" spans="1:12" ht="122.25" x14ac:dyDescent="0.25">
      <c r="A188" s="196"/>
      <c r="B188" s="198"/>
      <c r="C188" s="200"/>
      <c r="D188" s="200"/>
      <c r="E188" s="4" t="s">
        <v>19</v>
      </c>
      <c r="F188" s="4" t="s">
        <v>20</v>
      </c>
      <c r="G188" s="4" t="s">
        <v>21</v>
      </c>
      <c r="H188" s="4" t="s">
        <v>22</v>
      </c>
      <c r="I188" s="4" t="s">
        <v>23</v>
      </c>
      <c r="J188" s="4" t="s">
        <v>24</v>
      </c>
      <c r="K188" s="198"/>
      <c r="L188" s="198"/>
    </row>
    <row r="189" spans="1:12" ht="18.75" x14ac:dyDescent="0.25">
      <c r="A189" s="5">
        <v>211</v>
      </c>
      <c r="B189" s="5">
        <f>'212'!M56</f>
        <v>89</v>
      </c>
      <c r="C189" s="6">
        <f>'212'!P56</f>
        <v>17751.599999999999</v>
      </c>
      <c r="D189" s="6">
        <f>'212'!U56</f>
        <v>17555.8</v>
      </c>
      <c r="E189" s="5">
        <v>4</v>
      </c>
      <c r="F189" s="5">
        <v>1</v>
      </c>
      <c r="G189" s="5" t="s">
        <v>41</v>
      </c>
      <c r="H189" s="6">
        <v>1.8</v>
      </c>
      <c r="I189" s="7">
        <v>36</v>
      </c>
      <c r="J189" s="6">
        <v>4.5</v>
      </c>
      <c r="K189" s="6">
        <v>2.5</v>
      </c>
      <c r="L189" s="6">
        <v>5</v>
      </c>
    </row>
    <row r="190" spans="1:12" ht="18.75" x14ac:dyDescent="0.25">
      <c r="A190" s="5">
        <v>211</v>
      </c>
      <c r="B190" s="5">
        <f>'212'!X56</f>
        <v>131</v>
      </c>
      <c r="C190" s="6">
        <f>'212'!AA56</f>
        <v>26228.400000000005</v>
      </c>
      <c r="D190" s="6">
        <f>'212'!AF56</f>
        <v>25940.200000000004</v>
      </c>
      <c r="E190" s="5">
        <v>4</v>
      </c>
      <c r="F190" s="5">
        <v>1</v>
      </c>
      <c r="G190" s="5" t="s">
        <v>53</v>
      </c>
      <c r="H190" s="6">
        <v>1.8</v>
      </c>
      <c r="I190" s="7">
        <v>36</v>
      </c>
      <c r="J190" s="6">
        <v>4.5</v>
      </c>
      <c r="K190" s="6">
        <v>3</v>
      </c>
      <c r="L190" s="6">
        <v>5</v>
      </c>
    </row>
    <row r="191" spans="1:12" ht="18.75" x14ac:dyDescent="0.25">
      <c r="A191" s="8" t="s">
        <v>25</v>
      </c>
      <c r="B191" s="8">
        <f>SUM(B189:B190)</f>
        <v>220</v>
      </c>
      <c r="C191" s="8">
        <f>SUM(C189:C190)</f>
        <v>43980</v>
      </c>
      <c r="D191" s="8">
        <f>SUM(D189:D190)</f>
        <v>43496</v>
      </c>
      <c r="E191" s="8"/>
      <c r="F191" s="5"/>
      <c r="G191" s="5"/>
      <c r="H191" s="6"/>
      <c r="I191" s="7"/>
      <c r="J191" s="6"/>
      <c r="K191" s="6"/>
      <c r="L191" s="6"/>
    </row>
    <row r="192" spans="1:12" ht="18.75" x14ac:dyDescent="0.25">
      <c r="A192" s="9"/>
      <c r="B192" s="9"/>
      <c r="C192" s="9"/>
      <c r="D192" s="9"/>
      <c r="E192" s="10"/>
      <c r="F192" s="10"/>
      <c r="G192" s="10"/>
      <c r="H192" s="10"/>
      <c r="I192" s="10"/>
      <c r="J192" s="10"/>
      <c r="K192" s="10"/>
      <c r="L192" s="10"/>
    </row>
    <row r="193" spans="1:12" ht="18.75" x14ac:dyDescent="0.3">
      <c r="A193" s="190" t="s">
        <v>26</v>
      </c>
      <c r="B193" s="190"/>
      <c r="C193" s="190"/>
      <c r="D193" s="190"/>
      <c r="E193" s="190"/>
      <c r="F193" s="190"/>
      <c r="G193" s="190"/>
      <c r="H193" s="11"/>
      <c r="I193" s="10"/>
      <c r="J193" s="11"/>
      <c r="K193" s="11"/>
      <c r="L193" s="11"/>
    </row>
    <row r="194" spans="1:12" ht="18.75" x14ac:dyDescent="0.3">
      <c r="A194" s="12" t="s">
        <v>27</v>
      </c>
      <c r="B194" s="190" t="s">
        <v>28</v>
      </c>
      <c r="C194" s="190"/>
      <c r="D194" s="190"/>
      <c r="E194" s="190"/>
      <c r="F194" s="190"/>
      <c r="G194" s="190" t="s">
        <v>29</v>
      </c>
      <c r="H194" s="190"/>
      <c r="I194" s="190" t="s">
        <v>30</v>
      </c>
      <c r="J194" s="190"/>
      <c r="K194" s="190"/>
      <c r="L194" s="190"/>
    </row>
    <row r="198" spans="1:12" ht="18.75" x14ac:dyDescent="0.3">
      <c r="A198" s="190" t="s">
        <v>11</v>
      </c>
      <c r="B198" s="190"/>
      <c r="C198" s="190"/>
      <c r="D198" s="190"/>
      <c r="E198" s="190"/>
      <c r="F198" s="190"/>
      <c r="G198" s="190"/>
      <c r="H198" s="190"/>
      <c r="I198" s="190"/>
      <c r="J198" s="190"/>
      <c r="K198" s="190"/>
      <c r="L198" s="190"/>
    </row>
    <row r="199" spans="1:12" ht="18.75" x14ac:dyDescent="0.3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</row>
    <row r="200" spans="1:12" ht="18.75" x14ac:dyDescent="0.3">
      <c r="A200" s="191" t="s">
        <v>32</v>
      </c>
      <c r="B200" s="191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</row>
    <row r="201" spans="1:12" ht="18.75" x14ac:dyDescent="0.3">
      <c r="A201" s="191" t="s">
        <v>31</v>
      </c>
      <c r="B201" s="191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</row>
    <row r="202" spans="1:12" ht="18.75" x14ac:dyDescent="0.3">
      <c r="A202" s="134"/>
      <c r="B202" s="134"/>
      <c r="C202" s="134"/>
      <c r="D202" s="134"/>
      <c r="E202" s="134"/>
      <c r="F202" s="134"/>
      <c r="G202" s="134"/>
      <c r="H202" s="134"/>
      <c r="I202" s="134"/>
      <c r="J202" s="134"/>
      <c r="K202" s="134"/>
      <c r="L202" s="134"/>
    </row>
    <row r="203" spans="1:12" ht="18.75" x14ac:dyDescent="0.3">
      <c r="A203" s="192" t="s">
        <v>71</v>
      </c>
      <c r="B203" s="193"/>
      <c r="C203" s="193"/>
      <c r="D203" s="193"/>
      <c r="E203" s="193"/>
      <c r="F203" s="193"/>
      <c r="G203" s="193"/>
      <c r="H203" s="193"/>
      <c r="I203" s="193"/>
      <c r="J203" s="193"/>
      <c r="K203" s="193"/>
      <c r="L203" s="194"/>
    </row>
    <row r="204" spans="1:12" ht="18.75" x14ac:dyDescent="0.25">
      <c r="A204" s="195" t="s">
        <v>12</v>
      </c>
      <c r="B204" s="197" t="s">
        <v>13</v>
      </c>
      <c r="C204" s="199" t="s">
        <v>14</v>
      </c>
      <c r="D204" s="199" t="s">
        <v>15</v>
      </c>
      <c r="E204" s="201" t="s">
        <v>16</v>
      </c>
      <c r="F204" s="202"/>
      <c r="G204" s="202"/>
      <c r="H204" s="202"/>
      <c r="I204" s="202"/>
      <c r="J204" s="203"/>
      <c r="K204" s="197" t="s">
        <v>17</v>
      </c>
      <c r="L204" s="197" t="s">
        <v>18</v>
      </c>
    </row>
    <row r="205" spans="1:12" ht="122.25" x14ac:dyDescent="0.25">
      <c r="A205" s="196"/>
      <c r="B205" s="198"/>
      <c r="C205" s="200"/>
      <c r="D205" s="200"/>
      <c r="E205" s="4" t="s">
        <v>19</v>
      </c>
      <c r="F205" s="4" t="s">
        <v>20</v>
      </c>
      <c r="G205" s="4" t="s">
        <v>21</v>
      </c>
      <c r="H205" s="4" t="s">
        <v>22</v>
      </c>
      <c r="I205" s="4" t="s">
        <v>23</v>
      </c>
      <c r="J205" s="4" t="s">
        <v>24</v>
      </c>
      <c r="K205" s="198"/>
      <c r="L205" s="198"/>
    </row>
    <row r="206" spans="1:12" ht="18.75" x14ac:dyDescent="0.25">
      <c r="A206" s="5">
        <v>211</v>
      </c>
      <c r="B206" s="5">
        <f>'213'!M56</f>
        <v>149</v>
      </c>
      <c r="C206" s="6">
        <f>'213'!P56</f>
        <v>29906.799999999999</v>
      </c>
      <c r="D206" s="6">
        <f>'213'!U56</f>
        <v>29579</v>
      </c>
      <c r="E206" s="5">
        <v>4</v>
      </c>
      <c r="F206" s="5">
        <v>1</v>
      </c>
      <c r="G206" s="5" t="s">
        <v>41</v>
      </c>
      <c r="H206" s="6">
        <v>1.8</v>
      </c>
      <c r="I206" s="7">
        <v>37</v>
      </c>
      <c r="J206" s="6">
        <v>4.5</v>
      </c>
      <c r="K206" s="6">
        <v>2.5</v>
      </c>
      <c r="L206" s="6">
        <v>5</v>
      </c>
    </row>
    <row r="207" spans="1:12" ht="18.75" x14ac:dyDescent="0.25">
      <c r="A207" s="5">
        <v>211</v>
      </c>
      <c r="B207" s="5">
        <f>'213'!X56</f>
        <v>71</v>
      </c>
      <c r="C207" s="6">
        <f>'213'!AA56</f>
        <v>14243</v>
      </c>
      <c r="D207" s="6">
        <f>'213'!AF56</f>
        <v>14086.8</v>
      </c>
      <c r="E207" s="5">
        <v>4</v>
      </c>
      <c r="F207" s="5">
        <v>1</v>
      </c>
      <c r="G207" s="5" t="s">
        <v>53</v>
      </c>
      <c r="H207" s="6">
        <v>1.8</v>
      </c>
      <c r="I207" s="7">
        <v>37</v>
      </c>
      <c r="J207" s="6">
        <v>4.5</v>
      </c>
      <c r="K207" s="6">
        <v>3</v>
      </c>
      <c r="L207" s="6">
        <v>5</v>
      </c>
    </row>
    <row r="208" spans="1:12" ht="18.75" x14ac:dyDescent="0.25">
      <c r="A208" s="8" t="s">
        <v>25</v>
      </c>
      <c r="B208" s="8">
        <f>SUM(B206:B207)</f>
        <v>220</v>
      </c>
      <c r="C208" s="8">
        <f>SUM(C206:C207)</f>
        <v>44149.8</v>
      </c>
      <c r="D208" s="8">
        <f>SUM(D206:D207)</f>
        <v>43665.8</v>
      </c>
      <c r="E208" s="8"/>
      <c r="F208" s="5"/>
      <c r="G208" s="5"/>
      <c r="H208" s="6"/>
      <c r="I208" s="7"/>
      <c r="J208" s="6"/>
      <c r="K208" s="6"/>
      <c r="L208" s="6"/>
    </row>
    <row r="209" spans="1:12" ht="18.75" x14ac:dyDescent="0.25">
      <c r="A209" s="9"/>
      <c r="B209" s="9"/>
      <c r="C209" s="9"/>
      <c r="D209" s="9"/>
      <c r="E209" s="10"/>
      <c r="F209" s="10"/>
      <c r="G209" s="10"/>
      <c r="H209" s="10"/>
      <c r="I209" s="10"/>
      <c r="J209" s="10"/>
      <c r="K209" s="10"/>
      <c r="L209" s="10"/>
    </row>
    <row r="210" spans="1:12" ht="18.75" x14ac:dyDescent="0.3">
      <c r="A210" s="190" t="s">
        <v>26</v>
      </c>
      <c r="B210" s="190"/>
      <c r="C210" s="190"/>
      <c r="D210" s="190"/>
      <c r="E210" s="190"/>
      <c r="F210" s="190"/>
      <c r="G210" s="190"/>
      <c r="H210" s="11"/>
      <c r="I210" s="10"/>
      <c r="J210" s="11"/>
      <c r="K210" s="11"/>
      <c r="L210" s="11"/>
    </row>
    <row r="211" spans="1:12" ht="18.75" x14ac:dyDescent="0.3">
      <c r="A211" s="12" t="s">
        <v>27</v>
      </c>
      <c r="B211" s="190" t="s">
        <v>28</v>
      </c>
      <c r="C211" s="190"/>
      <c r="D211" s="190"/>
      <c r="E211" s="190"/>
      <c r="F211" s="190"/>
      <c r="G211" s="190" t="s">
        <v>29</v>
      </c>
      <c r="H211" s="190"/>
      <c r="I211" s="190" t="s">
        <v>30</v>
      </c>
      <c r="J211" s="190"/>
      <c r="K211" s="190"/>
      <c r="L211" s="190"/>
    </row>
    <row r="214" spans="1:12" ht="18.75" x14ac:dyDescent="0.3">
      <c r="A214" s="190" t="s">
        <v>11</v>
      </c>
      <c r="B214" s="190"/>
      <c r="C214" s="190"/>
      <c r="D214" s="190"/>
      <c r="E214" s="190"/>
      <c r="F214" s="190"/>
      <c r="G214" s="190"/>
      <c r="H214" s="190"/>
      <c r="I214" s="190"/>
      <c r="J214" s="190"/>
      <c r="K214" s="190"/>
      <c r="L214" s="190"/>
    </row>
    <row r="215" spans="1:12" ht="18.75" x14ac:dyDescent="0.3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</row>
    <row r="216" spans="1:12" ht="18.75" x14ac:dyDescent="0.3">
      <c r="A216" s="191" t="s">
        <v>32</v>
      </c>
      <c r="B216" s="191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</row>
    <row r="217" spans="1:12" ht="18.75" x14ac:dyDescent="0.3">
      <c r="A217" s="191" t="s">
        <v>31</v>
      </c>
      <c r="B217" s="191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</row>
    <row r="218" spans="1:12" ht="18.75" x14ac:dyDescent="0.3">
      <c r="A218" s="134"/>
      <c r="B218" s="134"/>
      <c r="C218" s="134"/>
      <c r="D218" s="134"/>
      <c r="E218" s="134"/>
      <c r="F218" s="134"/>
      <c r="G218" s="134"/>
      <c r="H218" s="134"/>
      <c r="I218" s="134"/>
      <c r="J218" s="134"/>
      <c r="K218" s="134"/>
      <c r="L218" s="134"/>
    </row>
    <row r="219" spans="1:12" ht="18.75" x14ac:dyDescent="0.3">
      <c r="A219" s="192" t="s">
        <v>72</v>
      </c>
      <c r="B219" s="193"/>
      <c r="C219" s="193"/>
      <c r="D219" s="193"/>
      <c r="E219" s="193"/>
      <c r="F219" s="193"/>
      <c r="G219" s="193"/>
      <c r="H219" s="193"/>
      <c r="I219" s="193"/>
      <c r="J219" s="193"/>
      <c r="K219" s="193"/>
      <c r="L219" s="194"/>
    </row>
    <row r="220" spans="1:12" ht="18.75" x14ac:dyDescent="0.25">
      <c r="A220" s="195" t="s">
        <v>12</v>
      </c>
      <c r="B220" s="197" t="s">
        <v>13</v>
      </c>
      <c r="C220" s="199" t="s">
        <v>14</v>
      </c>
      <c r="D220" s="199" t="s">
        <v>15</v>
      </c>
      <c r="E220" s="201" t="s">
        <v>16</v>
      </c>
      <c r="F220" s="202"/>
      <c r="G220" s="202"/>
      <c r="H220" s="202"/>
      <c r="I220" s="202"/>
      <c r="J220" s="203"/>
      <c r="K220" s="197" t="s">
        <v>17</v>
      </c>
      <c r="L220" s="197" t="s">
        <v>18</v>
      </c>
    </row>
    <row r="221" spans="1:12" ht="122.25" x14ac:dyDescent="0.25">
      <c r="A221" s="196"/>
      <c r="B221" s="198"/>
      <c r="C221" s="200"/>
      <c r="D221" s="200"/>
      <c r="E221" s="4" t="s">
        <v>19</v>
      </c>
      <c r="F221" s="4" t="s">
        <v>20</v>
      </c>
      <c r="G221" s="4" t="s">
        <v>21</v>
      </c>
      <c r="H221" s="4" t="s">
        <v>22</v>
      </c>
      <c r="I221" s="4" t="s">
        <v>23</v>
      </c>
      <c r="J221" s="4" t="s">
        <v>24</v>
      </c>
      <c r="K221" s="198"/>
      <c r="L221" s="198"/>
    </row>
    <row r="222" spans="1:12" ht="18.75" x14ac:dyDescent="0.25">
      <c r="A222" s="5">
        <v>211</v>
      </c>
      <c r="B222" s="5">
        <f>'214'!M56</f>
        <v>114</v>
      </c>
      <c r="C222" s="6">
        <f>'214'!P56</f>
        <v>22810.9</v>
      </c>
      <c r="D222" s="6">
        <f>'214'!U56</f>
        <v>22560.100000000002</v>
      </c>
      <c r="E222" s="5">
        <v>4</v>
      </c>
      <c r="F222" s="5">
        <v>1</v>
      </c>
      <c r="G222" s="5" t="s">
        <v>41</v>
      </c>
      <c r="H222" s="6">
        <v>1.8</v>
      </c>
      <c r="I222" s="7">
        <v>37</v>
      </c>
      <c r="J222" s="6">
        <v>4.5</v>
      </c>
      <c r="K222" s="6">
        <v>2.5</v>
      </c>
      <c r="L222" s="6">
        <v>5</v>
      </c>
    </row>
    <row r="223" spans="1:12" ht="18.75" x14ac:dyDescent="0.25">
      <c r="A223" s="5">
        <v>211</v>
      </c>
      <c r="B223" s="5">
        <f>'214'!X56</f>
        <v>106</v>
      </c>
      <c r="C223" s="6">
        <f>'214'!AA56</f>
        <v>21300.1</v>
      </c>
      <c r="D223" s="6">
        <f>'214'!AF56</f>
        <v>21066.899999999998</v>
      </c>
      <c r="E223" s="5">
        <v>4</v>
      </c>
      <c r="F223" s="5">
        <v>1</v>
      </c>
      <c r="G223" s="5" t="s">
        <v>53</v>
      </c>
      <c r="H223" s="6">
        <v>1.8</v>
      </c>
      <c r="I223" s="7">
        <v>37</v>
      </c>
      <c r="J223" s="6">
        <v>4.5</v>
      </c>
      <c r="K223" s="6">
        <v>3</v>
      </c>
      <c r="L223" s="6">
        <v>5</v>
      </c>
    </row>
    <row r="224" spans="1:12" ht="18.75" x14ac:dyDescent="0.25">
      <c r="A224" s="8" t="s">
        <v>25</v>
      </c>
      <c r="B224" s="8">
        <f>SUM(B222:B223)</f>
        <v>220</v>
      </c>
      <c r="C224" s="8">
        <f>SUM(C222:C223)</f>
        <v>44111</v>
      </c>
      <c r="D224" s="8">
        <f>SUM(D222:D223)</f>
        <v>43627</v>
      </c>
      <c r="E224" s="8"/>
      <c r="F224" s="5"/>
      <c r="G224" s="5"/>
      <c r="H224" s="6"/>
      <c r="I224" s="7"/>
      <c r="J224" s="6"/>
      <c r="K224" s="6"/>
      <c r="L224" s="6"/>
    </row>
    <row r="225" spans="1:12" ht="18.75" x14ac:dyDescent="0.25">
      <c r="A225" s="9"/>
      <c r="B225" s="9"/>
      <c r="C225" s="9"/>
      <c r="D225" s="9"/>
      <c r="E225" s="10"/>
      <c r="F225" s="10"/>
      <c r="G225" s="10"/>
      <c r="H225" s="10"/>
      <c r="I225" s="10"/>
      <c r="J225" s="10"/>
      <c r="K225" s="10"/>
      <c r="L225" s="10"/>
    </row>
    <row r="226" spans="1:12" ht="18.75" x14ac:dyDescent="0.3">
      <c r="A226" s="190" t="s">
        <v>26</v>
      </c>
      <c r="B226" s="190"/>
      <c r="C226" s="190"/>
      <c r="D226" s="190"/>
      <c r="E226" s="190"/>
      <c r="F226" s="190"/>
      <c r="G226" s="190"/>
      <c r="H226" s="11"/>
      <c r="I226" s="10"/>
      <c r="J226" s="11"/>
      <c r="K226" s="11"/>
      <c r="L226" s="11"/>
    </row>
    <row r="227" spans="1:12" ht="18.75" x14ac:dyDescent="0.3">
      <c r="A227" s="12" t="s">
        <v>27</v>
      </c>
      <c r="B227" s="190" t="s">
        <v>28</v>
      </c>
      <c r="C227" s="190"/>
      <c r="D227" s="190"/>
      <c r="E227" s="190"/>
      <c r="F227" s="190"/>
      <c r="G227" s="190" t="s">
        <v>29</v>
      </c>
      <c r="H227" s="190"/>
      <c r="I227" s="190" t="s">
        <v>30</v>
      </c>
      <c r="J227" s="190"/>
      <c r="K227" s="190"/>
      <c r="L227" s="190"/>
    </row>
    <row r="230" spans="1:12" ht="18.75" x14ac:dyDescent="0.3">
      <c r="A230" s="190" t="s">
        <v>11</v>
      </c>
      <c r="B230" s="190"/>
      <c r="C230" s="190"/>
      <c r="D230" s="190"/>
      <c r="E230" s="190"/>
      <c r="F230" s="190"/>
      <c r="G230" s="190"/>
      <c r="H230" s="190"/>
      <c r="I230" s="190"/>
      <c r="J230" s="190"/>
      <c r="K230" s="190"/>
      <c r="L230" s="190"/>
    </row>
    <row r="231" spans="1:12" ht="18.75" x14ac:dyDescent="0.3">
      <c r="A231" s="136"/>
      <c r="B231" s="136"/>
      <c r="C231" s="136"/>
      <c r="D231" s="136"/>
      <c r="E231" s="136"/>
      <c r="F231" s="136"/>
      <c r="G231" s="136"/>
      <c r="H231" s="136"/>
      <c r="I231" s="136"/>
      <c r="J231" s="136"/>
      <c r="K231" s="136"/>
      <c r="L231" s="136"/>
    </row>
    <row r="232" spans="1:12" ht="18.75" x14ac:dyDescent="0.3">
      <c r="A232" s="191" t="s">
        <v>32</v>
      </c>
      <c r="B232" s="191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</row>
    <row r="233" spans="1:12" ht="18.75" x14ac:dyDescent="0.3">
      <c r="A233" s="191" t="s">
        <v>31</v>
      </c>
      <c r="B233" s="191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</row>
    <row r="234" spans="1:12" ht="18.75" x14ac:dyDescent="0.3">
      <c r="A234" s="137"/>
      <c r="B234" s="137"/>
      <c r="C234" s="137"/>
      <c r="D234" s="137"/>
      <c r="E234" s="137"/>
      <c r="F234" s="137"/>
      <c r="G234" s="137"/>
      <c r="H234" s="137"/>
      <c r="I234" s="137"/>
      <c r="J234" s="137"/>
      <c r="K234" s="137"/>
      <c r="L234" s="137"/>
    </row>
    <row r="235" spans="1:12" ht="18.75" x14ac:dyDescent="0.3">
      <c r="A235" s="192" t="s">
        <v>74</v>
      </c>
      <c r="B235" s="193"/>
      <c r="C235" s="193"/>
      <c r="D235" s="193"/>
      <c r="E235" s="193"/>
      <c r="F235" s="193"/>
      <c r="G235" s="193"/>
      <c r="H235" s="193"/>
      <c r="I235" s="193"/>
      <c r="J235" s="193"/>
      <c r="K235" s="193"/>
      <c r="L235" s="194"/>
    </row>
    <row r="236" spans="1:12" ht="18.75" x14ac:dyDescent="0.25">
      <c r="A236" s="195" t="s">
        <v>12</v>
      </c>
      <c r="B236" s="197" t="s">
        <v>13</v>
      </c>
      <c r="C236" s="199" t="s">
        <v>14</v>
      </c>
      <c r="D236" s="199" t="s">
        <v>15</v>
      </c>
      <c r="E236" s="201" t="s">
        <v>16</v>
      </c>
      <c r="F236" s="202"/>
      <c r="G236" s="202"/>
      <c r="H236" s="202"/>
      <c r="I236" s="202"/>
      <c r="J236" s="203"/>
      <c r="K236" s="197" t="s">
        <v>17</v>
      </c>
      <c r="L236" s="197" t="s">
        <v>18</v>
      </c>
    </row>
    <row r="237" spans="1:12" ht="122.25" x14ac:dyDescent="0.25">
      <c r="A237" s="196"/>
      <c r="B237" s="198"/>
      <c r="C237" s="200"/>
      <c r="D237" s="200"/>
      <c r="E237" s="4" t="s">
        <v>19</v>
      </c>
      <c r="F237" s="4" t="s">
        <v>20</v>
      </c>
      <c r="G237" s="4" t="s">
        <v>21</v>
      </c>
      <c r="H237" s="4" t="s">
        <v>22</v>
      </c>
      <c r="I237" s="4" t="s">
        <v>23</v>
      </c>
      <c r="J237" s="4" t="s">
        <v>24</v>
      </c>
      <c r="K237" s="198"/>
      <c r="L237" s="198"/>
    </row>
    <row r="238" spans="1:12" ht="18.75" x14ac:dyDescent="0.25">
      <c r="A238" s="5">
        <v>211</v>
      </c>
      <c r="B238" s="5">
        <f>'215'!M56</f>
        <v>156</v>
      </c>
      <c r="C238" s="6">
        <f>'215'!P56</f>
        <v>31631.800000000003</v>
      </c>
      <c r="D238" s="6">
        <f>'215'!U56</f>
        <v>31288.600000000002</v>
      </c>
      <c r="E238" s="5">
        <v>4</v>
      </c>
      <c r="F238" s="5">
        <v>1</v>
      </c>
      <c r="G238" s="5" t="s">
        <v>41</v>
      </c>
      <c r="H238" s="6">
        <v>1.8</v>
      </c>
      <c r="I238" s="7">
        <v>37</v>
      </c>
      <c r="J238" s="6">
        <v>4.5</v>
      </c>
      <c r="K238" s="6">
        <v>2.5</v>
      </c>
      <c r="L238" s="6">
        <v>5</v>
      </c>
    </row>
    <row r="239" spans="1:12" ht="18.75" x14ac:dyDescent="0.25">
      <c r="A239" s="5">
        <v>211</v>
      </c>
      <c r="B239" s="5">
        <f>'215'!X56</f>
        <v>64</v>
      </c>
      <c r="C239" s="6">
        <f>'215'!AA56</f>
        <v>12904.800000000003</v>
      </c>
      <c r="D239" s="6">
        <f>'215'!AF56</f>
        <v>12764.000000000004</v>
      </c>
      <c r="E239" s="5">
        <v>4</v>
      </c>
      <c r="F239" s="5">
        <v>1</v>
      </c>
      <c r="G239" s="5" t="s">
        <v>53</v>
      </c>
      <c r="H239" s="6">
        <v>1.8</v>
      </c>
      <c r="I239" s="7">
        <v>37</v>
      </c>
      <c r="J239" s="6">
        <v>4.5</v>
      </c>
      <c r="K239" s="6">
        <v>3</v>
      </c>
      <c r="L239" s="6">
        <v>5</v>
      </c>
    </row>
    <row r="240" spans="1:12" ht="18.75" x14ac:dyDescent="0.25">
      <c r="A240" s="8" t="s">
        <v>25</v>
      </c>
      <c r="B240" s="8">
        <f>SUM(B238:B239)</f>
        <v>220</v>
      </c>
      <c r="C240" s="8">
        <f>SUM(C238:C239)</f>
        <v>44536.600000000006</v>
      </c>
      <c r="D240" s="8">
        <f>SUM(D238:D239)</f>
        <v>44052.600000000006</v>
      </c>
      <c r="E240" s="8"/>
      <c r="F240" s="5"/>
      <c r="G240" s="5"/>
      <c r="H240" s="6"/>
      <c r="I240" s="7"/>
      <c r="J240" s="6"/>
      <c r="K240" s="6"/>
      <c r="L240" s="6"/>
    </row>
    <row r="241" spans="1:12" ht="18.75" x14ac:dyDescent="0.25">
      <c r="A241" s="9"/>
      <c r="B241" s="9"/>
      <c r="C241" s="9"/>
      <c r="D241" s="9"/>
      <c r="E241" s="10"/>
      <c r="F241" s="10"/>
      <c r="G241" s="10"/>
      <c r="H241" s="10"/>
      <c r="I241" s="10"/>
      <c r="J241" s="10"/>
      <c r="K241" s="10"/>
      <c r="L241" s="10"/>
    </row>
    <row r="242" spans="1:12" ht="18.75" x14ac:dyDescent="0.3">
      <c r="A242" s="190" t="s">
        <v>26</v>
      </c>
      <c r="B242" s="190"/>
      <c r="C242" s="190"/>
      <c r="D242" s="190"/>
      <c r="E242" s="190"/>
      <c r="F242" s="190"/>
      <c r="G242" s="190"/>
      <c r="H242" s="11"/>
      <c r="I242" s="10"/>
      <c r="J242" s="11"/>
      <c r="K242" s="11"/>
      <c r="L242" s="11"/>
    </row>
    <row r="243" spans="1:12" ht="18.75" x14ac:dyDescent="0.3">
      <c r="A243" s="12" t="s">
        <v>27</v>
      </c>
      <c r="B243" s="190" t="s">
        <v>28</v>
      </c>
      <c r="C243" s="190"/>
      <c r="D243" s="190"/>
      <c r="E243" s="190"/>
      <c r="F243" s="190"/>
      <c r="G243" s="190" t="s">
        <v>29</v>
      </c>
      <c r="H243" s="190"/>
      <c r="I243" s="190" t="s">
        <v>30</v>
      </c>
      <c r="J243" s="190"/>
      <c r="K243" s="190"/>
      <c r="L243" s="190"/>
    </row>
    <row r="247" spans="1:12" ht="18.75" x14ac:dyDescent="0.3">
      <c r="A247" s="190" t="s">
        <v>11</v>
      </c>
      <c r="B247" s="190"/>
      <c r="C247" s="190"/>
      <c r="D247" s="190"/>
      <c r="E247" s="190"/>
      <c r="F247" s="190"/>
      <c r="G247" s="190"/>
      <c r="H247" s="190"/>
      <c r="I247" s="190"/>
      <c r="J247" s="190"/>
      <c r="K247" s="190"/>
      <c r="L247" s="190"/>
    </row>
    <row r="248" spans="1:12" ht="18.75" x14ac:dyDescent="0.3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</row>
    <row r="249" spans="1:12" ht="18.75" x14ac:dyDescent="0.3">
      <c r="A249" s="191" t="s">
        <v>32</v>
      </c>
      <c r="B249" s="191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</row>
    <row r="250" spans="1:12" ht="18.75" x14ac:dyDescent="0.3">
      <c r="A250" s="191" t="s">
        <v>31</v>
      </c>
      <c r="B250" s="191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</row>
    <row r="251" spans="1:12" ht="18.75" x14ac:dyDescent="0.3">
      <c r="A251" s="139"/>
      <c r="B251" s="139"/>
      <c r="C251" s="139"/>
      <c r="D251" s="139"/>
      <c r="E251" s="139"/>
      <c r="F251" s="139"/>
      <c r="G251" s="139"/>
      <c r="H251" s="139"/>
      <c r="I251" s="139"/>
      <c r="J251" s="139"/>
      <c r="K251" s="139"/>
      <c r="L251" s="139"/>
    </row>
    <row r="252" spans="1:12" ht="18.75" x14ac:dyDescent="0.3">
      <c r="A252" s="192" t="s">
        <v>75</v>
      </c>
      <c r="B252" s="193"/>
      <c r="C252" s="193"/>
      <c r="D252" s="193"/>
      <c r="E252" s="193"/>
      <c r="F252" s="193"/>
      <c r="G252" s="193"/>
      <c r="H252" s="193"/>
      <c r="I252" s="193"/>
      <c r="J252" s="193"/>
      <c r="K252" s="193"/>
      <c r="L252" s="194"/>
    </row>
    <row r="253" spans="1:12" ht="18.75" x14ac:dyDescent="0.25">
      <c r="A253" s="195" t="s">
        <v>12</v>
      </c>
      <c r="B253" s="197" t="s">
        <v>13</v>
      </c>
      <c r="C253" s="199" t="s">
        <v>14</v>
      </c>
      <c r="D253" s="199" t="s">
        <v>15</v>
      </c>
      <c r="E253" s="201" t="s">
        <v>16</v>
      </c>
      <c r="F253" s="202"/>
      <c r="G253" s="202"/>
      <c r="H253" s="202"/>
      <c r="I253" s="202"/>
      <c r="J253" s="203"/>
      <c r="K253" s="197" t="s">
        <v>17</v>
      </c>
      <c r="L253" s="197" t="s">
        <v>18</v>
      </c>
    </row>
    <row r="254" spans="1:12" ht="122.25" x14ac:dyDescent="0.25">
      <c r="A254" s="196"/>
      <c r="B254" s="198"/>
      <c r="C254" s="200"/>
      <c r="D254" s="200"/>
      <c r="E254" s="4" t="s">
        <v>19</v>
      </c>
      <c r="F254" s="4" t="s">
        <v>20</v>
      </c>
      <c r="G254" s="4" t="s">
        <v>21</v>
      </c>
      <c r="H254" s="4" t="s">
        <v>22</v>
      </c>
      <c r="I254" s="4" t="s">
        <v>23</v>
      </c>
      <c r="J254" s="4" t="s">
        <v>24</v>
      </c>
      <c r="K254" s="198"/>
      <c r="L254" s="198"/>
    </row>
    <row r="255" spans="1:12" ht="18.75" x14ac:dyDescent="0.25">
      <c r="A255" s="5">
        <v>211</v>
      </c>
      <c r="B255" s="5">
        <f>'216'!M56</f>
        <v>36</v>
      </c>
      <c r="C255" s="6">
        <f>'216'!P56</f>
        <v>7173.4</v>
      </c>
      <c r="D255" s="6">
        <f>'216'!U56</f>
        <v>7094.2</v>
      </c>
      <c r="E255" s="5">
        <v>4</v>
      </c>
      <c r="F255" s="5">
        <v>1</v>
      </c>
      <c r="G255" s="5" t="s">
        <v>41</v>
      </c>
      <c r="H255" s="6">
        <v>1.8</v>
      </c>
      <c r="I255" s="7">
        <v>37</v>
      </c>
      <c r="J255" s="6">
        <v>4.5</v>
      </c>
      <c r="K255" s="6">
        <v>2.5</v>
      </c>
      <c r="L255" s="6">
        <v>5</v>
      </c>
    </row>
    <row r="256" spans="1:12" ht="18.75" x14ac:dyDescent="0.25">
      <c r="A256" s="5">
        <v>211</v>
      </c>
      <c r="B256" s="5">
        <f>'216'!X56</f>
        <v>129</v>
      </c>
      <c r="C256" s="6">
        <f>'216'!AA56</f>
        <v>26079.199999999997</v>
      </c>
      <c r="D256" s="6">
        <f>'216'!AF56</f>
        <v>25795.399999999998</v>
      </c>
      <c r="E256" s="5">
        <v>4</v>
      </c>
      <c r="F256" s="5">
        <v>1</v>
      </c>
      <c r="G256" s="5" t="s">
        <v>53</v>
      </c>
      <c r="H256" s="6">
        <v>1.8</v>
      </c>
      <c r="I256" s="7">
        <v>37</v>
      </c>
      <c r="J256" s="6">
        <v>4.5</v>
      </c>
      <c r="K256" s="6">
        <v>3</v>
      </c>
      <c r="L256" s="6">
        <v>5</v>
      </c>
    </row>
    <row r="257" spans="1:12" ht="18.75" x14ac:dyDescent="0.25">
      <c r="A257" s="5">
        <v>211</v>
      </c>
      <c r="B257" s="5">
        <f>'216'!AI56</f>
        <v>55</v>
      </c>
      <c r="C257" s="6">
        <f>'216'!AL56</f>
        <v>11134.699999999999</v>
      </c>
      <c r="D257" s="6">
        <f>'216'!AQ56</f>
        <v>11013.699999999999</v>
      </c>
      <c r="E257" s="5">
        <v>4</v>
      </c>
      <c r="F257" s="5">
        <v>1</v>
      </c>
      <c r="G257" s="5" t="s">
        <v>49</v>
      </c>
      <c r="H257" s="6">
        <v>1.8</v>
      </c>
      <c r="I257" s="7">
        <v>37</v>
      </c>
      <c r="J257" s="6">
        <v>4.5</v>
      </c>
      <c r="K257" s="6">
        <v>4</v>
      </c>
      <c r="L257" s="6">
        <v>5</v>
      </c>
    </row>
    <row r="258" spans="1:12" ht="18.75" x14ac:dyDescent="0.25">
      <c r="A258" s="8" t="s">
        <v>25</v>
      </c>
      <c r="B258" s="8">
        <f>SUM(B255:B257)</f>
        <v>220</v>
      </c>
      <c r="C258" s="8">
        <f>SUM(C255:C257)</f>
        <v>44387.299999999996</v>
      </c>
      <c r="D258" s="8">
        <f>SUM(D255:D257)</f>
        <v>43903.299999999996</v>
      </c>
      <c r="E258" s="8"/>
      <c r="F258" s="5"/>
      <c r="G258" s="5"/>
      <c r="H258" s="6"/>
      <c r="I258" s="7"/>
      <c r="J258" s="6"/>
      <c r="K258" s="6"/>
      <c r="L258" s="6"/>
    </row>
    <row r="259" spans="1:12" ht="18.75" x14ac:dyDescent="0.25">
      <c r="A259" s="9"/>
      <c r="B259" s="9"/>
      <c r="C259" s="9"/>
      <c r="D259" s="9"/>
      <c r="E259" s="10"/>
      <c r="F259" s="10"/>
      <c r="G259" s="10"/>
      <c r="H259" s="10"/>
      <c r="I259" s="10"/>
      <c r="J259" s="10"/>
      <c r="K259" s="10"/>
      <c r="L259" s="10"/>
    </row>
    <row r="260" spans="1:12" ht="18.75" x14ac:dyDescent="0.3">
      <c r="A260" s="190" t="s">
        <v>26</v>
      </c>
      <c r="B260" s="190"/>
      <c r="C260" s="190"/>
      <c r="D260" s="190"/>
      <c r="E260" s="190"/>
      <c r="F260" s="190"/>
      <c r="G260" s="190"/>
      <c r="H260" s="11"/>
      <c r="I260" s="10"/>
      <c r="J260" s="11"/>
      <c r="K260" s="11"/>
      <c r="L260" s="11"/>
    </row>
    <row r="261" spans="1:12" ht="18.75" x14ac:dyDescent="0.3">
      <c r="A261" s="12" t="s">
        <v>27</v>
      </c>
      <c r="B261" s="190" t="s">
        <v>28</v>
      </c>
      <c r="C261" s="190"/>
      <c r="D261" s="190"/>
      <c r="E261" s="190"/>
      <c r="F261" s="190"/>
      <c r="G261" s="190" t="s">
        <v>29</v>
      </c>
      <c r="H261" s="190"/>
      <c r="I261" s="190" t="s">
        <v>30</v>
      </c>
      <c r="J261" s="190"/>
      <c r="K261" s="190"/>
      <c r="L261" s="190"/>
    </row>
    <row r="265" spans="1:12" ht="18.75" x14ac:dyDescent="0.3">
      <c r="A265" s="190" t="s">
        <v>11</v>
      </c>
      <c r="B265" s="190"/>
      <c r="C265" s="190"/>
      <c r="D265" s="190"/>
      <c r="E265" s="190"/>
      <c r="F265" s="190"/>
      <c r="G265" s="190"/>
      <c r="H265" s="190"/>
      <c r="I265" s="190"/>
      <c r="J265" s="190"/>
      <c r="K265" s="190"/>
      <c r="L265" s="190"/>
    </row>
    <row r="266" spans="1:12" ht="18.75" x14ac:dyDescent="0.3">
      <c r="A266" s="140"/>
      <c r="B266" s="140"/>
      <c r="C266" s="140"/>
      <c r="D266" s="140"/>
      <c r="E266" s="140"/>
      <c r="F266" s="140"/>
      <c r="G266" s="140"/>
      <c r="H266" s="140"/>
      <c r="I266" s="140"/>
      <c r="J266" s="140"/>
      <c r="K266" s="140"/>
      <c r="L266" s="140"/>
    </row>
    <row r="267" spans="1:12" ht="18.75" x14ac:dyDescent="0.3">
      <c r="A267" s="191" t="s">
        <v>32</v>
      </c>
      <c r="B267" s="191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</row>
    <row r="268" spans="1:12" ht="18.75" x14ac:dyDescent="0.3">
      <c r="A268" s="191" t="s">
        <v>31</v>
      </c>
      <c r="B268" s="191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</row>
    <row r="269" spans="1:12" ht="18.75" x14ac:dyDescent="0.3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</row>
    <row r="270" spans="1:12" ht="18.75" x14ac:dyDescent="0.3">
      <c r="A270" s="192" t="s">
        <v>77</v>
      </c>
      <c r="B270" s="193"/>
      <c r="C270" s="193"/>
      <c r="D270" s="193"/>
      <c r="E270" s="193"/>
      <c r="F270" s="193"/>
      <c r="G270" s="193"/>
      <c r="H270" s="193"/>
      <c r="I270" s="193"/>
      <c r="J270" s="193"/>
      <c r="K270" s="193"/>
      <c r="L270" s="194"/>
    </row>
    <row r="271" spans="1:12" ht="18.75" x14ac:dyDescent="0.25">
      <c r="A271" s="195" t="s">
        <v>12</v>
      </c>
      <c r="B271" s="197" t="s">
        <v>13</v>
      </c>
      <c r="C271" s="199" t="s">
        <v>14</v>
      </c>
      <c r="D271" s="199" t="s">
        <v>15</v>
      </c>
      <c r="E271" s="201" t="s">
        <v>16</v>
      </c>
      <c r="F271" s="202"/>
      <c r="G271" s="202"/>
      <c r="H271" s="202"/>
      <c r="I271" s="202"/>
      <c r="J271" s="203"/>
      <c r="K271" s="197" t="s">
        <v>17</v>
      </c>
      <c r="L271" s="197" t="s">
        <v>18</v>
      </c>
    </row>
    <row r="272" spans="1:12" ht="122.25" x14ac:dyDescent="0.25">
      <c r="A272" s="196"/>
      <c r="B272" s="198"/>
      <c r="C272" s="200"/>
      <c r="D272" s="200"/>
      <c r="E272" s="4" t="s">
        <v>19</v>
      </c>
      <c r="F272" s="4" t="s">
        <v>20</v>
      </c>
      <c r="G272" s="4" t="s">
        <v>21</v>
      </c>
      <c r="H272" s="4" t="s">
        <v>22</v>
      </c>
      <c r="I272" s="4" t="s">
        <v>23</v>
      </c>
      <c r="J272" s="4" t="s">
        <v>24</v>
      </c>
      <c r="K272" s="198"/>
      <c r="L272" s="198"/>
    </row>
    <row r="273" spans="1:12" ht="18.75" x14ac:dyDescent="0.25">
      <c r="A273" s="5">
        <v>211</v>
      </c>
      <c r="B273" s="5">
        <f>'217'!M56</f>
        <v>119</v>
      </c>
      <c r="C273" s="6">
        <f>'217'!P56</f>
        <v>24010.999999999993</v>
      </c>
      <c r="D273" s="6">
        <f>'217'!U56</f>
        <v>23749.199999999993</v>
      </c>
      <c r="E273" s="5">
        <v>4</v>
      </c>
      <c r="F273" s="5">
        <v>1</v>
      </c>
      <c r="G273" s="5" t="s">
        <v>41</v>
      </c>
      <c r="H273" s="6">
        <v>1.8</v>
      </c>
      <c r="I273" s="7">
        <v>37</v>
      </c>
      <c r="J273" s="6">
        <v>4.5</v>
      </c>
      <c r="K273" s="6">
        <v>2.5</v>
      </c>
      <c r="L273" s="6">
        <v>5</v>
      </c>
    </row>
    <row r="274" spans="1:12" ht="18.75" x14ac:dyDescent="0.25">
      <c r="A274" s="5">
        <v>211</v>
      </c>
      <c r="B274" s="5">
        <f>'217'!X56</f>
        <v>101</v>
      </c>
      <c r="C274" s="6">
        <f>'217'!AA56</f>
        <v>20800.800000000003</v>
      </c>
      <c r="D274" s="6">
        <f>'217'!AF56</f>
        <v>20578.600000000002</v>
      </c>
      <c r="E274" s="5">
        <v>4</v>
      </c>
      <c r="F274" s="5">
        <v>1</v>
      </c>
      <c r="G274" s="5" t="s">
        <v>53</v>
      </c>
      <c r="H274" s="6">
        <v>1.8</v>
      </c>
      <c r="I274" s="7">
        <v>37</v>
      </c>
      <c r="J274" s="6">
        <v>4.5</v>
      </c>
      <c r="K274" s="6">
        <v>3</v>
      </c>
      <c r="L274" s="6">
        <v>5</v>
      </c>
    </row>
    <row r="275" spans="1:12" ht="18.75" x14ac:dyDescent="0.25">
      <c r="A275" s="8" t="s">
        <v>25</v>
      </c>
      <c r="B275" s="8">
        <f>SUM(B273:B274)</f>
        <v>220</v>
      </c>
      <c r="C275" s="8">
        <f>SUM(C273:C274)</f>
        <v>44811.799999999996</v>
      </c>
      <c r="D275" s="8">
        <f>SUM(D273:D274)</f>
        <v>44327.799999999996</v>
      </c>
      <c r="E275" s="8"/>
      <c r="F275" s="5"/>
      <c r="G275" s="5"/>
      <c r="H275" s="6"/>
      <c r="I275" s="7"/>
      <c r="J275" s="6"/>
      <c r="K275" s="6"/>
      <c r="L275" s="6"/>
    </row>
    <row r="276" spans="1:12" ht="18.75" x14ac:dyDescent="0.25">
      <c r="A276" s="9"/>
      <c r="B276" s="9"/>
      <c r="C276" s="9"/>
      <c r="D276" s="9"/>
      <c r="E276" s="10"/>
      <c r="F276" s="10"/>
      <c r="G276" s="10"/>
      <c r="H276" s="10"/>
      <c r="I276" s="10"/>
      <c r="J276" s="10"/>
      <c r="K276" s="10"/>
      <c r="L276" s="10"/>
    </row>
    <row r="277" spans="1:12" ht="18.75" x14ac:dyDescent="0.3">
      <c r="A277" s="190" t="s">
        <v>26</v>
      </c>
      <c r="B277" s="190"/>
      <c r="C277" s="190"/>
      <c r="D277" s="190"/>
      <c r="E277" s="190"/>
      <c r="F277" s="190"/>
      <c r="G277" s="190"/>
      <c r="H277" s="11"/>
      <c r="I277" s="10"/>
      <c r="J277" s="11"/>
      <c r="K277" s="11"/>
      <c r="L277" s="11"/>
    </row>
    <row r="278" spans="1:12" ht="18.75" x14ac:dyDescent="0.3">
      <c r="A278" s="12" t="s">
        <v>27</v>
      </c>
      <c r="B278" s="190" t="s">
        <v>28</v>
      </c>
      <c r="C278" s="190"/>
      <c r="D278" s="190"/>
      <c r="E278" s="190"/>
      <c r="F278" s="190"/>
      <c r="G278" s="190" t="s">
        <v>29</v>
      </c>
      <c r="H278" s="190"/>
      <c r="I278" s="190" t="s">
        <v>30</v>
      </c>
      <c r="J278" s="190"/>
      <c r="K278" s="190"/>
      <c r="L278" s="190"/>
    </row>
    <row r="279" spans="1:12" x14ac:dyDescent="0.25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</row>
    <row r="281" spans="1:12" ht="18.75" x14ac:dyDescent="0.3">
      <c r="A281" s="190" t="s">
        <v>11</v>
      </c>
      <c r="B281" s="190"/>
      <c r="C281" s="190"/>
      <c r="D281" s="190"/>
      <c r="E281" s="190"/>
      <c r="F281" s="190"/>
      <c r="G281" s="190"/>
      <c r="H281" s="190"/>
      <c r="I281" s="190"/>
      <c r="J281" s="190"/>
      <c r="K281" s="190"/>
      <c r="L281" s="190"/>
    </row>
    <row r="282" spans="1:12" ht="18.75" x14ac:dyDescent="0.3">
      <c r="A282" s="142"/>
      <c r="B282" s="142"/>
      <c r="C282" s="142"/>
      <c r="D282" s="142"/>
      <c r="E282" s="142"/>
      <c r="F282" s="142"/>
      <c r="G282" s="142"/>
      <c r="H282" s="142"/>
      <c r="I282" s="142"/>
      <c r="J282" s="142"/>
      <c r="K282" s="142"/>
      <c r="L282" s="142"/>
    </row>
    <row r="283" spans="1:12" ht="18.75" x14ac:dyDescent="0.3">
      <c r="A283" s="191" t="s">
        <v>32</v>
      </c>
      <c r="B283" s="191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</row>
    <row r="284" spans="1:12" ht="18.75" x14ac:dyDescent="0.3">
      <c r="A284" s="191" t="s">
        <v>31</v>
      </c>
      <c r="B284" s="191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</row>
    <row r="285" spans="1:12" ht="18.75" x14ac:dyDescent="0.3">
      <c r="A285" s="143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</row>
    <row r="286" spans="1:12" ht="18.75" x14ac:dyDescent="0.3">
      <c r="A286" s="192" t="s">
        <v>78</v>
      </c>
      <c r="B286" s="193"/>
      <c r="C286" s="193"/>
      <c r="D286" s="193"/>
      <c r="E286" s="193"/>
      <c r="F286" s="193"/>
      <c r="G286" s="193"/>
      <c r="H286" s="193"/>
      <c r="I286" s="193"/>
      <c r="J286" s="193"/>
      <c r="K286" s="193"/>
      <c r="L286" s="194"/>
    </row>
    <row r="287" spans="1:12" ht="18.75" x14ac:dyDescent="0.25">
      <c r="A287" s="195" t="s">
        <v>12</v>
      </c>
      <c r="B287" s="197" t="s">
        <v>13</v>
      </c>
      <c r="C287" s="199" t="s">
        <v>14</v>
      </c>
      <c r="D287" s="199" t="s">
        <v>15</v>
      </c>
      <c r="E287" s="201" t="s">
        <v>16</v>
      </c>
      <c r="F287" s="202"/>
      <c r="G287" s="202"/>
      <c r="H287" s="202"/>
      <c r="I287" s="202"/>
      <c r="J287" s="203"/>
      <c r="K287" s="197" t="s">
        <v>17</v>
      </c>
      <c r="L287" s="197" t="s">
        <v>18</v>
      </c>
    </row>
    <row r="288" spans="1:12" ht="122.25" x14ac:dyDescent="0.25">
      <c r="A288" s="196"/>
      <c r="B288" s="198"/>
      <c r="C288" s="200"/>
      <c r="D288" s="200"/>
      <c r="E288" s="4" t="s">
        <v>19</v>
      </c>
      <c r="F288" s="4" t="s">
        <v>20</v>
      </c>
      <c r="G288" s="4" t="s">
        <v>21</v>
      </c>
      <c r="H288" s="4" t="s">
        <v>22</v>
      </c>
      <c r="I288" s="4" t="s">
        <v>23</v>
      </c>
      <c r="J288" s="4" t="s">
        <v>24</v>
      </c>
      <c r="K288" s="198"/>
      <c r="L288" s="198"/>
    </row>
    <row r="289" spans="1:12" ht="18.75" x14ac:dyDescent="0.25">
      <c r="A289" s="5">
        <v>211</v>
      </c>
      <c r="B289" s="5">
        <f>'218'!M56</f>
        <v>85</v>
      </c>
      <c r="C289" s="6">
        <f>'218'!P56</f>
        <v>17028.600000000002</v>
      </c>
      <c r="D289" s="6">
        <f>'218'!U56</f>
        <v>16841.600000000002</v>
      </c>
      <c r="E289" s="5">
        <v>4</v>
      </c>
      <c r="F289" s="5">
        <v>1</v>
      </c>
      <c r="G289" s="5" t="s">
        <v>41</v>
      </c>
      <c r="H289" s="6">
        <v>1.8</v>
      </c>
      <c r="I289" s="7">
        <v>37</v>
      </c>
      <c r="J289" s="6">
        <v>4.5</v>
      </c>
      <c r="K289" s="6">
        <v>2.5</v>
      </c>
      <c r="L289" s="6">
        <v>5</v>
      </c>
    </row>
    <row r="290" spans="1:12" ht="18.75" x14ac:dyDescent="0.25">
      <c r="A290" s="5">
        <v>211</v>
      </c>
      <c r="B290" s="5">
        <f>'218'!X56</f>
        <v>135</v>
      </c>
      <c r="C290" s="6">
        <f>'218'!AA56</f>
        <v>27058.1</v>
      </c>
      <c r="D290" s="6">
        <f>'218'!AF56</f>
        <v>26761.1</v>
      </c>
      <c r="E290" s="5">
        <v>4</v>
      </c>
      <c r="F290" s="5">
        <v>1</v>
      </c>
      <c r="G290" s="5" t="s">
        <v>53</v>
      </c>
      <c r="H290" s="6">
        <v>1.8</v>
      </c>
      <c r="I290" s="7">
        <v>37</v>
      </c>
      <c r="J290" s="6">
        <v>4.5</v>
      </c>
      <c r="K290" s="6">
        <v>3</v>
      </c>
      <c r="L290" s="6">
        <v>5</v>
      </c>
    </row>
    <row r="291" spans="1:12" ht="18.75" x14ac:dyDescent="0.25">
      <c r="A291" s="8" t="s">
        <v>25</v>
      </c>
      <c r="B291" s="8">
        <f>SUM(B289:B290)</f>
        <v>220</v>
      </c>
      <c r="C291" s="8">
        <f>SUM(C289:C290)</f>
        <v>44086.7</v>
      </c>
      <c r="D291" s="8">
        <f>SUM(D289:D290)</f>
        <v>43602.7</v>
      </c>
      <c r="E291" s="8"/>
      <c r="F291" s="5"/>
      <c r="G291" s="5"/>
      <c r="H291" s="6"/>
      <c r="I291" s="7"/>
      <c r="J291" s="6"/>
      <c r="K291" s="6"/>
      <c r="L291" s="6"/>
    </row>
    <row r="292" spans="1:12" ht="18.75" x14ac:dyDescent="0.25">
      <c r="A292" s="9"/>
      <c r="B292" s="9"/>
      <c r="C292" s="9"/>
      <c r="D292" s="9"/>
      <c r="E292" s="10"/>
      <c r="F292" s="10"/>
      <c r="G292" s="10"/>
      <c r="H292" s="10"/>
      <c r="I292" s="10"/>
      <c r="J292" s="10"/>
      <c r="K292" s="10"/>
      <c r="L292" s="10"/>
    </row>
    <row r="293" spans="1:12" ht="18.75" x14ac:dyDescent="0.3">
      <c r="A293" s="190" t="s">
        <v>26</v>
      </c>
      <c r="B293" s="190"/>
      <c r="C293" s="190"/>
      <c r="D293" s="190"/>
      <c r="E293" s="190"/>
      <c r="F293" s="190"/>
      <c r="G293" s="190"/>
      <c r="H293" s="11"/>
      <c r="I293" s="10"/>
      <c r="J293" s="11"/>
      <c r="K293" s="11"/>
      <c r="L293" s="11"/>
    </row>
    <row r="294" spans="1:12" ht="18.75" x14ac:dyDescent="0.3">
      <c r="A294" s="12" t="s">
        <v>27</v>
      </c>
      <c r="B294" s="190" t="s">
        <v>28</v>
      </c>
      <c r="C294" s="190"/>
      <c r="D294" s="190"/>
      <c r="E294" s="190"/>
      <c r="F294" s="190"/>
      <c r="G294" s="190" t="s">
        <v>29</v>
      </c>
      <c r="H294" s="190"/>
      <c r="I294" s="190" t="s">
        <v>30</v>
      </c>
      <c r="J294" s="190"/>
      <c r="K294" s="190"/>
      <c r="L294" s="190"/>
    </row>
    <row r="299" spans="1:12" ht="18.75" x14ac:dyDescent="0.3">
      <c r="A299" s="190" t="s">
        <v>11</v>
      </c>
      <c r="B299" s="190"/>
      <c r="C299" s="190"/>
      <c r="D299" s="190"/>
      <c r="E299" s="190"/>
      <c r="F299" s="190"/>
      <c r="G299" s="190"/>
      <c r="H299" s="190"/>
      <c r="I299" s="190"/>
      <c r="J299" s="190"/>
      <c r="K299" s="190"/>
      <c r="L299" s="190"/>
    </row>
    <row r="300" spans="1:12" ht="18.75" x14ac:dyDescent="0.3">
      <c r="A300" s="146"/>
      <c r="B300" s="146"/>
      <c r="C300" s="146"/>
      <c r="D300" s="146"/>
      <c r="E300" s="146"/>
      <c r="F300" s="146"/>
      <c r="G300" s="146"/>
      <c r="H300" s="146"/>
      <c r="I300" s="146"/>
      <c r="J300" s="146"/>
      <c r="K300" s="146"/>
      <c r="L300" s="146"/>
    </row>
    <row r="301" spans="1:12" ht="18.75" x14ac:dyDescent="0.3">
      <c r="A301" s="191" t="s">
        <v>32</v>
      </c>
      <c r="B301" s="191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</row>
    <row r="302" spans="1:12" ht="18.75" x14ac:dyDescent="0.3">
      <c r="A302" s="191" t="s">
        <v>31</v>
      </c>
      <c r="B302" s="191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</row>
    <row r="303" spans="1:12" ht="18.75" x14ac:dyDescent="0.3">
      <c r="A303" s="147"/>
      <c r="B303" s="147"/>
      <c r="C303" s="147"/>
      <c r="D303" s="147"/>
      <c r="E303" s="147"/>
      <c r="F303" s="147"/>
      <c r="G303" s="147"/>
      <c r="H303" s="147"/>
      <c r="I303" s="147"/>
      <c r="J303" s="147"/>
      <c r="K303" s="147"/>
      <c r="L303" s="147"/>
    </row>
    <row r="304" spans="1:12" ht="18.75" x14ac:dyDescent="0.3">
      <c r="A304" s="192" t="s">
        <v>79</v>
      </c>
      <c r="B304" s="193"/>
      <c r="C304" s="193"/>
      <c r="D304" s="193"/>
      <c r="E304" s="193"/>
      <c r="F304" s="193"/>
      <c r="G304" s="193"/>
      <c r="H304" s="193"/>
      <c r="I304" s="193"/>
      <c r="J304" s="193"/>
      <c r="K304" s="193"/>
      <c r="L304" s="194"/>
    </row>
    <row r="305" spans="1:12" ht="18.75" x14ac:dyDescent="0.25">
      <c r="A305" s="195" t="s">
        <v>12</v>
      </c>
      <c r="B305" s="197" t="s">
        <v>13</v>
      </c>
      <c r="C305" s="199" t="s">
        <v>14</v>
      </c>
      <c r="D305" s="199" t="s">
        <v>15</v>
      </c>
      <c r="E305" s="201" t="s">
        <v>16</v>
      </c>
      <c r="F305" s="202"/>
      <c r="G305" s="202"/>
      <c r="H305" s="202"/>
      <c r="I305" s="202"/>
      <c r="J305" s="203"/>
      <c r="K305" s="197" t="s">
        <v>17</v>
      </c>
      <c r="L305" s="197" t="s">
        <v>18</v>
      </c>
    </row>
    <row r="306" spans="1:12" ht="122.25" x14ac:dyDescent="0.25">
      <c r="A306" s="196"/>
      <c r="B306" s="198"/>
      <c r="C306" s="200"/>
      <c r="D306" s="200"/>
      <c r="E306" s="4" t="s">
        <v>19</v>
      </c>
      <c r="F306" s="4" t="s">
        <v>20</v>
      </c>
      <c r="G306" s="4" t="s">
        <v>21</v>
      </c>
      <c r="H306" s="4" t="s">
        <v>22</v>
      </c>
      <c r="I306" s="4" t="s">
        <v>23</v>
      </c>
      <c r="J306" s="4" t="s">
        <v>24</v>
      </c>
      <c r="K306" s="198"/>
      <c r="L306" s="198"/>
    </row>
    <row r="307" spans="1:12" ht="18.75" x14ac:dyDescent="0.25">
      <c r="A307" s="5">
        <v>211</v>
      </c>
      <c r="B307" s="5">
        <f>'219'!M56</f>
        <v>60</v>
      </c>
      <c r="C307" s="151">
        <f>'219'!P56</f>
        <v>11808</v>
      </c>
      <c r="D307" s="151">
        <f>'219'!U56</f>
        <v>11676</v>
      </c>
      <c r="E307" s="5">
        <v>4</v>
      </c>
      <c r="F307" s="5">
        <v>1</v>
      </c>
      <c r="G307" s="5" t="s">
        <v>41</v>
      </c>
      <c r="H307" s="6">
        <v>1.8</v>
      </c>
      <c r="I307" s="7">
        <v>37</v>
      </c>
      <c r="J307" s="6">
        <v>4.5</v>
      </c>
      <c r="K307" s="6">
        <v>2.5</v>
      </c>
      <c r="L307" s="6">
        <v>5</v>
      </c>
    </row>
    <row r="308" spans="1:12" ht="18.75" x14ac:dyDescent="0.25">
      <c r="A308" s="5">
        <v>211</v>
      </c>
      <c r="B308" s="5">
        <f>'219'!X56</f>
        <v>160</v>
      </c>
      <c r="C308" s="151">
        <f>'219'!AA56</f>
        <v>32272</v>
      </c>
      <c r="D308" s="151">
        <f>'219'!AF56</f>
        <v>31920</v>
      </c>
      <c r="E308" s="5">
        <v>4</v>
      </c>
      <c r="F308" s="5">
        <v>1</v>
      </c>
      <c r="G308" s="5" t="s">
        <v>53</v>
      </c>
      <c r="H308" s="6">
        <v>1.8</v>
      </c>
      <c r="I308" s="7">
        <v>37</v>
      </c>
      <c r="J308" s="6">
        <v>4.5</v>
      </c>
      <c r="K308" s="6">
        <v>3</v>
      </c>
      <c r="L308" s="6">
        <v>5</v>
      </c>
    </row>
    <row r="309" spans="1:12" ht="18.75" x14ac:dyDescent="0.25">
      <c r="A309" s="8" t="s">
        <v>25</v>
      </c>
      <c r="B309" s="8">
        <f>SUM(B307:B308)</f>
        <v>220</v>
      </c>
      <c r="C309" s="152">
        <f>SUM(C307:C308)</f>
        <v>44080</v>
      </c>
      <c r="D309" s="152">
        <f>SUM(D307:D308)</f>
        <v>43596</v>
      </c>
      <c r="E309" s="8"/>
      <c r="F309" s="5"/>
      <c r="G309" s="5"/>
      <c r="H309" s="6"/>
      <c r="I309" s="7"/>
      <c r="J309" s="6"/>
      <c r="K309" s="6"/>
      <c r="L309" s="6"/>
    </row>
    <row r="310" spans="1:12" ht="18.75" x14ac:dyDescent="0.25">
      <c r="A310" s="9"/>
      <c r="B310" s="9"/>
      <c r="C310" s="9"/>
      <c r="D310" s="9"/>
      <c r="E310" s="10"/>
      <c r="F310" s="10"/>
      <c r="G310" s="10"/>
      <c r="H310" s="10"/>
      <c r="I310" s="10"/>
      <c r="J310" s="10"/>
      <c r="K310" s="10"/>
      <c r="L310" s="10"/>
    </row>
    <row r="311" spans="1:12" ht="18.75" x14ac:dyDescent="0.3">
      <c r="A311" s="190" t="s">
        <v>26</v>
      </c>
      <c r="B311" s="190"/>
      <c r="C311" s="190"/>
      <c r="D311" s="190"/>
      <c r="E311" s="190"/>
      <c r="F311" s="190"/>
      <c r="G311" s="190"/>
      <c r="H311" s="11"/>
      <c r="I311" s="10"/>
      <c r="J311" s="11"/>
      <c r="K311" s="11"/>
      <c r="L311" s="11"/>
    </row>
    <row r="312" spans="1:12" ht="18.75" x14ac:dyDescent="0.3">
      <c r="A312" s="12" t="s">
        <v>27</v>
      </c>
      <c r="B312" s="190" t="s">
        <v>28</v>
      </c>
      <c r="C312" s="190"/>
      <c r="D312" s="190"/>
      <c r="E312" s="190"/>
      <c r="F312" s="190"/>
      <c r="G312" s="190" t="s">
        <v>29</v>
      </c>
      <c r="H312" s="190"/>
      <c r="I312" s="190" t="s">
        <v>30</v>
      </c>
      <c r="J312" s="190"/>
      <c r="K312" s="190"/>
      <c r="L312" s="190"/>
    </row>
    <row r="313" spans="1:12" x14ac:dyDescent="0.25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</row>
    <row r="316" spans="1:12" ht="18.75" x14ac:dyDescent="0.3">
      <c r="A316" s="190" t="s">
        <v>11</v>
      </c>
      <c r="B316" s="190"/>
      <c r="C316" s="190"/>
      <c r="D316" s="190"/>
      <c r="E316" s="190"/>
      <c r="F316" s="190"/>
      <c r="G316" s="190"/>
      <c r="H316" s="190"/>
      <c r="I316" s="190"/>
      <c r="J316" s="190"/>
      <c r="K316" s="190"/>
      <c r="L316" s="190"/>
    </row>
    <row r="317" spans="1:12" ht="18.75" x14ac:dyDescent="0.3">
      <c r="A317" s="154"/>
      <c r="B317" s="154"/>
      <c r="C317" s="154"/>
      <c r="D317" s="154"/>
      <c r="E317" s="154"/>
      <c r="F317" s="154"/>
      <c r="G317" s="154"/>
      <c r="H317" s="154"/>
      <c r="I317" s="154"/>
      <c r="J317" s="154"/>
      <c r="K317" s="154"/>
      <c r="L317" s="154"/>
    </row>
    <row r="318" spans="1:12" ht="18.75" x14ac:dyDescent="0.3">
      <c r="A318" s="191" t="s">
        <v>32</v>
      </c>
      <c r="B318" s="191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</row>
    <row r="319" spans="1:12" ht="18.75" x14ac:dyDescent="0.3">
      <c r="A319" s="191" t="s">
        <v>31</v>
      </c>
      <c r="B319" s="191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</row>
    <row r="320" spans="1:12" ht="18.75" x14ac:dyDescent="0.3">
      <c r="A320" s="155"/>
      <c r="B320" s="155"/>
      <c r="C320" s="155"/>
      <c r="D320" s="155"/>
      <c r="E320" s="155"/>
      <c r="F320" s="155"/>
      <c r="G320" s="155"/>
      <c r="H320" s="155"/>
      <c r="I320" s="155"/>
      <c r="J320" s="155"/>
      <c r="K320" s="155"/>
      <c r="L320" s="155"/>
    </row>
    <row r="321" spans="1:12" ht="18.75" x14ac:dyDescent="0.3">
      <c r="A321" s="192" t="s">
        <v>80</v>
      </c>
      <c r="B321" s="193"/>
      <c r="C321" s="193"/>
      <c r="D321" s="193"/>
      <c r="E321" s="193"/>
      <c r="F321" s="193"/>
      <c r="G321" s="193"/>
      <c r="H321" s="193"/>
      <c r="I321" s="193"/>
      <c r="J321" s="193"/>
      <c r="K321" s="193"/>
      <c r="L321" s="194"/>
    </row>
    <row r="322" spans="1:12" ht="18.75" x14ac:dyDescent="0.25">
      <c r="A322" s="195" t="s">
        <v>12</v>
      </c>
      <c r="B322" s="197" t="s">
        <v>13</v>
      </c>
      <c r="C322" s="199" t="s">
        <v>14</v>
      </c>
      <c r="D322" s="199" t="s">
        <v>15</v>
      </c>
      <c r="E322" s="201" t="s">
        <v>16</v>
      </c>
      <c r="F322" s="202"/>
      <c r="G322" s="202"/>
      <c r="H322" s="202"/>
      <c r="I322" s="202"/>
      <c r="J322" s="203"/>
      <c r="K322" s="197" t="s">
        <v>17</v>
      </c>
      <c r="L322" s="197" t="s">
        <v>18</v>
      </c>
    </row>
    <row r="323" spans="1:12" ht="122.25" x14ac:dyDescent="0.25">
      <c r="A323" s="196"/>
      <c r="B323" s="198"/>
      <c r="C323" s="200"/>
      <c r="D323" s="200"/>
      <c r="E323" s="4" t="s">
        <v>19</v>
      </c>
      <c r="F323" s="4" t="s">
        <v>20</v>
      </c>
      <c r="G323" s="4" t="s">
        <v>21</v>
      </c>
      <c r="H323" s="4" t="s">
        <v>22</v>
      </c>
      <c r="I323" s="4" t="s">
        <v>23</v>
      </c>
      <c r="J323" s="4" t="s">
        <v>24</v>
      </c>
      <c r="K323" s="198"/>
      <c r="L323" s="198"/>
    </row>
    <row r="324" spans="1:12" ht="18.75" x14ac:dyDescent="0.25">
      <c r="A324" s="5">
        <v>211</v>
      </c>
      <c r="B324" s="151">
        <f>'220'!M56</f>
        <v>220</v>
      </c>
      <c r="C324" s="151">
        <f>'220'!P56</f>
        <v>44883.700000000004</v>
      </c>
      <c r="D324" s="151">
        <f>'220'!U56</f>
        <v>44399.700000000004</v>
      </c>
      <c r="E324" s="5">
        <v>4</v>
      </c>
      <c r="F324" s="5">
        <v>1</v>
      </c>
      <c r="G324" s="5" t="s">
        <v>53</v>
      </c>
      <c r="H324" s="6">
        <v>1.8</v>
      </c>
      <c r="I324" s="7">
        <v>37</v>
      </c>
      <c r="J324" s="6">
        <v>4.5</v>
      </c>
      <c r="K324" s="6">
        <v>3</v>
      </c>
      <c r="L324" s="6">
        <v>5</v>
      </c>
    </row>
    <row r="325" spans="1:12" ht="18.75" x14ac:dyDescent="0.25">
      <c r="A325" s="8" t="s">
        <v>25</v>
      </c>
      <c r="B325" s="152">
        <f>SUM(B324:B324)</f>
        <v>220</v>
      </c>
      <c r="C325" s="152">
        <f>SUM(C324:C324)</f>
        <v>44883.700000000004</v>
      </c>
      <c r="D325" s="152">
        <f>SUM(D324:D324)</f>
        <v>44399.700000000004</v>
      </c>
      <c r="E325" s="8"/>
      <c r="F325" s="5"/>
      <c r="G325" s="5"/>
      <c r="H325" s="6"/>
      <c r="I325" s="7"/>
      <c r="J325" s="6"/>
      <c r="K325" s="6"/>
      <c r="L325" s="6"/>
    </row>
    <row r="326" spans="1:12" ht="18.75" x14ac:dyDescent="0.25">
      <c r="A326" s="9"/>
      <c r="B326" s="9"/>
      <c r="C326" s="9"/>
      <c r="D326" s="9"/>
      <c r="E326" s="10"/>
      <c r="F326" s="10"/>
      <c r="G326" s="10"/>
      <c r="H326" s="10"/>
      <c r="I326" s="10"/>
      <c r="J326" s="10"/>
      <c r="K326" s="10"/>
      <c r="L326" s="10"/>
    </row>
    <row r="327" spans="1:12" ht="18.75" x14ac:dyDescent="0.3">
      <c r="A327" s="190" t="s">
        <v>26</v>
      </c>
      <c r="B327" s="190"/>
      <c r="C327" s="190"/>
      <c r="D327" s="190"/>
      <c r="E327" s="190"/>
      <c r="F327" s="190"/>
      <c r="G327" s="190"/>
      <c r="H327" s="11"/>
      <c r="I327" s="10"/>
      <c r="J327" s="11"/>
      <c r="K327" s="11"/>
      <c r="L327" s="11"/>
    </row>
    <row r="328" spans="1:12" ht="18.75" x14ac:dyDescent="0.3">
      <c r="A328" s="12" t="s">
        <v>27</v>
      </c>
      <c r="B328" s="190" t="s">
        <v>28</v>
      </c>
      <c r="C328" s="190"/>
      <c r="D328" s="190"/>
      <c r="E328" s="190"/>
      <c r="F328" s="190"/>
      <c r="G328" s="190" t="s">
        <v>29</v>
      </c>
      <c r="H328" s="190"/>
      <c r="I328" s="190" t="s">
        <v>30</v>
      </c>
      <c r="J328" s="190"/>
      <c r="K328" s="190"/>
      <c r="L328" s="190"/>
    </row>
    <row r="329" spans="1:12" x14ac:dyDescent="0.25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</row>
    <row r="332" spans="1:12" ht="18.75" x14ac:dyDescent="0.3">
      <c r="A332" s="190" t="s">
        <v>11</v>
      </c>
      <c r="B332" s="190"/>
      <c r="C332" s="190"/>
      <c r="D332" s="190"/>
      <c r="E332" s="190"/>
      <c r="F332" s="190"/>
      <c r="G332" s="190"/>
      <c r="H332" s="190"/>
      <c r="I332" s="190"/>
      <c r="J332" s="190"/>
      <c r="K332" s="190"/>
      <c r="L332" s="190"/>
    </row>
    <row r="333" spans="1:12" ht="18.75" x14ac:dyDescent="0.3">
      <c r="A333" s="154"/>
      <c r="B333" s="154"/>
      <c r="C333" s="154"/>
      <c r="D333" s="154"/>
      <c r="E333" s="154"/>
      <c r="F333" s="154"/>
      <c r="G333" s="154"/>
      <c r="H333" s="154"/>
      <c r="I333" s="154"/>
      <c r="J333" s="154"/>
      <c r="K333" s="154"/>
      <c r="L333" s="154"/>
    </row>
    <row r="334" spans="1:12" ht="18.75" x14ac:dyDescent="0.3">
      <c r="A334" s="191" t="s">
        <v>32</v>
      </c>
      <c r="B334" s="191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</row>
    <row r="335" spans="1:12" ht="18.75" x14ac:dyDescent="0.3">
      <c r="A335" s="191" t="s">
        <v>31</v>
      </c>
      <c r="B335" s="191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</row>
    <row r="336" spans="1:12" ht="18.75" x14ac:dyDescent="0.3">
      <c r="A336" s="155"/>
      <c r="B336" s="155"/>
      <c r="C336" s="155"/>
      <c r="D336" s="155"/>
      <c r="E336" s="155"/>
      <c r="F336" s="155"/>
      <c r="G336" s="155"/>
      <c r="H336" s="155"/>
      <c r="I336" s="155"/>
      <c r="J336" s="155"/>
      <c r="K336" s="155"/>
      <c r="L336" s="155"/>
    </row>
    <row r="337" spans="1:12" ht="18.75" x14ac:dyDescent="0.3">
      <c r="A337" s="192" t="s">
        <v>83</v>
      </c>
      <c r="B337" s="193"/>
      <c r="C337" s="193"/>
      <c r="D337" s="193"/>
      <c r="E337" s="193"/>
      <c r="F337" s="193"/>
      <c r="G337" s="193"/>
      <c r="H337" s="193"/>
      <c r="I337" s="193"/>
      <c r="J337" s="193"/>
      <c r="K337" s="193"/>
      <c r="L337" s="194"/>
    </row>
    <row r="338" spans="1:12" ht="18.75" x14ac:dyDescent="0.25">
      <c r="A338" s="195" t="s">
        <v>12</v>
      </c>
      <c r="B338" s="197" t="s">
        <v>13</v>
      </c>
      <c r="C338" s="199" t="s">
        <v>14</v>
      </c>
      <c r="D338" s="199" t="s">
        <v>15</v>
      </c>
      <c r="E338" s="201" t="s">
        <v>16</v>
      </c>
      <c r="F338" s="202"/>
      <c r="G338" s="202"/>
      <c r="H338" s="202"/>
      <c r="I338" s="202"/>
      <c r="J338" s="203"/>
      <c r="K338" s="197" t="s">
        <v>17</v>
      </c>
      <c r="L338" s="197" t="s">
        <v>18</v>
      </c>
    </row>
    <row r="339" spans="1:12" ht="122.25" x14ac:dyDescent="0.25">
      <c r="A339" s="196"/>
      <c r="B339" s="198"/>
      <c r="C339" s="200"/>
      <c r="D339" s="200"/>
      <c r="E339" s="4" t="s">
        <v>19</v>
      </c>
      <c r="F339" s="4" t="s">
        <v>20</v>
      </c>
      <c r="G339" s="4" t="s">
        <v>21</v>
      </c>
      <c r="H339" s="4" t="s">
        <v>22</v>
      </c>
      <c r="I339" s="4" t="s">
        <v>23</v>
      </c>
      <c r="J339" s="4" t="s">
        <v>24</v>
      </c>
      <c r="K339" s="198"/>
      <c r="L339" s="198"/>
    </row>
    <row r="340" spans="1:12" ht="18.75" x14ac:dyDescent="0.25">
      <c r="A340" s="5">
        <v>211</v>
      </c>
      <c r="B340" s="151">
        <f>'221'!M56</f>
        <v>171</v>
      </c>
      <c r="C340" s="151">
        <f>'221'!P56</f>
        <v>33695.800000000003</v>
      </c>
      <c r="D340" s="151">
        <f>'221'!U56</f>
        <v>33319.600000000006</v>
      </c>
      <c r="E340" s="144">
        <v>1</v>
      </c>
      <c r="F340" s="5">
        <v>1</v>
      </c>
      <c r="G340" s="5" t="s">
        <v>41</v>
      </c>
      <c r="H340" s="6">
        <v>1.8</v>
      </c>
      <c r="I340" s="145">
        <v>41</v>
      </c>
      <c r="J340" s="6"/>
      <c r="K340" s="6">
        <v>2.5</v>
      </c>
      <c r="L340" s="6">
        <v>5</v>
      </c>
    </row>
    <row r="341" spans="1:12" ht="18.75" x14ac:dyDescent="0.25">
      <c r="A341" s="8" t="s">
        <v>25</v>
      </c>
      <c r="B341" s="152">
        <f>SUM(B340:B340)</f>
        <v>171</v>
      </c>
      <c r="C341" s="152">
        <f>SUM(C340:C340)</f>
        <v>33695.800000000003</v>
      </c>
      <c r="D341" s="152">
        <f>SUM(D340:D340)</f>
        <v>33319.600000000006</v>
      </c>
      <c r="E341" s="8"/>
      <c r="F341" s="5"/>
      <c r="G341" s="5"/>
      <c r="H341" s="6"/>
      <c r="I341" s="7"/>
      <c r="J341" s="6"/>
      <c r="K341" s="6"/>
      <c r="L341" s="6"/>
    </row>
    <row r="342" spans="1:12" ht="18.75" x14ac:dyDescent="0.25">
      <c r="A342" s="9"/>
      <c r="B342" s="9"/>
      <c r="C342" s="9"/>
      <c r="D342" s="9"/>
      <c r="E342" s="10"/>
      <c r="F342" s="10"/>
      <c r="G342" s="10"/>
      <c r="H342" s="10"/>
      <c r="I342" s="10"/>
      <c r="J342" s="10"/>
      <c r="K342" s="10"/>
      <c r="L342" s="10"/>
    </row>
    <row r="343" spans="1:12" ht="18.75" x14ac:dyDescent="0.3">
      <c r="A343" s="190" t="s">
        <v>26</v>
      </c>
      <c r="B343" s="190"/>
      <c r="C343" s="190"/>
      <c r="D343" s="190"/>
      <c r="E343" s="190"/>
      <c r="F343" s="190"/>
      <c r="G343" s="190"/>
      <c r="H343" s="11"/>
      <c r="I343" s="10"/>
      <c r="J343" s="11"/>
      <c r="K343" s="11"/>
      <c r="L343" s="11"/>
    </row>
    <row r="344" spans="1:12" ht="18.75" x14ac:dyDescent="0.3">
      <c r="A344" s="12" t="s">
        <v>27</v>
      </c>
      <c r="B344" s="190" t="s">
        <v>28</v>
      </c>
      <c r="C344" s="190"/>
      <c r="D344" s="190"/>
      <c r="E344" s="190"/>
      <c r="F344" s="190"/>
      <c r="G344" s="190" t="s">
        <v>29</v>
      </c>
      <c r="H344" s="190"/>
      <c r="I344" s="190" t="s">
        <v>30</v>
      </c>
      <c r="J344" s="190"/>
      <c r="K344" s="190"/>
      <c r="L344" s="190"/>
    </row>
    <row r="345" spans="1:12" x14ac:dyDescent="0.2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</row>
    <row r="349" spans="1:12" ht="18.75" x14ac:dyDescent="0.3">
      <c r="A349" s="190" t="s">
        <v>11</v>
      </c>
      <c r="B349" s="190"/>
      <c r="C349" s="190"/>
      <c r="D349" s="190"/>
      <c r="E349" s="190"/>
      <c r="F349" s="190"/>
      <c r="G349" s="190"/>
      <c r="H349" s="190"/>
      <c r="I349" s="190"/>
      <c r="J349" s="190"/>
      <c r="K349" s="190"/>
      <c r="L349" s="190"/>
    </row>
    <row r="350" spans="1:12" ht="18.75" x14ac:dyDescent="0.3">
      <c r="A350" s="154"/>
      <c r="B350" s="154"/>
      <c r="C350" s="154"/>
      <c r="D350" s="154"/>
      <c r="E350" s="154"/>
      <c r="F350" s="154"/>
      <c r="G350" s="154"/>
      <c r="H350" s="154"/>
      <c r="I350" s="154"/>
      <c r="J350" s="154"/>
      <c r="K350" s="154"/>
      <c r="L350" s="154"/>
    </row>
    <row r="351" spans="1:12" ht="18.75" x14ac:dyDescent="0.3">
      <c r="A351" s="191" t="s">
        <v>32</v>
      </c>
      <c r="B351" s="191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</row>
    <row r="352" spans="1:12" ht="18.75" x14ac:dyDescent="0.3">
      <c r="A352" s="191" t="s">
        <v>31</v>
      </c>
      <c r="B352" s="191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</row>
    <row r="353" spans="1:12" ht="18.75" x14ac:dyDescent="0.3">
      <c r="A353" s="155"/>
      <c r="B353" s="155"/>
      <c r="C353" s="155"/>
      <c r="D353" s="155"/>
      <c r="E353" s="155"/>
      <c r="F353" s="155"/>
      <c r="G353" s="155"/>
      <c r="H353" s="155"/>
      <c r="I353" s="155"/>
      <c r="J353" s="155"/>
      <c r="K353" s="155"/>
      <c r="L353" s="155"/>
    </row>
    <row r="354" spans="1:12" ht="18.75" x14ac:dyDescent="0.3">
      <c r="A354" s="192" t="s">
        <v>82</v>
      </c>
      <c r="B354" s="193"/>
      <c r="C354" s="193"/>
      <c r="D354" s="193"/>
      <c r="E354" s="193"/>
      <c r="F354" s="193"/>
      <c r="G354" s="193"/>
      <c r="H354" s="193"/>
      <c r="I354" s="193"/>
      <c r="J354" s="193"/>
      <c r="K354" s="193"/>
      <c r="L354" s="194"/>
    </row>
    <row r="355" spans="1:12" ht="18.75" x14ac:dyDescent="0.25">
      <c r="A355" s="195" t="s">
        <v>12</v>
      </c>
      <c r="B355" s="197" t="s">
        <v>13</v>
      </c>
      <c r="C355" s="199" t="s">
        <v>14</v>
      </c>
      <c r="D355" s="199" t="s">
        <v>15</v>
      </c>
      <c r="E355" s="201" t="s">
        <v>16</v>
      </c>
      <c r="F355" s="202"/>
      <c r="G355" s="202"/>
      <c r="H355" s="202"/>
      <c r="I355" s="202"/>
      <c r="J355" s="203"/>
      <c r="K355" s="197" t="s">
        <v>17</v>
      </c>
      <c r="L355" s="197" t="s">
        <v>18</v>
      </c>
    </row>
    <row r="356" spans="1:12" ht="122.25" x14ac:dyDescent="0.25">
      <c r="A356" s="196"/>
      <c r="B356" s="198"/>
      <c r="C356" s="200"/>
      <c r="D356" s="200"/>
      <c r="E356" s="4" t="s">
        <v>19</v>
      </c>
      <c r="F356" s="4" t="s">
        <v>20</v>
      </c>
      <c r="G356" s="4" t="s">
        <v>21</v>
      </c>
      <c r="H356" s="4" t="s">
        <v>22</v>
      </c>
      <c r="I356" s="4" t="s">
        <v>23</v>
      </c>
      <c r="J356" s="4" t="s">
        <v>24</v>
      </c>
      <c r="K356" s="198"/>
      <c r="L356" s="198"/>
    </row>
    <row r="357" spans="1:12" ht="18.75" x14ac:dyDescent="0.25">
      <c r="A357" s="5">
        <v>211</v>
      </c>
      <c r="B357" s="5">
        <f>'222'!M56</f>
        <v>139</v>
      </c>
      <c r="C357" s="151">
        <f>'222'!P56</f>
        <v>27957.300000000003</v>
      </c>
      <c r="D357" s="151">
        <f>'222'!U56</f>
        <v>27651.500000000004</v>
      </c>
      <c r="E357" s="144">
        <v>4</v>
      </c>
      <c r="F357" s="5">
        <v>1</v>
      </c>
      <c r="G357" s="5" t="s">
        <v>41</v>
      </c>
      <c r="H357" s="6">
        <v>1.8</v>
      </c>
      <c r="I357" s="145">
        <v>37</v>
      </c>
      <c r="J357" s="6">
        <v>4.5</v>
      </c>
      <c r="K357" s="6">
        <v>2.5</v>
      </c>
      <c r="L357" s="6">
        <v>5</v>
      </c>
    </row>
    <row r="358" spans="1:12" ht="18.75" x14ac:dyDescent="0.25">
      <c r="A358" s="5">
        <v>211</v>
      </c>
      <c r="B358" s="5">
        <f>'222'!X56</f>
        <v>81</v>
      </c>
      <c r="C358" s="151">
        <f>'222'!AA56</f>
        <v>16355.499999999996</v>
      </c>
      <c r="D358" s="151">
        <f>'222'!AF56</f>
        <v>16177.299999999996</v>
      </c>
      <c r="E358" s="144">
        <v>4</v>
      </c>
      <c r="F358" s="5">
        <v>1</v>
      </c>
      <c r="G358" s="5" t="s">
        <v>53</v>
      </c>
      <c r="H358" s="6">
        <v>1.8</v>
      </c>
      <c r="I358" s="145">
        <v>37</v>
      </c>
      <c r="J358" s="6">
        <v>4.5</v>
      </c>
      <c r="K358" s="6">
        <v>3</v>
      </c>
      <c r="L358" s="6">
        <v>5</v>
      </c>
    </row>
    <row r="359" spans="1:12" ht="18.75" x14ac:dyDescent="0.25">
      <c r="A359" s="8" t="s">
        <v>25</v>
      </c>
      <c r="B359" s="8">
        <f>SUM(B357:B358)</f>
        <v>220</v>
      </c>
      <c r="C359" s="152">
        <f>SUM(C357:C358)</f>
        <v>44312.800000000003</v>
      </c>
      <c r="D359" s="152">
        <f>SUM(D357:D358)</f>
        <v>43828.800000000003</v>
      </c>
      <c r="E359" s="8"/>
      <c r="F359" s="5"/>
      <c r="G359" s="5"/>
      <c r="H359" s="6"/>
      <c r="I359" s="7"/>
      <c r="J359" s="6"/>
      <c r="K359" s="6"/>
      <c r="L359" s="6"/>
    </row>
    <row r="360" spans="1:12" ht="18.75" x14ac:dyDescent="0.25">
      <c r="A360" s="9"/>
      <c r="B360" s="9"/>
      <c r="C360" s="9"/>
      <c r="D360" s="9"/>
      <c r="E360" s="10"/>
      <c r="F360" s="10"/>
      <c r="G360" s="10"/>
      <c r="H360" s="10"/>
      <c r="I360" s="10"/>
      <c r="J360" s="10"/>
      <c r="K360" s="10"/>
      <c r="L360" s="10"/>
    </row>
    <row r="361" spans="1:12" ht="18.75" x14ac:dyDescent="0.3">
      <c r="A361" s="190" t="s">
        <v>26</v>
      </c>
      <c r="B361" s="190"/>
      <c r="C361" s="190"/>
      <c r="D361" s="190"/>
      <c r="E361" s="190"/>
      <c r="F361" s="190"/>
      <c r="G361" s="190"/>
      <c r="H361" s="11"/>
      <c r="I361" s="10"/>
      <c r="J361" s="11"/>
      <c r="K361" s="11"/>
      <c r="L361" s="11"/>
    </row>
    <row r="362" spans="1:12" ht="18.75" x14ac:dyDescent="0.3">
      <c r="A362" s="12" t="s">
        <v>27</v>
      </c>
      <c r="B362" s="190" t="s">
        <v>28</v>
      </c>
      <c r="C362" s="190"/>
      <c r="D362" s="190"/>
      <c r="E362" s="190"/>
      <c r="F362" s="190"/>
      <c r="G362" s="190" t="s">
        <v>29</v>
      </c>
      <c r="H362" s="190"/>
      <c r="I362" s="190" t="s">
        <v>30</v>
      </c>
      <c r="J362" s="190"/>
      <c r="K362" s="190"/>
      <c r="L362" s="190"/>
    </row>
    <row r="365" spans="1:12" ht="18.75" x14ac:dyDescent="0.3">
      <c r="A365" s="190" t="s">
        <v>11</v>
      </c>
      <c r="B365" s="190"/>
      <c r="C365" s="190"/>
      <c r="D365" s="190"/>
      <c r="E365" s="190"/>
      <c r="F365" s="190"/>
      <c r="G365" s="190"/>
      <c r="H365" s="190"/>
      <c r="I365" s="190"/>
      <c r="J365" s="190"/>
      <c r="K365" s="190"/>
      <c r="L365" s="190"/>
    </row>
    <row r="366" spans="1:12" ht="18.75" x14ac:dyDescent="0.3">
      <c r="A366" s="157"/>
      <c r="B366" s="157"/>
      <c r="C366" s="157"/>
      <c r="D366" s="157"/>
      <c r="E366" s="157"/>
      <c r="F366" s="157"/>
      <c r="G366" s="157"/>
      <c r="H366" s="157"/>
      <c r="I366" s="157"/>
      <c r="J366" s="157"/>
      <c r="K366" s="157"/>
      <c r="L366" s="157"/>
    </row>
    <row r="367" spans="1:12" ht="18.75" x14ac:dyDescent="0.3">
      <c r="A367" s="191" t="s">
        <v>32</v>
      </c>
      <c r="B367" s="191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</row>
    <row r="368" spans="1:12" ht="18.75" x14ac:dyDescent="0.3">
      <c r="A368" s="191" t="s">
        <v>31</v>
      </c>
      <c r="B368" s="191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</row>
    <row r="369" spans="1:12" ht="18.75" x14ac:dyDescent="0.3">
      <c r="A369" s="158"/>
      <c r="B369" s="158"/>
      <c r="C369" s="158"/>
      <c r="D369" s="158"/>
      <c r="E369" s="158"/>
      <c r="F369" s="158"/>
      <c r="G369" s="158"/>
      <c r="H369" s="158"/>
      <c r="I369" s="158"/>
      <c r="J369" s="158"/>
      <c r="K369" s="158"/>
      <c r="L369" s="158"/>
    </row>
    <row r="370" spans="1:12" ht="18.75" x14ac:dyDescent="0.3">
      <c r="A370" s="192" t="s">
        <v>84</v>
      </c>
      <c r="B370" s="193"/>
      <c r="C370" s="193"/>
      <c r="D370" s="193"/>
      <c r="E370" s="193"/>
      <c r="F370" s="193"/>
      <c r="G370" s="193"/>
      <c r="H370" s="193"/>
      <c r="I370" s="193"/>
      <c r="J370" s="193"/>
      <c r="K370" s="193"/>
      <c r="L370" s="194"/>
    </row>
    <row r="371" spans="1:12" ht="18.75" x14ac:dyDescent="0.25">
      <c r="A371" s="195" t="s">
        <v>12</v>
      </c>
      <c r="B371" s="197" t="s">
        <v>13</v>
      </c>
      <c r="C371" s="199" t="s">
        <v>14</v>
      </c>
      <c r="D371" s="199" t="s">
        <v>15</v>
      </c>
      <c r="E371" s="201" t="s">
        <v>16</v>
      </c>
      <c r="F371" s="202"/>
      <c r="G371" s="202"/>
      <c r="H371" s="202"/>
      <c r="I371" s="202"/>
      <c r="J371" s="203"/>
      <c r="K371" s="197" t="s">
        <v>17</v>
      </c>
      <c r="L371" s="197" t="s">
        <v>18</v>
      </c>
    </row>
    <row r="372" spans="1:12" ht="122.25" x14ac:dyDescent="0.25">
      <c r="A372" s="196"/>
      <c r="B372" s="198"/>
      <c r="C372" s="200"/>
      <c r="D372" s="200"/>
      <c r="E372" s="4" t="s">
        <v>19</v>
      </c>
      <c r="F372" s="4" t="s">
        <v>20</v>
      </c>
      <c r="G372" s="4" t="s">
        <v>21</v>
      </c>
      <c r="H372" s="4" t="s">
        <v>22</v>
      </c>
      <c r="I372" s="4" t="s">
        <v>23</v>
      </c>
      <c r="J372" s="4" t="s">
        <v>24</v>
      </c>
      <c r="K372" s="198"/>
      <c r="L372" s="198"/>
    </row>
    <row r="373" spans="1:12" ht="18.75" x14ac:dyDescent="0.25">
      <c r="A373" s="5">
        <v>211</v>
      </c>
      <c r="B373" s="5">
        <f>'223'!M56</f>
        <v>104</v>
      </c>
      <c r="C373" s="151">
        <f>'223'!P56</f>
        <v>21055.800000000003</v>
      </c>
      <c r="D373" s="151">
        <f>'223'!U56</f>
        <v>20827.000000000004</v>
      </c>
      <c r="E373" s="144">
        <v>4</v>
      </c>
      <c r="F373" s="5">
        <v>1</v>
      </c>
      <c r="G373" s="5" t="s">
        <v>41</v>
      </c>
      <c r="H373" s="6">
        <v>1.8</v>
      </c>
      <c r="I373" s="145">
        <v>37</v>
      </c>
      <c r="J373" s="6">
        <v>4.5</v>
      </c>
      <c r="K373" s="6">
        <v>2.5</v>
      </c>
      <c r="L373" s="6">
        <v>5</v>
      </c>
    </row>
    <row r="374" spans="1:12" ht="18.75" x14ac:dyDescent="0.25">
      <c r="A374" s="5">
        <v>211</v>
      </c>
      <c r="B374" s="5">
        <f>'223'!X56</f>
        <v>116</v>
      </c>
      <c r="C374" s="151">
        <f>'223'!AA56</f>
        <v>23361.8</v>
      </c>
      <c r="D374" s="151">
        <f>'223'!AF56</f>
        <v>23106.6</v>
      </c>
      <c r="E374" s="144">
        <v>4</v>
      </c>
      <c r="F374" s="5">
        <v>1</v>
      </c>
      <c r="G374" s="5" t="s">
        <v>53</v>
      </c>
      <c r="H374" s="6">
        <v>1.8</v>
      </c>
      <c r="I374" s="145">
        <v>37</v>
      </c>
      <c r="J374" s="6">
        <v>4.5</v>
      </c>
      <c r="K374" s="6">
        <v>3</v>
      </c>
      <c r="L374" s="6">
        <v>5</v>
      </c>
    </row>
    <row r="375" spans="1:12" ht="18.75" x14ac:dyDescent="0.25">
      <c r="A375" s="8" t="s">
        <v>25</v>
      </c>
      <c r="B375" s="8">
        <f>SUM(B373:B374)</f>
        <v>220</v>
      </c>
      <c r="C375" s="152">
        <f>SUM(C373:C374)</f>
        <v>44417.600000000006</v>
      </c>
      <c r="D375" s="152">
        <f>SUM(D373:D374)</f>
        <v>43933.600000000006</v>
      </c>
      <c r="E375" s="8"/>
      <c r="F375" s="5"/>
      <c r="G375" s="5"/>
      <c r="H375" s="6"/>
      <c r="I375" s="7"/>
      <c r="J375" s="6"/>
      <c r="K375" s="6"/>
      <c r="L375" s="6"/>
    </row>
    <row r="376" spans="1:12" ht="18.75" x14ac:dyDescent="0.25">
      <c r="A376" s="9"/>
      <c r="B376" s="9"/>
      <c r="C376" s="9"/>
      <c r="D376" s="9"/>
      <c r="E376" s="10"/>
      <c r="F376" s="10"/>
      <c r="G376" s="10"/>
      <c r="H376" s="10"/>
      <c r="I376" s="10"/>
      <c r="J376" s="10"/>
      <c r="K376" s="10"/>
      <c r="L376" s="10"/>
    </row>
    <row r="377" spans="1:12" ht="18.75" x14ac:dyDescent="0.3">
      <c r="A377" s="190" t="s">
        <v>26</v>
      </c>
      <c r="B377" s="190"/>
      <c r="C377" s="190"/>
      <c r="D377" s="190"/>
      <c r="E377" s="190"/>
      <c r="F377" s="190"/>
      <c r="G377" s="190"/>
      <c r="H377" s="11"/>
      <c r="I377" s="10"/>
      <c r="J377" s="11"/>
      <c r="K377" s="11"/>
      <c r="L377" s="11"/>
    </row>
    <row r="378" spans="1:12" ht="18.75" x14ac:dyDescent="0.3">
      <c r="A378" s="12" t="s">
        <v>27</v>
      </c>
      <c r="B378" s="190" t="s">
        <v>28</v>
      </c>
      <c r="C378" s="190"/>
      <c r="D378" s="190"/>
      <c r="E378" s="190"/>
      <c r="F378" s="190"/>
      <c r="G378" s="190" t="s">
        <v>29</v>
      </c>
      <c r="H378" s="190"/>
      <c r="I378" s="190" t="s">
        <v>30</v>
      </c>
      <c r="J378" s="190"/>
      <c r="K378" s="190"/>
      <c r="L378" s="190"/>
    </row>
    <row r="381" spans="1:12" ht="18.75" x14ac:dyDescent="0.3">
      <c r="A381" s="190" t="s">
        <v>11</v>
      </c>
      <c r="B381" s="190"/>
      <c r="C381" s="190"/>
      <c r="D381" s="190"/>
      <c r="E381" s="190"/>
      <c r="F381" s="190"/>
      <c r="G381" s="190"/>
      <c r="H381" s="190"/>
      <c r="I381" s="190"/>
      <c r="J381" s="190"/>
      <c r="K381" s="190"/>
      <c r="L381" s="190"/>
    </row>
    <row r="382" spans="1:12" ht="18.75" x14ac:dyDescent="0.3">
      <c r="A382" s="159"/>
      <c r="B382" s="159"/>
      <c r="C382" s="159"/>
      <c r="D382" s="159"/>
      <c r="E382" s="159"/>
      <c r="F382" s="159"/>
      <c r="G382" s="159"/>
      <c r="H382" s="159"/>
      <c r="I382" s="159"/>
      <c r="J382" s="159"/>
      <c r="K382" s="159"/>
      <c r="L382" s="159"/>
    </row>
    <row r="383" spans="1:12" ht="18.75" x14ac:dyDescent="0.3">
      <c r="A383" s="191" t="s">
        <v>32</v>
      </c>
      <c r="B383" s="191"/>
      <c r="C383" s="191"/>
      <c r="D383" s="191"/>
      <c r="E383" s="191"/>
      <c r="F383" s="191"/>
      <c r="G383" s="191"/>
      <c r="H383" s="191"/>
      <c r="I383" s="191"/>
      <c r="J383" s="191"/>
      <c r="K383" s="191"/>
      <c r="L383" s="191"/>
    </row>
    <row r="384" spans="1:12" ht="18.75" x14ac:dyDescent="0.3">
      <c r="A384" s="191" t="s">
        <v>31</v>
      </c>
      <c r="B384" s="191"/>
      <c r="C384" s="191"/>
      <c r="D384" s="191"/>
      <c r="E384" s="191"/>
      <c r="F384" s="191"/>
      <c r="G384" s="191"/>
      <c r="H384" s="191"/>
      <c r="I384" s="191"/>
      <c r="J384" s="191"/>
      <c r="K384" s="191"/>
      <c r="L384" s="191"/>
    </row>
    <row r="385" spans="1:12" ht="18.75" x14ac:dyDescent="0.3">
      <c r="A385" s="160"/>
      <c r="B385" s="160"/>
      <c r="C385" s="160"/>
      <c r="D385" s="160"/>
      <c r="E385" s="160"/>
      <c r="F385" s="160"/>
      <c r="G385" s="160"/>
      <c r="H385" s="160"/>
      <c r="I385" s="160"/>
      <c r="J385" s="160"/>
      <c r="K385" s="160"/>
      <c r="L385" s="160"/>
    </row>
    <row r="386" spans="1:12" ht="18.75" x14ac:dyDescent="0.3">
      <c r="A386" s="192" t="s">
        <v>85</v>
      </c>
      <c r="B386" s="193"/>
      <c r="C386" s="193"/>
      <c r="D386" s="193"/>
      <c r="E386" s="193"/>
      <c r="F386" s="193"/>
      <c r="G386" s="193"/>
      <c r="H386" s="193"/>
      <c r="I386" s="193"/>
      <c r="J386" s="193"/>
      <c r="K386" s="193"/>
      <c r="L386" s="194"/>
    </row>
    <row r="387" spans="1:12" ht="18.75" x14ac:dyDescent="0.25">
      <c r="A387" s="195" t="s">
        <v>12</v>
      </c>
      <c r="B387" s="197" t="s">
        <v>13</v>
      </c>
      <c r="C387" s="199" t="s">
        <v>14</v>
      </c>
      <c r="D387" s="199" t="s">
        <v>15</v>
      </c>
      <c r="E387" s="201" t="s">
        <v>16</v>
      </c>
      <c r="F387" s="202"/>
      <c r="G387" s="202"/>
      <c r="H387" s="202"/>
      <c r="I387" s="202"/>
      <c r="J387" s="203"/>
      <c r="K387" s="197" t="s">
        <v>17</v>
      </c>
      <c r="L387" s="197" t="s">
        <v>18</v>
      </c>
    </row>
    <row r="388" spans="1:12" ht="122.25" x14ac:dyDescent="0.25">
      <c r="A388" s="196"/>
      <c r="B388" s="198"/>
      <c r="C388" s="200"/>
      <c r="D388" s="200"/>
      <c r="E388" s="4" t="s">
        <v>19</v>
      </c>
      <c r="F388" s="4" t="s">
        <v>20</v>
      </c>
      <c r="G388" s="4" t="s">
        <v>21</v>
      </c>
      <c r="H388" s="4" t="s">
        <v>22</v>
      </c>
      <c r="I388" s="4" t="s">
        <v>23</v>
      </c>
      <c r="J388" s="4" t="s">
        <v>24</v>
      </c>
      <c r="K388" s="198"/>
      <c r="L388" s="198"/>
    </row>
    <row r="389" spans="1:12" ht="18.75" x14ac:dyDescent="0.25">
      <c r="A389" s="5">
        <v>211</v>
      </c>
      <c r="B389" s="5">
        <f>'224'!M56</f>
        <v>220</v>
      </c>
      <c r="C389" s="151">
        <f>'224'!P56</f>
        <v>43431.799999999996</v>
      </c>
      <c r="D389" s="151">
        <f>'224'!U56</f>
        <v>42947.799999999996</v>
      </c>
      <c r="E389" s="144">
        <v>4</v>
      </c>
      <c r="F389" s="5">
        <v>1</v>
      </c>
      <c r="G389" s="5" t="s">
        <v>53</v>
      </c>
      <c r="H389" s="6">
        <v>1.8</v>
      </c>
      <c r="I389" s="145">
        <v>37</v>
      </c>
      <c r="J389" s="6">
        <v>4.5</v>
      </c>
      <c r="K389" s="6">
        <v>3</v>
      </c>
      <c r="L389" s="6">
        <v>5</v>
      </c>
    </row>
    <row r="390" spans="1:12" ht="18.75" x14ac:dyDescent="0.25">
      <c r="A390" s="8" t="s">
        <v>25</v>
      </c>
      <c r="B390" s="8">
        <f>SUM(B389:B389)</f>
        <v>220</v>
      </c>
      <c r="C390" s="152">
        <f>SUM(C389:C389)</f>
        <v>43431.799999999996</v>
      </c>
      <c r="D390" s="152">
        <f>SUM(D389:D389)</f>
        <v>42947.799999999996</v>
      </c>
      <c r="E390" s="8"/>
      <c r="F390" s="5"/>
      <c r="G390" s="5"/>
      <c r="H390" s="6"/>
      <c r="I390" s="7"/>
      <c r="J390" s="6"/>
      <c r="K390" s="6"/>
      <c r="L390" s="6"/>
    </row>
    <row r="391" spans="1:12" ht="18.75" x14ac:dyDescent="0.25">
      <c r="A391" s="9"/>
      <c r="B391" s="9"/>
      <c r="C391" s="9"/>
      <c r="D391" s="9"/>
      <c r="E391" s="10"/>
      <c r="F391" s="10"/>
      <c r="G391" s="10"/>
      <c r="H391" s="10"/>
      <c r="I391" s="10"/>
      <c r="J391" s="10"/>
      <c r="K391" s="10"/>
      <c r="L391" s="10"/>
    </row>
    <row r="392" spans="1:12" ht="18.75" x14ac:dyDescent="0.3">
      <c r="A392" s="190" t="s">
        <v>26</v>
      </c>
      <c r="B392" s="190"/>
      <c r="C392" s="190"/>
      <c r="D392" s="190"/>
      <c r="E392" s="190"/>
      <c r="F392" s="190"/>
      <c r="G392" s="190"/>
      <c r="H392" s="11"/>
      <c r="I392" s="10"/>
      <c r="J392" s="11"/>
      <c r="K392" s="11"/>
      <c r="L392" s="11"/>
    </row>
    <row r="393" spans="1:12" ht="18.75" x14ac:dyDescent="0.3">
      <c r="A393" s="12" t="s">
        <v>27</v>
      </c>
      <c r="B393" s="190" t="s">
        <v>28</v>
      </c>
      <c r="C393" s="190"/>
      <c r="D393" s="190"/>
      <c r="E393" s="190"/>
      <c r="F393" s="190"/>
      <c r="G393" s="190" t="s">
        <v>29</v>
      </c>
      <c r="H393" s="190"/>
      <c r="I393" s="190" t="s">
        <v>30</v>
      </c>
      <c r="J393" s="190"/>
      <c r="K393" s="190"/>
      <c r="L393" s="190"/>
    </row>
    <row r="397" spans="1:12" ht="18.75" x14ac:dyDescent="0.3">
      <c r="A397" s="190" t="s">
        <v>11</v>
      </c>
      <c r="B397" s="190"/>
      <c r="C397" s="190"/>
      <c r="D397" s="190"/>
      <c r="E397" s="190"/>
      <c r="F397" s="190"/>
      <c r="G397" s="190"/>
      <c r="H397" s="190"/>
      <c r="I397" s="190"/>
      <c r="J397" s="190"/>
      <c r="K397" s="190"/>
      <c r="L397" s="190"/>
    </row>
    <row r="398" spans="1:12" ht="18.75" x14ac:dyDescent="0.3">
      <c r="A398" s="161"/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</row>
    <row r="399" spans="1:12" ht="18.75" x14ac:dyDescent="0.3">
      <c r="A399" s="191" t="s">
        <v>32</v>
      </c>
      <c r="B399" s="191"/>
      <c r="C399" s="191"/>
      <c r="D399" s="191"/>
      <c r="E399" s="191"/>
      <c r="F399" s="191"/>
      <c r="G399" s="191"/>
      <c r="H399" s="191"/>
      <c r="I399" s="191"/>
      <c r="J399" s="191"/>
      <c r="K399" s="191"/>
      <c r="L399" s="191"/>
    </row>
    <row r="400" spans="1:12" ht="18.75" x14ac:dyDescent="0.3">
      <c r="A400" s="191" t="s">
        <v>31</v>
      </c>
      <c r="B400" s="191"/>
      <c r="C400" s="191"/>
      <c r="D400" s="191"/>
      <c r="E400" s="191"/>
      <c r="F400" s="191"/>
      <c r="G400" s="191"/>
      <c r="H400" s="191"/>
      <c r="I400" s="191"/>
      <c r="J400" s="191"/>
      <c r="K400" s="191"/>
      <c r="L400" s="191"/>
    </row>
    <row r="401" spans="1:12" ht="18.75" x14ac:dyDescent="0.3">
      <c r="A401" s="162"/>
      <c r="B401" s="162"/>
      <c r="C401" s="162"/>
      <c r="D401" s="162"/>
      <c r="E401" s="162"/>
      <c r="F401" s="162"/>
      <c r="G401" s="162"/>
      <c r="H401" s="162"/>
      <c r="I401" s="162"/>
      <c r="J401" s="162"/>
      <c r="K401" s="162"/>
      <c r="L401" s="162"/>
    </row>
    <row r="402" spans="1:12" ht="18.75" x14ac:dyDescent="0.3">
      <c r="A402" s="192" t="s">
        <v>86</v>
      </c>
      <c r="B402" s="193"/>
      <c r="C402" s="193"/>
      <c r="D402" s="193"/>
      <c r="E402" s="193"/>
      <c r="F402" s="193"/>
      <c r="G402" s="193"/>
      <c r="H402" s="193"/>
      <c r="I402" s="193"/>
      <c r="J402" s="193"/>
      <c r="K402" s="193"/>
      <c r="L402" s="194"/>
    </row>
    <row r="403" spans="1:12" ht="18.75" x14ac:dyDescent="0.25">
      <c r="A403" s="195" t="s">
        <v>12</v>
      </c>
      <c r="B403" s="197" t="s">
        <v>13</v>
      </c>
      <c r="C403" s="199" t="s">
        <v>14</v>
      </c>
      <c r="D403" s="199" t="s">
        <v>15</v>
      </c>
      <c r="E403" s="201" t="s">
        <v>16</v>
      </c>
      <c r="F403" s="202"/>
      <c r="G403" s="202"/>
      <c r="H403" s="202"/>
      <c r="I403" s="202"/>
      <c r="J403" s="203"/>
      <c r="K403" s="197" t="s">
        <v>17</v>
      </c>
      <c r="L403" s="197" t="s">
        <v>18</v>
      </c>
    </row>
    <row r="404" spans="1:12" ht="122.25" x14ac:dyDescent="0.25">
      <c r="A404" s="196"/>
      <c r="B404" s="198"/>
      <c r="C404" s="200"/>
      <c r="D404" s="200"/>
      <c r="E404" s="4" t="s">
        <v>19</v>
      </c>
      <c r="F404" s="4" t="s">
        <v>20</v>
      </c>
      <c r="G404" s="4" t="s">
        <v>21</v>
      </c>
      <c r="H404" s="4" t="s">
        <v>22</v>
      </c>
      <c r="I404" s="4" t="s">
        <v>23</v>
      </c>
      <c r="J404" s="4" t="s">
        <v>24</v>
      </c>
      <c r="K404" s="198"/>
      <c r="L404" s="198"/>
    </row>
    <row r="405" spans="1:12" ht="18.75" x14ac:dyDescent="0.25">
      <c r="A405" s="5">
        <v>211</v>
      </c>
      <c r="B405" s="5">
        <f>'225'!M56</f>
        <v>129</v>
      </c>
      <c r="C405" s="151">
        <f>'225'!P56</f>
        <v>25787.4</v>
      </c>
      <c r="D405" s="151">
        <f>'225'!U56</f>
        <v>25503.600000000002</v>
      </c>
      <c r="E405" s="144">
        <v>4</v>
      </c>
      <c r="F405" s="5">
        <v>1</v>
      </c>
      <c r="G405" s="5" t="s">
        <v>41</v>
      </c>
      <c r="H405" s="6">
        <v>1.8</v>
      </c>
      <c r="I405" s="145">
        <v>37</v>
      </c>
      <c r="J405" s="6">
        <v>4.5</v>
      </c>
      <c r="K405" s="6">
        <v>2.5</v>
      </c>
      <c r="L405" s="6">
        <v>5</v>
      </c>
    </row>
    <row r="406" spans="1:12" ht="18.75" x14ac:dyDescent="0.25">
      <c r="A406" s="5">
        <v>211</v>
      </c>
      <c r="B406" s="5">
        <f>'225'!X56</f>
        <v>91</v>
      </c>
      <c r="C406" s="151">
        <f>'225'!AA56</f>
        <v>17768.100000000002</v>
      </c>
      <c r="D406" s="151">
        <f>'225'!AF56</f>
        <v>17567.900000000001</v>
      </c>
      <c r="E406" s="144">
        <v>4</v>
      </c>
      <c r="F406" s="5">
        <v>1</v>
      </c>
      <c r="G406" s="5" t="s">
        <v>53</v>
      </c>
      <c r="H406" s="6">
        <v>1.8</v>
      </c>
      <c r="I406" s="145">
        <v>37</v>
      </c>
      <c r="J406" s="6">
        <v>4.5</v>
      </c>
      <c r="K406" s="6">
        <v>3</v>
      </c>
      <c r="L406" s="6">
        <v>5</v>
      </c>
    </row>
    <row r="407" spans="1:12" ht="18.75" x14ac:dyDescent="0.25">
      <c r="A407" s="8" t="s">
        <v>25</v>
      </c>
      <c r="B407" s="8">
        <f>SUM(B405:B406)</f>
        <v>220</v>
      </c>
      <c r="C407" s="152">
        <f>SUM(C405:C406)</f>
        <v>43555.5</v>
      </c>
      <c r="D407" s="152">
        <f>SUM(D405:D406)</f>
        <v>43071.5</v>
      </c>
      <c r="E407" s="8"/>
      <c r="F407" s="5"/>
      <c r="G407" s="5"/>
      <c r="H407" s="6"/>
      <c r="I407" s="7"/>
      <c r="J407" s="6"/>
      <c r="K407" s="6"/>
      <c r="L407" s="6"/>
    </row>
    <row r="408" spans="1:12" ht="18.75" x14ac:dyDescent="0.25">
      <c r="A408" s="9"/>
      <c r="B408" s="9"/>
      <c r="C408" s="9"/>
      <c r="D408" s="9"/>
      <c r="E408" s="10"/>
      <c r="F408" s="10"/>
      <c r="G408" s="10"/>
      <c r="H408" s="10"/>
      <c r="I408" s="10"/>
      <c r="J408" s="10"/>
      <c r="K408" s="10"/>
      <c r="L408" s="10"/>
    </row>
    <row r="409" spans="1:12" ht="18.75" x14ac:dyDescent="0.3">
      <c r="A409" s="190" t="s">
        <v>26</v>
      </c>
      <c r="B409" s="190"/>
      <c r="C409" s="190"/>
      <c r="D409" s="190"/>
      <c r="E409" s="190"/>
      <c r="F409" s="190"/>
      <c r="G409" s="190"/>
      <c r="H409" s="11"/>
      <c r="I409" s="10"/>
      <c r="J409" s="11"/>
      <c r="K409" s="11"/>
      <c r="L409" s="11"/>
    </row>
    <row r="410" spans="1:12" ht="18.75" x14ac:dyDescent="0.3">
      <c r="A410" s="12" t="s">
        <v>27</v>
      </c>
      <c r="B410" s="190" t="s">
        <v>28</v>
      </c>
      <c r="C410" s="190"/>
      <c r="D410" s="190"/>
      <c r="E410" s="190"/>
      <c r="F410" s="190"/>
      <c r="G410" s="190" t="s">
        <v>29</v>
      </c>
      <c r="H410" s="190"/>
      <c r="I410" s="190" t="s">
        <v>30</v>
      </c>
      <c r="J410" s="190"/>
      <c r="K410" s="190"/>
      <c r="L410" s="190"/>
    </row>
    <row r="413" spans="1:12" ht="18.75" x14ac:dyDescent="0.3">
      <c r="A413" s="190" t="s">
        <v>11</v>
      </c>
      <c r="B413" s="190"/>
      <c r="C413" s="190"/>
      <c r="D413" s="190"/>
      <c r="E413" s="190"/>
      <c r="F413" s="190"/>
      <c r="G413" s="190"/>
      <c r="H413" s="190"/>
      <c r="I413" s="190"/>
      <c r="J413" s="190"/>
      <c r="K413" s="190"/>
      <c r="L413" s="190"/>
    </row>
    <row r="414" spans="1:12" ht="18.75" x14ac:dyDescent="0.3">
      <c r="A414" s="163"/>
      <c r="B414" s="163"/>
      <c r="C414" s="163"/>
      <c r="D414" s="163"/>
      <c r="E414" s="163"/>
      <c r="F414" s="163"/>
      <c r="G414" s="163"/>
      <c r="H414" s="163"/>
      <c r="I414" s="163"/>
      <c r="J414" s="163"/>
      <c r="K414" s="163"/>
      <c r="L414" s="163"/>
    </row>
    <row r="415" spans="1:12" ht="18.75" x14ac:dyDescent="0.3">
      <c r="A415" s="191" t="s">
        <v>32</v>
      </c>
      <c r="B415" s="191"/>
      <c r="C415" s="191"/>
      <c r="D415" s="191"/>
      <c r="E415" s="191"/>
      <c r="F415" s="191"/>
      <c r="G415" s="191"/>
      <c r="H415" s="191"/>
      <c r="I415" s="191"/>
      <c r="J415" s="191"/>
      <c r="K415" s="191"/>
      <c r="L415" s="191"/>
    </row>
    <row r="416" spans="1:12" ht="18.75" x14ac:dyDescent="0.3">
      <c r="A416" s="191" t="s">
        <v>31</v>
      </c>
      <c r="B416" s="191"/>
      <c r="C416" s="191"/>
      <c r="D416" s="191"/>
      <c r="E416" s="191"/>
      <c r="F416" s="191"/>
      <c r="G416" s="191"/>
      <c r="H416" s="191"/>
      <c r="I416" s="191"/>
      <c r="J416" s="191"/>
      <c r="K416" s="191"/>
      <c r="L416" s="191"/>
    </row>
    <row r="417" spans="1:12" ht="18.75" x14ac:dyDescent="0.3">
      <c r="A417" s="164"/>
      <c r="B417" s="164"/>
      <c r="C417" s="164"/>
      <c r="D417" s="164"/>
      <c r="E417" s="164"/>
      <c r="F417" s="164"/>
      <c r="G417" s="164"/>
      <c r="H417" s="164"/>
      <c r="I417" s="164"/>
      <c r="J417" s="164"/>
      <c r="K417" s="164"/>
      <c r="L417" s="164"/>
    </row>
    <row r="418" spans="1:12" ht="18.75" x14ac:dyDescent="0.3">
      <c r="A418" s="192" t="s">
        <v>87</v>
      </c>
      <c r="B418" s="193"/>
      <c r="C418" s="193"/>
      <c r="D418" s="193"/>
      <c r="E418" s="193"/>
      <c r="F418" s="193"/>
      <c r="G418" s="193"/>
      <c r="H418" s="193"/>
      <c r="I418" s="193"/>
      <c r="J418" s="193"/>
      <c r="K418" s="193"/>
      <c r="L418" s="194"/>
    </row>
    <row r="419" spans="1:12" ht="18.75" x14ac:dyDescent="0.25">
      <c r="A419" s="195" t="s">
        <v>12</v>
      </c>
      <c r="B419" s="197" t="s">
        <v>13</v>
      </c>
      <c r="C419" s="199" t="s">
        <v>14</v>
      </c>
      <c r="D419" s="199" t="s">
        <v>15</v>
      </c>
      <c r="E419" s="201" t="s">
        <v>16</v>
      </c>
      <c r="F419" s="202"/>
      <c r="G419" s="202"/>
      <c r="H419" s="202"/>
      <c r="I419" s="202"/>
      <c r="J419" s="203"/>
      <c r="K419" s="197" t="s">
        <v>17</v>
      </c>
      <c r="L419" s="197" t="s">
        <v>18</v>
      </c>
    </row>
    <row r="420" spans="1:12" ht="122.25" x14ac:dyDescent="0.25">
      <c r="A420" s="196"/>
      <c r="B420" s="198"/>
      <c r="C420" s="200"/>
      <c r="D420" s="200"/>
      <c r="E420" s="4" t="s">
        <v>19</v>
      </c>
      <c r="F420" s="4" t="s">
        <v>20</v>
      </c>
      <c r="G420" s="4" t="s">
        <v>21</v>
      </c>
      <c r="H420" s="4" t="s">
        <v>22</v>
      </c>
      <c r="I420" s="4" t="s">
        <v>23</v>
      </c>
      <c r="J420" s="4" t="s">
        <v>24</v>
      </c>
      <c r="K420" s="198"/>
      <c r="L420" s="198"/>
    </row>
    <row r="421" spans="1:12" ht="18.75" x14ac:dyDescent="0.25">
      <c r="A421" s="5">
        <v>211</v>
      </c>
      <c r="B421" s="5">
        <f>'226'!M56</f>
        <v>101</v>
      </c>
      <c r="C421" s="151">
        <f>'226'!P56</f>
        <v>19770.199999999997</v>
      </c>
      <c r="D421" s="151">
        <f>'226'!U56</f>
        <v>19547.999999999996</v>
      </c>
      <c r="E421" s="144">
        <v>4</v>
      </c>
      <c r="F421" s="5">
        <v>1</v>
      </c>
      <c r="G421" s="5" t="s">
        <v>41</v>
      </c>
      <c r="H421" s="6">
        <v>1.8</v>
      </c>
      <c r="I421" s="145">
        <v>37</v>
      </c>
      <c r="J421" s="6">
        <v>4.5</v>
      </c>
      <c r="K421" s="6">
        <v>2.5</v>
      </c>
      <c r="L421" s="6">
        <v>5</v>
      </c>
    </row>
    <row r="422" spans="1:12" ht="18.75" x14ac:dyDescent="0.25">
      <c r="A422" s="5">
        <v>211</v>
      </c>
      <c r="B422" s="5">
        <f>'226'!X56</f>
        <v>119</v>
      </c>
      <c r="C422" s="151">
        <f>'226'!AA56</f>
        <v>23334.399999999998</v>
      </c>
      <c r="D422" s="151">
        <f>'226'!AF56</f>
        <v>23072.6</v>
      </c>
      <c r="E422" s="144">
        <v>4</v>
      </c>
      <c r="F422" s="5">
        <v>1</v>
      </c>
      <c r="G422" s="5" t="s">
        <v>53</v>
      </c>
      <c r="H422" s="6">
        <v>1.8</v>
      </c>
      <c r="I422" s="145">
        <v>37</v>
      </c>
      <c r="J422" s="6">
        <v>4.5</v>
      </c>
      <c r="K422" s="6">
        <v>3</v>
      </c>
      <c r="L422" s="6">
        <v>5</v>
      </c>
    </row>
    <row r="423" spans="1:12" ht="18.75" x14ac:dyDescent="0.25">
      <c r="A423" s="8" t="s">
        <v>25</v>
      </c>
      <c r="B423" s="8">
        <f>SUM(B421:B422)</f>
        <v>220</v>
      </c>
      <c r="C423" s="152">
        <f>SUM(C421:C422)</f>
        <v>43104.599999999991</v>
      </c>
      <c r="D423" s="152">
        <f>SUM(D421:D422)</f>
        <v>42620.599999999991</v>
      </c>
      <c r="E423" s="8"/>
      <c r="F423" s="5"/>
      <c r="G423" s="5"/>
      <c r="H423" s="6"/>
      <c r="I423" s="7"/>
      <c r="J423" s="6"/>
      <c r="K423" s="6"/>
      <c r="L423" s="6"/>
    </row>
    <row r="424" spans="1:12" ht="18.75" x14ac:dyDescent="0.25">
      <c r="A424" s="9"/>
      <c r="B424" s="9"/>
      <c r="C424" s="9"/>
      <c r="D424" s="9"/>
      <c r="E424" s="10"/>
      <c r="F424" s="10"/>
      <c r="G424" s="10"/>
      <c r="H424" s="10"/>
      <c r="I424" s="10"/>
      <c r="J424" s="10"/>
      <c r="K424" s="10"/>
      <c r="L424" s="10"/>
    </row>
    <row r="425" spans="1:12" ht="18.75" x14ac:dyDescent="0.3">
      <c r="A425" s="190" t="s">
        <v>26</v>
      </c>
      <c r="B425" s="190"/>
      <c r="C425" s="190"/>
      <c r="D425" s="190"/>
      <c r="E425" s="190"/>
      <c r="F425" s="190"/>
      <c r="G425" s="190"/>
      <c r="H425" s="11"/>
      <c r="I425" s="10"/>
      <c r="J425" s="11"/>
      <c r="K425" s="11"/>
      <c r="L425" s="11"/>
    </row>
    <row r="426" spans="1:12" ht="18.75" x14ac:dyDescent="0.3">
      <c r="A426" s="12" t="s">
        <v>27</v>
      </c>
      <c r="B426" s="190" t="s">
        <v>28</v>
      </c>
      <c r="C426" s="190"/>
      <c r="D426" s="190"/>
      <c r="E426" s="190"/>
      <c r="F426" s="190"/>
      <c r="G426" s="190" t="s">
        <v>29</v>
      </c>
      <c r="H426" s="190"/>
      <c r="I426" s="190" t="s">
        <v>30</v>
      </c>
      <c r="J426" s="190"/>
      <c r="K426" s="190"/>
      <c r="L426" s="190"/>
    </row>
    <row r="429" spans="1:12" ht="18.75" x14ac:dyDescent="0.3">
      <c r="A429" s="190" t="s">
        <v>11</v>
      </c>
      <c r="B429" s="190"/>
      <c r="C429" s="190"/>
      <c r="D429" s="190"/>
      <c r="E429" s="190"/>
      <c r="F429" s="190"/>
      <c r="G429" s="190"/>
      <c r="H429" s="190"/>
      <c r="I429" s="190"/>
      <c r="J429" s="190"/>
      <c r="K429" s="190"/>
      <c r="L429" s="190"/>
    </row>
    <row r="430" spans="1:12" ht="18.75" x14ac:dyDescent="0.3">
      <c r="A430" s="163"/>
      <c r="B430" s="163"/>
      <c r="C430" s="163"/>
      <c r="D430" s="163"/>
      <c r="E430" s="163"/>
      <c r="F430" s="163"/>
      <c r="G430" s="163"/>
      <c r="H430" s="163"/>
      <c r="I430" s="163"/>
      <c r="J430" s="163"/>
      <c r="K430" s="163"/>
      <c r="L430" s="163"/>
    </row>
    <row r="431" spans="1:12" ht="18.75" x14ac:dyDescent="0.3">
      <c r="A431" s="191" t="s">
        <v>32</v>
      </c>
      <c r="B431" s="191"/>
      <c r="C431" s="191"/>
      <c r="D431" s="191"/>
      <c r="E431" s="191"/>
      <c r="F431" s="191"/>
      <c r="G431" s="191"/>
      <c r="H431" s="191"/>
      <c r="I431" s="191"/>
      <c r="J431" s="191"/>
      <c r="K431" s="191"/>
      <c r="L431" s="191"/>
    </row>
    <row r="432" spans="1:12" ht="18.75" x14ac:dyDescent="0.3">
      <c r="A432" s="191" t="s">
        <v>31</v>
      </c>
      <c r="B432" s="191"/>
      <c r="C432" s="191"/>
      <c r="D432" s="191"/>
      <c r="E432" s="191"/>
      <c r="F432" s="191"/>
      <c r="G432" s="191"/>
      <c r="H432" s="191"/>
      <c r="I432" s="191"/>
      <c r="J432" s="191"/>
      <c r="K432" s="191"/>
      <c r="L432" s="191"/>
    </row>
    <row r="433" spans="1:12" ht="18.75" x14ac:dyDescent="0.3">
      <c r="A433" s="164"/>
      <c r="B433" s="164"/>
      <c r="C433" s="164"/>
      <c r="D433" s="164"/>
      <c r="E433" s="164"/>
      <c r="F433" s="164"/>
      <c r="G433" s="164"/>
      <c r="H433" s="164"/>
      <c r="I433" s="164"/>
      <c r="J433" s="164"/>
      <c r="K433" s="164"/>
      <c r="L433" s="164"/>
    </row>
    <row r="434" spans="1:12" ht="18.75" x14ac:dyDescent="0.3">
      <c r="A434" s="192" t="s">
        <v>88</v>
      </c>
      <c r="B434" s="193"/>
      <c r="C434" s="193"/>
      <c r="D434" s="193"/>
      <c r="E434" s="193"/>
      <c r="F434" s="193"/>
      <c r="G434" s="193"/>
      <c r="H434" s="193"/>
      <c r="I434" s="193"/>
      <c r="J434" s="193"/>
      <c r="K434" s="193"/>
      <c r="L434" s="194"/>
    </row>
    <row r="435" spans="1:12" ht="18.75" x14ac:dyDescent="0.25">
      <c r="A435" s="195" t="s">
        <v>12</v>
      </c>
      <c r="B435" s="197" t="s">
        <v>13</v>
      </c>
      <c r="C435" s="199" t="s">
        <v>14</v>
      </c>
      <c r="D435" s="199" t="s">
        <v>15</v>
      </c>
      <c r="E435" s="201" t="s">
        <v>16</v>
      </c>
      <c r="F435" s="202"/>
      <c r="G435" s="202"/>
      <c r="H435" s="202"/>
      <c r="I435" s="202"/>
      <c r="J435" s="203"/>
      <c r="K435" s="197" t="s">
        <v>17</v>
      </c>
      <c r="L435" s="197" t="s">
        <v>18</v>
      </c>
    </row>
    <row r="436" spans="1:12" ht="122.25" x14ac:dyDescent="0.25">
      <c r="A436" s="196"/>
      <c r="B436" s="198"/>
      <c r="C436" s="200"/>
      <c r="D436" s="200"/>
      <c r="E436" s="4" t="s">
        <v>19</v>
      </c>
      <c r="F436" s="4" t="s">
        <v>20</v>
      </c>
      <c r="G436" s="4" t="s">
        <v>21</v>
      </c>
      <c r="H436" s="4" t="s">
        <v>22</v>
      </c>
      <c r="I436" s="4" t="s">
        <v>23</v>
      </c>
      <c r="J436" s="4" t="s">
        <v>24</v>
      </c>
      <c r="K436" s="198"/>
      <c r="L436" s="198"/>
    </row>
    <row r="437" spans="1:12" ht="18.75" x14ac:dyDescent="0.25">
      <c r="A437" s="5">
        <v>211</v>
      </c>
      <c r="B437" s="5">
        <f>'227'!M56</f>
        <v>220</v>
      </c>
      <c r="C437" s="151">
        <f>'227'!P56</f>
        <v>43087.200000000004</v>
      </c>
      <c r="D437" s="151">
        <f>'227'!U56</f>
        <v>42603.200000000004</v>
      </c>
      <c r="E437" s="144">
        <v>4</v>
      </c>
      <c r="F437" s="5">
        <v>1</v>
      </c>
      <c r="G437" s="5" t="s">
        <v>53</v>
      </c>
      <c r="H437" s="6">
        <v>1.8</v>
      </c>
      <c r="I437" s="145">
        <v>37</v>
      </c>
      <c r="J437" s="6">
        <v>4.5</v>
      </c>
      <c r="K437" s="6">
        <v>3</v>
      </c>
      <c r="L437" s="6">
        <v>5</v>
      </c>
    </row>
    <row r="438" spans="1:12" ht="18.75" x14ac:dyDescent="0.25">
      <c r="A438" s="8" t="s">
        <v>25</v>
      </c>
      <c r="B438" s="8">
        <f>SUM(B437:B437)</f>
        <v>220</v>
      </c>
      <c r="C438" s="152">
        <f>SUM(C437:C437)</f>
        <v>43087.200000000004</v>
      </c>
      <c r="D438" s="152">
        <f>SUM(D437:D437)</f>
        <v>42603.200000000004</v>
      </c>
      <c r="E438" s="8"/>
      <c r="F438" s="5"/>
      <c r="G438" s="5"/>
      <c r="H438" s="6"/>
      <c r="I438" s="7"/>
      <c r="J438" s="6"/>
      <c r="K438" s="6"/>
      <c r="L438" s="6"/>
    </row>
    <row r="439" spans="1:12" ht="18.75" x14ac:dyDescent="0.25">
      <c r="A439" s="9"/>
      <c r="B439" s="9"/>
      <c r="C439" s="9"/>
      <c r="D439" s="9"/>
      <c r="E439" s="10"/>
      <c r="F439" s="10"/>
      <c r="G439" s="10"/>
      <c r="H439" s="10"/>
      <c r="I439" s="10"/>
      <c r="J439" s="10"/>
      <c r="K439" s="10"/>
      <c r="L439" s="10"/>
    </row>
    <row r="440" spans="1:12" ht="18.75" x14ac:dyDescent="0.3">
      <c r="A440" s="190" t="s">
        <v>26</v>
      </c>
      <c r="B440" s="190"/>
      <c r="C440" s="190"/>
      <c r="D440" s="190"/>
      <c r="E440" s="190"/>
      <c r="F440" s="190"/>
      <c r="G440" s="190"/>
      <c r="H440" s="11"/>
      <c r="I440" s="10"/>
      <c r="J440" s="11"/>
      <c r="K440" s="11"/>
      <c r="L440" s="11"/>
    </row>
    <row r="441" spans="1:12" ht="18.75" x14ac:dyDescent="0.3">
      <c r="A441" s="12" t="s">
        <v>27</v>
      </c>
      <c r="B441" s="190" t="s">
        <v>28</v>
      </c>
      <c r="C441" s="190"/>
      <c r="D441" s="190"/>
      <c r="E441" s="190"/>
      <c r="F441" s="190"/>
      <c r="G441" s="190" t="s">
        <v>29</v>
      </c>
      <c r="H441" s="190"/>
      <c r="I441" s="190" t="s">
        <v>30</v>
      </c>
      <c r="J441" s="190"/>
      <c r="K441" s="190"/>
      <c r="L441" s="190"/>
    </row>
    <row r="444" spans="1:12" ht="18.75" x14ac:dyDescent="0.3">
      <c r="A444" s="190" t="s">
        <v>11</v>
      </c>
      <c r="B444" s="190"/>
      <c r="C444" s="190"/>
      <c r="D444" s="190"/>
      <c r="E444" s="190"/>
      <c r="F444" s="190"/>
      <c r="G444" s="190"/>
      <c r="H444" s="190"/>
      <c r="I444" s="190"/>
      <c r="J444" s="190"/>
      <c r="K444" s="190"/>
      <c r="L444" s="190"/>
    </row>
    <row r="445" spans="1:12" ht="18.75" x14ac:dyDescent="0.3">
      <c r="A445" s="165"/>
      <c r="B445" s="165"/>
      <c r="C445" s="165"/>
      <c r="D445" s="165"/>
      <c r="E445" s="165"/>
      <c r="F445" s="165"/>
      <c r="G445" s="165"/>
      <c r="H445" s="165"/>
      <c r="I445" s="165"/>
      <c r="J445" s="165"/>
      <c r="K445" s="165"/>
      <c r="L445" s="165"/>
    </row>
    <row r="446" spans="1:12" ht="18.75" x14ac:dyDescent="0.3">
      <c r="A446" s="191" t="s">
        <v>32</v>
      </c>
      <c r="B446" s="191"/>
      <c r="C446" s="191"/>
      <c r="D446" s="191"/>
      <c r="E446" s="191"/>
      <c r="F446" s="191"/>
      <c r="G446" s="191"/>
      <c r="H446" s="191"/>
      <c r="I446" s="191"/>
      <c r="J446" s="191"/>
      <c r="K446" s="191"/>
      <c r="L446" s="191"/>
    </row>
    <row r="447" spans="1:12" ht="18.75" x14ac:dyDescent="0.3">
      <c r="A447" s="191" t="s">
        <v>31</v>
      </c>
      <c r="B447" s="191"/>
      <c r="C447" s="191"/>
      <c r="D447" s="191"/>
      <c r="E447" s="191"/>
      <c r="F447" s="191"/>
      <c r="G447" s="191"/>
      <c r="H447" s="191"/>
      <c r="I447" s="191"/>
      <c r="J447" s="191"/>
      <c r="K447" s="191"/>
      <c r="L447" s="191"/>
    </row>
    <row r="448" spans="1:12" ht="18.75" x14ac:dyDescent="0.3">
      <c r="A448" s="166"/>
      <c r="B448" s="166"/>
      <c r="C448" s="166"/>
      <c r="D448" s="166"/>
      <c r="E448" s="166"/>
      <c r="F448" s="166"/>
      <c r="G448" s="166"/>
      <c r="H448" s="166"/>
      <c r="I448" s="166"/>
      <c r="J448" s="166"/>
      <c r="K448" s="166"/>
      <c r="L448" s="166"/>
    </row>
    <row r="449" spans="1:12" ht="18.75" x14ac:dyDescent="0.3">
      <c r="A449" s="192" t="s">
        <v>89</v>
      </c>
      <c r="B449" s="193"/>
      <c r="C449" s="193"/>
      <c r="D449" s="193"/>
      <c r="E449" s="193"/>
      <c r="F449" s="193"/>
      <c r="G449" s="193"/>
      <c r="H449" s="193"/>
      <c r="I449" s="193"/>
      <c r="J449" s="193"/>
      <c r="K449" s="193"/>
      <c r="L449" s="194"/>
    </row>
    <row r="450" spans="1:12" ht="18.75" x14ac:dyDescent="0.25">
      <c r="A450" s="195" t="s">
        <v>12</v>
      </c>
      <c r="B450" s="197" t="s">
        <v>13</v>
      </c>
      <c r="C450" s="199" t="s">
        <v>14</v>
      </c>
      <c r="D450" s="199" t="s">
        <v>15</v>
      </c>
      <c r="E450" s="201" t="s">
        <v>16</v>
      </c>
      <c r="F450" s="202"/>
      <c r="G450" s="202"/>
      <c r="H450" s="202"/>
      <c r="I450" s="202"/>
      <c r="J450" s="203"/>
      <c r="K450" s="197" t="s">
        <v>17</v>
      </c>
      <c r="L450" s="197" t="s">
        <v>18</v>
      </c>
    </row>
    <row r="451" spans="1:12" ht="122.25" x14ac:dyDescent="0.25">
      <c r="A451" s="196"/>
      <c r="B451" s="198"/>
      <c r="C451" s="200"/>
      <c r="D451" s="200"/>
      <c r="E451" s="4" t="s">
        <v>19</v>
      </c>
      <c r="F451" s="4" t="s">
        <v>20</v>
      </c>
      <c r="G451" s="4" t="s">
        <v>21</v>
      </c>
      <c r="H451" s="4" t="s">
        <v>22</v>
      </c>
      <c r="I451" s="4" t="s">
        <v>23</v>
      </c>
      <c r="J451" s="4" t="s">
        <v>24</v>
      </c>
      <c r="K451" s="198"/>
      <c r="L451" s="198"/>
    </row>
    <row r="452" spans="1:12" ht="18.75" x14ac:dyDescent="0.25">
      <c r="A452" s="5">
        <v>211</v>
      </c>
      <c r="B452" s="5">
        <f>'228'!M56</f>
        <v>79</v>
      </c>
      <c r="C452" s="151">
        <f>'228'!P56</f>
        <v>15708</v>
      </c>
      <c r="D452" s="151">
        <f>'228'!U56</f>
        <v>15534.2</v>
      </c>
      <c r="E452" s="144">
        <v>4</v>
      </c>
      <c r="F452" s="5">
        <v>1</v>
      </c>
      <c r="G452" s="5" t="s">
        <v>41</v>
      </c>
      <c r="H452" s="6">
        <v>1.8</v>
      </c>
      <c r="I452" s="145">
        <v>37</v>
      </c>
      <c r="J452" s="6">
        <v>4.5</v>
      </c>
      <c r="K452" s="6">
        <v>2.5</v>
      </c>
      <c r="L452" s="6">
        <v>5</v>
      </c>
    </row>
    <row r="453" spans="1:12" ht="18.75" x14ac:dyDescent="0.25">
      <c r="A453" s="5">
        <v>211</v>
      </c>
      <c r="B453" s="5">
        <f>'228'!X56</f>
        <v>141</v>
      </c>
      <c r="C453" s="151">
        <f>'228'!AA56</f>
        <v>28310.399999999998</v>
      </c>
      <c r="D453" s="151">
        <f>'228'!AF56</f>
        <v>28000.199999999997</v>
      </c>
      <c r="E453" s="144">
        <v>4</v>
      </c>
      <c r="F453" s="5">
        <v>1</v>
      </c>
      <c r="G453" s="5" t="s">
        <v>53</v>
      </c>
      <c r="H453" s="6">
        <v>1.8</v>
      </c>
      <c r="I453" s="145">
        <v>37</v>
      </c>
      <c r="J453" s="6">
        <v>4.5</v>
      </c>
      <c r="K453" s="6">
        <v>3</v>
      </c>
      <c r="L453" s="6">
        <v>5</v>
      </c>
    </row>
    <row r="454" spans="1:12" ht="18.75" x14ac:dyDescent="0.25">
      <c r="A454" s="8" t="s">
        <v>25</v>
      </c>
      <c r="B454" s="8">
        <f>SUM(B452:B453)</f>
        <v>220</v>
      </c>
      <c r="C454" s="152">
        <f>SUM(C452:C453)</f>
        <v>44018.399999999994</v>
      </c>
      <c r="D454" s="152">
        <f>SUM(D452:D453)</f>
        <v>43534.399999999994</v>
      </c>
      <c r="E454" s="8"/>
      <c r="F454" s="5"/>
      <c r="G454" s="5"/>
      <c r="H454" s="6"/>
      <c r="I454" s="7"/>
      <c r="J454" s="6"/>
      <c r="K454" s="6"/>
      <c r="L454" s="6"/>
    </row>
    <row r="455" spans="1:12" ht="18.75" x14ac:dyDescent="0.25">
      <c r="A455" s="9"/>
      <c r="B455" s="9"/>
      <c r="C455" s="9"/>
      <c r="D455" s="9"/>
      <c r="E455" s="10"/>
      <c r="F455" s="10"/>
      <c r="G455" s="10"/>
      <c r="H455" s="10"/>
      <c r="I455" s="10"/>
      <c r="J455" s="10"/>
      <c r="K455" s="10"/>
      <c r="L455" s="10"/>
    </row>
    <row r="456" spans="1:12" ht="18.75" x14ac:dyDescent="0.3">
      <c r="A456" s="190" t="s">
        <v>26</v>
      </c>
      <c r="B456" s="190"/>
      <c r="C456" s="190"/>
      <c r="D456" s="190"/>
      <c r="E456" s="190"/>
      <c r="F456" s="190"/>
      <c r="G456" s="190"/>
      <c r="H456" s="11"/>
      <c r="I456" s="10"/>
      <c r="J456" s="11"/>
      <c r="K456" s="11"/>
      <c r="L456" s="11"/>
    </row>
    <row r="457" spans="1:12" ht="18.75" x14ac:dyDescent="0.3">
      <c r="A457" s="12" t="s">
        <v>27</v>
      </c>
      <c r="B457" s="190" t="s">
        <v>28</v>
      </c>
      <c r="C457" s="190"/>
      <c r="D457" s="190"/>
      <c r="E457" s="190"/>
      <c r="F457" s="190"/>
      <c r="G457" s="190" t="s">
        <v>29</v>
      </c>
      <c r="H457" s="190"/>
      <c r="I457" s="190" t="s">
        <v>30</v>
      </c>
      <c r="J457" s="190"/>
      <c r="K457" s="190"/>
      <c r="L457" s="190"/>
    </row>
    <row r="460" spans="1:12" ht="18.75" x14ac:dyDescent="0.3">
      <c r="A460" s="190" t="s">
        <v>11</v>
      </c>
      <c r="B460" s="190"/>
      <c r="C460" s="190"/>
      <c r="D460" s="190"/>
      <c r="E460" s="190"/>
      <c r="F460" s="190"/>
      <c r="G460" s="190"/>
      <c r="H460" s="190"/>
      <c r="I460" s="190"/>
      <c r="J460" s="190"/>
      <c r="K460" s="190"/>
      <c r="L460" s="190"/>
    </row>
    <row r="461" spans="1:12" ht="18.75" x14ac:dyDescent="0.3">
      <c r="A461" s="168"/>
      <c r="B461" s="168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</row>
    <row r="462" spans="1:12" ht="18.75" x14ac:dyDescent="0.3">
      <c r="A462" s="191" t="s">
        <v>32</v>
      </c>
      <c r="B462" s="191"/>
      <c r="C462" s="191"/>
      <c r="D462" s="191"/>
      <c r="E462" s="191"/>
      <c r="F462" s="191"/>
      <c r="G462" s="191"/>
      <c r="H462" s="191"/>
      <c r="I462" s="191"/>
      <c r="J462" s="191"/>
      <c r="K462" s="191"/>
      <c r="L462" s="191"/>
    </row>
    <row r="463" spans="1:12" ht="18.75" x14ac:dyDescent="0.3">
      <c r="A463" s="191" t="s">
        <v>31</v>
      </c>
      <c r="B463" s="191"/>
      <c r="C463" s="191"/>
      <c r="D463" s="191"/>
      <c r="E463" s="191"/>
      <c r="F463" s="191"/>
      <c r="G463" s="191"/>
      <c r="H463" s="191"/>
      <c r="I463" s="191"/>
      <c r="J463" s="191"/>
      <c r="K463" s="191"/>
      <c r="L463" s="191"/>
    </row>
    <row r="464" spans="1:12" ht="18.75" x14ac:dyDescent="0.3">
      <c r="A464" s="169"/>
      <c r="B464" s="169"/>
      <c r="C464" s="169"/>
      <c r="D464" s="169"/>
      <c r="E464" s="169"/>
      <c r="F464" s="169"/>
      <c r="G464" s="169"/>
      <c r="H464" s="169"/>
      <c r="I464" s="169"/>
      <c r="J464" s="169"/>
      <c r="K464" s="169"/>
      <c r="L464" s="169"/>
    </row>
    <row r="465" spans="1:12" ht="18.75" x14ac:dyDescent="0.3">
      <c r="A465" s="192" t="s">
        <v>90</v>
      </c>
      <c r="B465" s="193"/>
      <c r="C465" s="193"/>
      <c r="D465" s="193"/>
      <c r="E465" s="193"/>
      <c r="F465" s="193"/>
      <c r="G465" s="193"/>
      <c r="H465" s="193"/>
      <c r="I465" s="193"/>
      <c r="J465" s="193"/>
      <c r="K465" s="193"/>
      <c r="L465" s="194"/>
    </row>
    <row r="466" spans="1:12" ht="18.75" x14ac:dyDescent="0.25">
      <c r="A466" s="195" t="s">
        <v>12</v>
      </c>
      <c r="B466" s="197" t="s">
        <v>13</v>
      </c>
      <c r="C466" s="199" t="s">
        <v>14</v>
      </c>
      <c r="D466" s="199" t="s">
        <v>15</v>
      </c>
      <c r="E466" s="201" t="s">
        <v>16</v>
      </c>
      <c r="F466" s="202"/>
      <c r="G466" s="202"/>
      <c r="H466" s="202"/>
      <c r="I466" s="202"/>
      <c r="J466" s="203"/>
      <c r="K466" s="197" t="s">
        <v>17</v>
      </c>
      <c r="L466" s="197" t="s">
        <v>18</v>
      </c>
    </row>
    <row r="467" spans="1:12" ht="122.25" x14ac:dyDescent="0.25">
      <c r="A467" s="196"/>
      <c r="B467" s="198"/>
      <c r="C467" s="200"/>
      <c r="D467" s="200"/>
      <c r="E467" s="4" t="s">
        <v>19</v>
      </c>
      <c r="F467" s="4" t="s">
        <v>20</v>
      </c>
      <c r="G467" s="4" t="s">
        <v>21</v>
      </c>
      <c r="H467" s="4" t="s">
        <v>22</v>
      </c>
      <c r="I467" s="4" t="s">
        <v>23</v>
      </c>
      <c r="J467" s="4" t="s">
        <v>24</v>
      </c>
      <c r="K467" s="198"/>
      <c r="L467" s="198"/>
    </row>
    <row r="468" spans="1:12" ht="18.75" x14ac:dyDescent="0.25">
      <c r="A468" s="5">
        <v>211</v>
      </c>
      <c r="B468" s="5">
        <f>'229'!M56</f>
        <v>55</v>
      </c>
      <c r="C468" s="151">
        <f>'229'!P56</f>
        <v>11268.5</v>
      </c>
      <c r="D468" s="151">
        <f>'229'!U56</f>
        <v>11147.5</v>
      </c>
      <c r="E468" s="144">
        <v>4</v>
      </c>
      <c r="F468" s="5">
        <v>1</v>
      </c>
      <c r="G468" s="5" t="s">
        <v>41</v>
      </c>
      <c r="H468" s="6">
        <v>1.8</v>
      </c>
      <c r="I468" s="145">
        <v>37</v>
      </c>
      <c r="J468" s="6">
        <v>4.5</v>
      </c>
      <c r="K468" s="6">
        <v>2.5</v>
      </c>
      <c r="L468" s="6">
        <v>5</v>
      </c>
    </row>
    <row r="469" spans="1:12" ht="18.75" x14ac:dyDescent="0.25">
      <c r="A469" s="5">
        <v>211</v>
      </c>
      <c r="B469" s="5">
        <f>'229'!X56</f>
        <v>99</v>
      </c>
      <c r="C469" s="151">
        <f>'229'!AA56</f>
        <v>20511.399999999998</v>
      </c>
      <c r="D469" s="151">
        <f>'229'!AF56</f>
        <v>20293.599999999999</v>
      </c>
      <c r="E469" s="144">
        <v>4</v>
      </c>
      <c r="F469" s="5">
        <v>1</v>
      </c>
      <c r="G469" s="5" t="s">
        <v>53</v>
      </c>
      <c r="H469" s="6">
        <v>1.8</v>
      </c>
      <c r="I469" s="145">
        <v>37</v>
      </c>
      <c r="J469" s="6">
        <v>4.5</v>
      </c>
      <c r="K469" s="6">
        <v>3</v>
      </c>
      <c r="L469" s="6">
        <v>5</v>
      </c>
    </row>
    <row r="470" spans="1:12" ht="18.75" x14ac:dyDescent="0.25">
      <c r="A470" s="5">
        <v>211</v>
      </c>
      <c r="B470" s="5">
        <f>'229'!AI56</f>
        <v>66</v>
      </c>
      <c r="C470" s="151">
        <f>'229'!AL56</f>
        <v>13681.3</v>
      </c>
      <c r="D470" s="151">
        <f>'229'!AQ56</f>
        <v>13536.099999999999</v>
      </c>
      <c r="E470" s="144">
        <v>4</v>
      </c>
      <c r="F470" s="5">
        <v>1</v>
      </c>
      <c r="G470" s="5" t="s">
        <v>49</v>
      </c>
      <c r="H470" s="6">
        <v>1.8</v>
      </c>
      <c r="I470" s="145">
        <v>37</v>
      </c>
      <c r="J470" s="6">
        <v>4.5</v>
      </c>
      <c r="K470" s="6">
        <v>4</v>
      </c>
      <c r="L470" s="6">
        <v>5</v>
      </c>
    </row>
    <row r="471" spans="1:12" ht="18.75" x14ac:dyDescent="0.25">
      <c r="A471" s="8" t="s">
        <v>25</v>
      </c>
      <c r="B471" s="8">
        <f>SUM(B468:B470)</f>
        <v>220</v>
      </c>
      <c r="C471" s="152">
        <f>SUM(C468:C470)</f>
        <v>45461.2</v>
      </c>
      <c r="D471" s="152">
        <f>SUM(D468:D470)</f>
        <v>44977.2</v>
      </c>
      <c r="E471" s="8"/>
      <c r="F471" s="5"/>
      <c r="G471" s="5"/>
      <c r="H471" s="6"/>
      <c r="I471" s="7"/>
      <c r="J471" s="6"/>
      <c r="K471" s="6"/>
      <c r="L471" s="6"/>
    </row>
    <row r="472" spans="1:12" ht="18.75" x14ac:dyDescent="0.25">
      <c r="A472" s="9"/>
      <c r="B472" s="9"/>
      <c r="C472" s="9"/>
      <c r="D472" s="9"/>
      <c r="E472" s="10"/>
      <c r="F472" s="10"/>
      <c r="G472" s="10"/>
      <c r="H472" s="10"/>
      <c r="I472" s="10"/>
      <c r="J472" s="10"/>
      <c r="K472" s="10"/>
      <c r="L472" s="10"/>
    </row>
    <row r="473" spans="1:12" ht="18.75" x14ac:dyDescent="0.3">
      <c r="A473" s="190" t="s">
        <v>26</v>
      </c>
      <c r="B473" s="190"/>
      <c r="C473" s="190"/>
      <c r="D473" s="190"/>
      <c r="E473" s="190"/>
      <c r="F473" s="190"/>
      <c r="G473" s="190"/>
      <c r="H473" s="11"/>
      <c r="I473" s="10"/>
      <c r="J473" s="11"/>
      <c r="K473" s="11"/>
      <c r="L473" s="11"/>
    </row>
    <row r="474" spans="1:12" ht="18.75" x14ac:dyDescent="0.3">
      <c r="A474" s="12" t="s">
        <v>27</v>
      </c>
      <c r="B474" s="190" t="s">
        <v>28</v>
      </c>
      <c r="C474" s="190"/>
      <c r="D474" s="190"/>
      <c r="E474" s="190"/>
      <c r="F474" s="190"/>
      <c r="G474" s="190" t="s">
        <v>29</v>
      </c>
      <c r="H474" s="190"/>
      <c r="I474" s="190" t="s">
        <v>30</v>
      </c>
      <c r="J474" s="190"/>
      <c r="K474" s="190"/>
      <c r="L474" s="190"/>
    </row>
    <row r="477" spans="1:12" ht="18.75" x14ac:dyDescent="0.3">
      <c r="A477" s="190" t="s">
        <v>11</v>
      </c>
      <c r="B477" s="190"/>
      <c r="C477" s="190"/>
      <c r="D477" s="190"/>
      <c r="E477" s="190"/>
      <c r="F477" s="190"/>
      <c r="G477" s="190"/>
      <c r="H477" s="190"/>
      <c r="I477" s="190"/>
      <c r="J477" s="190"/>
      <c r="K477" s="190"/>
      <c r="L477" s="190"/>
    </row>
    <row r="478" spans="1:12" ht="18.75" x14ac:dyDescent="0.3">
      <c r="A478" s="170"/>
      <c r="B478" s="170"/>
      <c r="C478" s="170"/>
      <c r="D478" s="170"/>
      <c r="E478" s="170"/>
      <c r="F478" s="170"/>
      <c r="G478" s="170"/>
      <c r="H478" s="170"/>
      <c r="I478" s="170"/>
      <c r="J478" s="170"/>
      <c r="K478" s="170"/>
      <c r="L478" s="170"/>
    </row>
    <row r="479" spans="1:12" ht="18.75" x14ac:dyDescent="0.3">
      <c r="A479" s="191" t="s">
        <v>32</v>
      </c>
      <c r="B479" s="191"/>
      <c r="C479" s="191"/>
      <c r="D479" s="191"/>
      <c r="E479" s="191"/>
      <c r="F479" s="191"/>
      <c r="G479" s="191"/>
      <c r="H479" s="191"/>
      <c r="I479" s="191"/>
      <c r="J479" s="191"/>
      <c r="K479" s="191"/>
      <c r="L479" s="191"/>
    </row>
    <row r="480" spans="1:12" ht="18.75" x14ac:dyDescent="0.3">
      <c r="A480" s="191" t="s">
        <v>31</v>
      </c>
      <c r="B480" s="191"/>
      <c r="C480" s="191"/>
      <c r="D480" s="191"/>
      <c r="E480" s="191"/>
      <c r="F480" s="191"/>
      <c r="G480" s="191"/>
      <c r="H480" s="191"/>
      <c r="I480" s="191"/>
      <c r="J480" s="191"/>
      <c r="K480" s="191"/>
      <c r="L480" s="191"/>
    </row>
    <row r="481" spans="1:12" ht="18.75" x14ac:dyDescent="0.3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</row>
    <row r="482" spans="1:12" ht="18.75" x14ac:dyDescent="0.3">
      <c r="A482" s="192" t="s">
        <v>91</v>
      </c>
      <c r="B482" s="193"/>
      <c r="C482" s="193"/>
      <c r="D482" s="193"/>
      <c r="E482" s="193"/>
      <c r="F482" s="193"/>
      <c r="G482" s="193"/>
      <c r="H482" s="193"/>
      <c r="I482" s="193"/>
      <c r="J482" s="193"/>
      <c r="K482" s="193"/>
      <c r="L482" s="194"/>
    </row>
    <row r="483" spans="1:12" ht="18.75" x14ac:dyDescent="0.25">
      <c r="A483" s="195" t="s">
        <v>12</v>
      </c>
      <c r="B483" s="197" t="s">
        <v>13</v>
      </c>
      <c r="C483" s="199" t="s">
        <v>14</v>
      </c>
      <c r="D483" s="199" t="s">
        <v>15</v>
      </c>
      <c r="E483" s="201" t="s">
        <v>16</v>
      </c>
      <c r="F483" s="202"/>
      <c r="G483" s="202"/>
      <c r="H483" s="202"/>
      <c r="I483" s="202"/>
      <c r="J483" s="203"/>
      <c r="K483" s="197" t="s">
        <v>17</v>
      </c>
      <c r="L483" s="197" t="s">
        <v>18</v>
      </c>
    </row>
    <row r="484" spans="1:12" ht="122.25" x14ac:dyDescent="0.25">
      <c r="A484" s="196"/>
      <c r="B484" s="198"/>
      <c r="C484" s="200"/>
      <c r="D484" s="200"/>
      <c r="E484" s="4" t="s">
        <v>19</v>
      </c>
      <c r="F484" s="4" t="s">
        <v>20</v>
      </c>
      <c r="G484" s="4" t="s">
        <v>21</v>
      </c>
      <c r="H484" s="4" t="s">
        <v>22</v>
      </c>
      <c r="I484" s="4" t="s">
        <v>23</v>
      </c>
      <c r="J484" s="4" t="s">
        <v>24</v>
      </c>
      <c r="K484" s="198"/>
      <c r="L484" s="198"/>
    </row>
    <row r="485" spans="1:12" ht="18.75" x14ac:dyDescent="0.25">
      <c r="A485" s="5">
        <v>211</v>
      </c>
      <c r="B485" s="5">
        <f>'230'!M56</f>
        <v>90</v>
      </c>
      <c r="C485" s="151">
        <f>'230'!P56</f>
        <v>18429</v>
      </c>
      <c r="D485" s="151">
        <f>'230'!U56</f>
        <v>18231</v>
      </c>
      <c r="E485" s="144">
        <v>4</v>
      </c>
      <c r="F485" s="5">
        <v>1</v>
      </c>
      <c r="G485" s="5" t="s">
        <v>41</v>
      </c>
      <c r="H485" s="6">
        <v>1.8</v>
      </c>
      <c r="I485" s="145">
        <v>37</v>
      </c>
      <c r="J485" s="6">
        <v>4.5</v>
      </c>
      <c r="K485" s="6">
        <v>2.5</v>
      </c>
      <c r="L485" s="6">
        <v>5</v>
      </c>
    </row>
    <row r="486" spans="1:12" ht="18.75" x14ac:dyDescent="0.25">
      <c r="A486" s="5">
        <v>211</v>
      </c>
      <c r="B486" s="5">
        <f>'230'!X56</f>
        <v>120</v>
      </c>
      <c r="C486" s="151">
        <f>'230'!AA56</f>
        <v>24293</v>
      </c>
      <c r="D486" s="151">
        <f>'230'!AF56</f>
        <v>24029</v>
      </c>
      <c r="E486" s="144">
        <v>4</v>
      </c>
      <c r="F486" s="5">
        <v>1</v>
      </c>
      <c r="G486" s="5" t="s">
        <v>53</v>
      </c>
      <c r="H486" s="6">
        <v>1.8</v>
      </c>
      <c r="I486" s="145">
        <v>37</v>
      </c>
      <c r="J486" s="6">
        <v>4.5</v>
      </c>
      <c r="K486" s="6">
        <v>3</v>
      </c>
      <c r="L486" s="6">
        <v>5</v>
      </c>
    </row>
    <row r="487" spans="1:12" ht="18.75" x14ac:dyDescent="0.25">
      <c r="A487" s="5">
        <v>211</v>
      </c>
      <c r="B487" s="5">
        <f>'230'!AI56</f>
        <v>10</v>
      </c>
      <c r="C487" s="151">
        <f>'230'!AL56</f>
        <v>2115.4</v>
      </c>
      <c r="D487" s="151">
        <f>'230'!AQ56</f>
        <v>2093.4</v>
      </c>
      <c r="E487" s="144">
        <v>4</v>
      </c>
      <c r="F487" s="5">
        <v>1</v>
      </c>
      <c r="G487" s="5" t="s">
        <v>49</v>
      </c>
      <c r="H487" s="6">
        <v>1.8</v>
      </c>
      <c r="I487" s="145">
        <v>37</v>
      </c>
      <c r="J487" s="6">
        <v>4.5</v>
      </c>
      <c r="K487" s="6">
        <v>4</v>
      </c>
      <c r="L487" s="6">
        <v>5</v>
      </c>
    </row>
    <row r="488" spans="1:12" ht="18.75" x14ac:dyDescent="0.25">
      <c r="A488" s="8" t="s">
        <v>25</v>
      </c>
      <c r="B488" s="8">
        <f>SUM(B485:B487)</f>
        <v>220</v>
      </c>
      <c r="C488" s="152">
        <f>SUM(C485:C487)</f>
        <v>44837.4</v>
      </c>
      <c r="D488" s="152">
        <f>SUM(D485:D487)</f>
        <v>44353.4</v>
      </c>
      <c r="E488" s="8"/>
      <c r="F488" s="5"/>
      <c r="G488" s="5"/>
      <c r="H488" s="6"/>
      <c r="I488" s="7"/>
      <c r="J488" s="6"/>
      <c r="K488" s="6"/>
      <c r="L488" s="6"/>
    </row>
    <row r="489" spans="1:12" ht="18.75" x14ac:dyDescent="0.25">
      <c r="A489" s="9"/>
      <c r="B489" s="9"/>
      <c r="C489" s="9"/>
      <c r="D489" s="9"/>
      <c r="E489" s="10"/>
      <c r="F489" s="10"/>
      <c r="G489" s="10"/>
      <c r="H489" s="10"/>
      <c r="I489" s="10"/>
      <c r="J489" s="10"/>
      <c r="K489" s="10"/>
      <c r="L489" s="10"/>
    </row>
    <row r="490" spans="1:12" ht="18.75" x14ac:dyDescent="0.3">
      <c r="A490" s="190" t="s">
        <v>26</v>
      </c>
      <c r="B490" s="190"/>
      <c r="C490" s="190"/>
      <c r="D490" s="190"/>
      <c r="E490" s="190"/>
      <c r="F490" s="190"/>
      <c r="G490" s="190"/>
      <c r="H490" s="11"/>
      <c r="I490" s="10"/>
      <c r="J490" s="11"/>
      <c r="K490" s="11"/>
      <c r="L490" s="11"/>
    </row>
    <row r="491" spans="1:12" ht="18.75" x14ac:dyDescent="0.3">
      <c r="A491" s="12" t="s">
        <v>27</v>
      </c>
      <c r="B491" s="190" t="s">
        <v>28</v>
      </c>
      <c r="C491" s="190"/>
      <c r="D491" s="190"/>
      <c r="E491" s="190"/>
      <c r="F491" s="190"/>
      <c r="G491" s="190" t="s">
        <v>29</v>
      </c>
      <c r="H491" s="190"/>
      <c r="I491" s="190" t="s">
        <v>30</v>
      </c>
      <c r="J491" s="190"/>
      <c r="K491" s="190"/>
      <c r="L491" s="190"/>
    </row>
    <row r="495" spans="1:12" ht="18.75" x14ac:dyDescent="0.3">
      <c r="A495" s="190" t="s">
        <v>11</v>
      </c>
      <c r="B495" s="190"/>
      <c r="C495" s="190"/>
      <c r="D495" s="190"/>
      <c r="E495" s="190"/>
      <c r="F495" s="190"/>
      <c r="G495" s="190"/>
      <c r="H495" s="190"/>
      <c r="I495" s="190"/>
      <c r="J495" s="190"/>
      <c r="K495" s="190"/>
      <c r="L495" s="190"/>
    </row>
    <row r="496" spans="1:12" ht="18.75" x14ac:dyDescent="0.3">
      <c r="A496" s="172"/>
      <c r="B496" s="172"/>
      <c r="C496" s="172"/>
      <c r="D496" s="172"/>
      <c r="E496" s="172"/>
      <c r="F496" s="172"/>
      <c r="G496" s="172"/>
      <c r="H496" s="172"/>
      <c r="I496" s="172"/>
      <c r="J496" s="172"/>
      <c r="K496" s="172"/>
      <c r="L496" s="172"/>
    </row>
    <row r="497" spans="1:12" ht="18.75" x14ac:dyDescent="0.3">
      <c r="A497" s="191" t="s">
        <v>32</v>
      </c>
      <c r="B497" s="191"/>
      <c r="C497" s="191"/>
      <c r="D497" s="191"/>
      <c r="E497" s="191"/>
      <c r="F497" s="191"/>
      <c r="G497" s="191"/>
      <c r="H497" s="191"/>
      <c r="I497" s="191"/>
      <c r="J497" s="191"/>
      <c r="K497" s="191"/>
      <c r="L497" s="191"/>
    </row>
    <row r="498" spans="1:12" ht="18.75" x14ac:dyDescent="0.3">
      <c r="A498" s="191" t="s">
        <v>31</v>
      </c>
      <c r="B498" s="191"/>
      <c r="C498" s="191"/>
      <c r="D498" s="191"/>
      <c r="E498" s="191"/>
      <c r="F498" s="191"/>
      <c r="G498" s="191"/>
      <c r="H498" s="191"/>
      <c r="I498" s="191"/>
      <c r="J498" s="191"/>
      <c r="K498" s="191"/>
      <c r="L498" s="191"/>
    </row>
    <row r="499" spans="1:12" ht="18.75" x14ac:dyDescent="0.3">
      <c r="A499" s="173"/>
      <c r="B499" s="173"/>
      <c r="C499" s="173"/>
      <c r="D499" s="173"/>
      <c r="E499" s="173"/>
      <c r="F499" s="173"/>
      <c r="G499" s="173"/>
      <c r="H499" s="173"/>
      <c r="I499" s="173"/>
      <c r="J499" s="173"/>
      <c r="K499" s="173"/>
      <c r="L499" s="173"/>
    </row>
    <row r="500" spans="1:12" ht="18.75" x14ac:dyDescent="0.3">
      <c r="A500" s="192" t="s">
        <v>92</v>
      </c>
      <c r="B500" s="193"/>
      <c r="C500" s="193"/>
      <c r="D500" s="193"/>
      <c r="E500" s="193"/>
      <c r="F500" s="193"/>
      <c r="G500" s="193"/>
      <c r="H500" s="193"/>
      <c r="I500" s="193"/>
      <c r="J500" s="193"/>
      <c r="K500" s="193"/>
      <c r="L500" s="194"/>
    </row>
    <row r="501" spans="1:12" ht="18.75" x14ac:dyDescent="0.25">
      <c r="A501" s="195" t="s">
        <v>12</v>
      </c>
      <c r="B501" s="197" t="s">
        <v>13</v>
      </c>
      <c r="C501" s="199" t="s">
        <v>14</v>
      </c>
      <c r="D501" s="199" t="s">
        <v>15</v>
      </c>
      <c r="E501" s="201" t="s">
        <v>16</v>
      </c>
      <c r="F501" s="202"/>
      <c r="G501" s="202"/>
      <c r="H501" s="202"/>
      <c r="I501" s="202"/>
      <c r="J501" s="203"/>
      <c r="K501" s="197" t="s">
        <v>17</v>
      </c>
      <c r="L501" s="197" t="s">
        <v>18</v>
      </c>
    </row>
    <row r="502" spans="1:12" ht="122.25" x14ac:dyDescent="0.25">
      <c r="A502" s="196"/>
      <c r="B502" s="198"/>
      <c r="C502" s="200"/>
      <c r="D502" s="200"/>
      <c r="E502" s="4" t="s">
        <v>19</v>
      </c>
      <c r="F502" s="4" t="s">
        <v>20</v>
      </c>
      <c r="G502" s="4" t="s">
        <v>21</v>
      </c>
      <c r="H502" s="4" t="s">
        <v>22</v>
      </c>
      <c r="I502" s="4" t="s">
        <v>23</v>
      </c>
      <c r="J502" s="4" t="s">
        <v>24</v>
      </c>
      <c r="K502" s="198"/>
      <c r="L502" s="198"/>
    </row>
    <row r="503" spans="1:12" ht="18.75" x14ac:dyDescent="0.25">
      <c r="A503" s="5">
        <v>211</v>
      </c>
      <c r="B503" s="5">
        <f>'231'!M56</f>
        <v>220</v>
      </c>
      <c r="C503" s="151">
        <f>'231'!P56</f>
        <v>43862.63</v>
      </c>
      <c r="D503" s="151">
        <f>'231'!U56</f>
        <v>43378.63</v>
      </c>
      <c r="E503" s="144">
        <v>4</v>
      </c>
      <c r="F503" s="5">
        <v>1</v>
      </c>
      <c r="G503" s="5" t="s">
        <v>53</v>
      </c>
      <c r="H503" s="6">
        <v>1.8</v>
      </c>
      <c r="I503" s="145">
        <v>37</v>
      </c>
      <c r="J503" s="6">
        <v>4.5</v>
      </c>
      <c r="K503" s="6">
        <v>3</v>
      </c>
      <c r="L503" s="6">
        <v>5</v>
      </c>
    </row>
    <row r="504" spans="1:12" ht="18.75" x14ac:dyDescent="0.25">
      <c r="A504" s="8" t="s">
        <v>25</v>
      </c>
      <c r="B504" s="8">
        <f>SUM(B503:B503)</f>
        <v>220</v>
      </c>
      <c r="C504" s="152">
        <f>SUM(C503:C503)</f>
        <v>43862.63</v>
      </c>
      <c r="D504" s="152">
        <f>SUM(D503:D503)</f>
        <v>43378.63</v>
      </c>
      <c r="E504" s="8"/>
      <c r="F504" s="5"/>
      <c r="G504" s="5"/>
      <c r="H504" s="6"/>
      <c r="I504" s="7"/>
      <c r="J504" s="6"/>
      <c r="K504" s="6"/>
      <c r="L504" s="6"/>
    </row>
    <row r="505" spans="1:12" ht="18.75" x14ac:dyDescent="0.25">
      <c r="A505" s="9"/>
      <c r="B505" s="9"/>
      <c r="C505" s="9"/>
      <c r="D505" s="9"/>
      <c r="E505" s="10"/>
      <c r="F505" s="10"/>
      <c r="G505" s="10"/>
      <c r="H505" s="10"/>
      <c r="I505" s="10"/>
      <c r="J505" s="10"/>
      <c r="K505" s="10"/>
      <c r="L505" s="10"/>
    </row>
    <row r="506" spans="1:12" ht="18.75" x14ac:dyDescent="0.3">
      <c r="A506" s="190" t="s">
        <v>26</v>
      </c>
      <c r="B506" s="190"/>
      <c r="C506" s="190"/>
      <c r="D506" s="190"/>
      <c r="E506" s="190"/>
      <c r="F506" s="190"/>
      <c r="G506" s="190"/>
      <c r="H506" s="11"/>
      <c r="I506" s="10"/>
      <c r="J506" s="11"/>
      <c r="K506" s="11"/>
      <c r="L506" s="11"/>
    </row>
    <row r="507" spans="1:12" ht="18.75" x14ac:dyDescent="0.3">
      <c r="A507" s="12" t="s">
        <v>27</v>
      </c>
      <c r="B507" s="190" t="s">
        <v>28</v>
      </c>
      <c r="C507" s="190"/>
      <c r="D507" s="190"/>
      <c r="E507" s="190"/>
      <c r="F507" s="190"/>
      <c r="G507" s="190" t="s">
        <v>29</v>
      </c>
      <c r="H507" s="190"/>
      <c r="I507" s="190" t="s">
        <v>30</v>
      </c>
      <c r="J507" s="190"/>
      <c r="K507" s="190"/>
      <c r="L507" s="190"/>
    </row>
    <row r="511" spans="1:12" ht="18.75" x14ac:dyDescent="0.3">
      <c r="A511" s="190" t="s">
        <v>11</v>
      </c>
      <c r="B511" s="190"/>
      <c r="C511" s="190"/>
      <c r="D511" s="190"/>
      <c r="E511" s="190"/>
      <c r="F511" s="190"/>
      <c r="G511" s="190"/>
      <c r="H511" s="190"/>
      <c r="I511" s="190"/>
      <c r="J511" s="190"/>
      <c r="K511" s="190"/>
      <c r="L511" s="190"/>
    </row>
    <row r="512" spans="1:12" ht="18.75" x14ac:dyDescent="0.3">
      <c r="A512" s="174"/>
      <c r="B512" s="174"/>
      <c r="C512" s="174"/>
      <c r="D512" s="174"/>
      <c r="E512" s="174"/>
      <c r="F512" s="174"/>
      <c r="G512" s="174"/>
      <c r="H512" s="174"/>
      <c r="I512" s="174"/>
      <c r="J512" s="174"/>
      <c r="K512" s="174"/>
      <c r="L512" s="174"/>
    </row>
    <row r="513" spans="1:12" ht="18.75" x14ac:dyDescent="0.3">
      <c r="A513" s="191" t="s">
        <v>32</v>
      </c>
      <c r="B513" s="191"/>
      <c r="C513" s="191"/>
      <c r="D513" s="191"/>
      <c r="E513" s="191"/>
      <c r="F513" s="191"/>
      <c r="G513" s="191"/>
      <c r="H513" s="191"/>
      <c r="I513" s="191"/>
      <c r="J513" s="191"/>
      <c r="K513" s="191"/>
      <c r="L513" s="191"/>
    </row>
    <row r="514" spans="1:12" ht="18.75" x14ac:dyDescent="0.3">
      <c r="A514" s="191" t="s">
        <v>31</v>
      </c>
      <c r="B514" s="191"/>
      <c r="C514" s="191"/>
      <c r="D514" s="191"/>
      <c r="E514" s="191"/>
      <c r="F514" s="191"/>
      <c r="G514" s="191"/>
      <c r="H514" s="191"/>
      <c r="I514" s="191"/>
      <c r="J514" s="191"/>
      <c r="K514" s="191"/>
      <c r="L514" s="191"/>
    </row>
    <row r="515" spans="1:12" ht="18.75" x14ac:dyDescent="0.3">
      <c r="A515" s="175"/>
      <c r="B515" s="175"/>
      <c r="C515" s="175"/>
      <c r="D515" s="175"/>
      <c r="E515" s="175"/>
      <c r="F515" s="175"/>
      <c r="G515" s="175"/>
      <c r="H515" s="175"/>
      <c r="I515" s="175"/>
      <c r="J515" s="175"/>
      <c r="K515" s="175"/>
      <c r="L515" s="175"/>
    </row>
    <row r="516" spans="1:12" ht="18.75" x14ac:dyDescent="0.3">
      <c r="A516" s="192" t="s">
        <v>93</v>
      </c>
      <c r="B516" s="193"/>
      <c r="C516" s="193"/>
      <c r="D516" s="193"/>
      <c r="E516" s="193"/>
      <c r="F516" s="193"/>
      <c r="G516" s="193"/>
      <c r="H516" s="193"/>
      <c r="I516" s="193"/>
      <c r="J516" s="193"/>
      <c r="K516" s="193"/>
      <c r="L516" s="194"/>
    </row>
    <row r="517" spans="1:12" ht="18.75" x14ac:dyDescent="0.25">
      <c r="A517" s="195" t="s">
        <v>12</v>
      </c>
      <c r="B517" s="197" t="s">
        <v>13</v>
      </c>
      <c r="C517" s="199" t="s">
        <v>14</v>
      </c>
      <c r="D517" s="199" t="s">
        <v>15</v>
      </c>
      <c r="E517" s="201" t="s">
        <v>16</v>
      </c>
      <c r="F517" s="202"/>
      <c r="G517" s="202"/>
      <c r="H517" s="202"/>
      <c r="I517" s="202"/>
      <c r="J517" s="203"/>
      <c r="K517" s="197" t="s">
        <v>17</v>
      </c>
      <c r="L517" s="197" t="s">
        <v>18</v>
      </c>
    </row>
    <row r="518" spans="1:12" ht="122.25" x14ac:dyDescent="0.25">
      <c r="A518" s="196"/>
      <c r="B518" s="198"/>
      <c r="C518" s="200"/>
      <c r="D518" s="200"/>
      <c r="E518" s="4" t="s">
        <v>19</v>
      </c>
      <c r="F518" s="4" t="s">
        <v>20</v>
      </c>
      <c r="G518" s="4" t="s">
        <v>21</v>
      </c>
      <c r="H518" s="4" t="s">
        <v>22</v>
      </c>
      <c r="I518" s="4" t="s">
        <v>23</v>
      </c>
      <c r="J518" s="4" t="s">
        <v>24</v>
      </c>
      <c r="K518" s="198"/>
      <c r="L518" s="198"/>
    </row>
    <row r="519" spans="1:12" ht="18.75" x14ac:dyDescent="0.25">
      <c r="A519" s="5">
        <v>211</v>
      </c>
      <c r="B519" s="5">
        <f>'232'!M56</f>
        <v>121</v>
      </c>
      <c r="C519" s="151">
        <f>'232'!P56</f>
        <v>24577.299999999996</v>
      </c>
      <c r="D519" s="151">
        <f>'232'!U56</f>
        <v>24311.099999999995</v>
      </c>
      <c r="E519" s="144">
        <v>4</v>
      </c>
      <c r="F519" s="5">
        <v>1</v>
      </c>
      <c r="G519" s="5" t="s">
        <v>41</v>
      </c>
      <c r="H519" s="6">
        <v>1.8</v>
      </c>
      <c r="I519" s="145">
        <v>37</v>
      </c>
      <c r="J519" s="6">
        <v>4.5</v>
      </c>
      <c r="K519" s="6">
        <v>2.5</v>
      </c>
      <c r="L519" s="6">
        <v>5</v>
      </c>
    </row>
    <row r="520" spans="1:12" ht="18.75" x14ac:dyDescent="0.25">
      <c r="A520" s="5">
        <v>211</v>
      </c>
      <c r="B520" s="5">
        <f>'232'!X56</f>
        <v>99</v>
      </c>
      <c r="C520" s="151">
        <f>'232'!AA56</f>
        <v>20065.299999999996</v>
      </c>
      <c r="D520" s="151">
        <f>'232'!AF56</f>
        <v>19847.499999999996</v>
      </c>
      <c r="E520" s="144">
        <v>4</v>
      </c>
      <c r="F520" s="5">
        <v>1</v>
      </c>
      <c r="G520" s="5" t="s">
        <v>53</v>
      </c>
      <c r="H520" s="6">
        <v>1.8</v>
      </c>
      <c r="I520" s="145">
        <v>37</v>
      </c>
      <c r="J520" s="6">
        <v>4.5</v>
      </c>
      <c r="K520" s="6">
        <v>3</v>
      </c>
      <c r="L520" s="6">
        <v>5</v>
      </c>
    </row>
    <row r="521" spans="1:12" ht="18.75" x14ac:dyDescent="0.25">
      <c r="A521" s="8" t="s">
        <v>25</v>
      </c>
      <c r="B521" s="8">
        <f>SUM(B519:B520)</f>
        <v>220</v>
      </c>
      <c r="C521" s="152">
        <f>SUM(C519:C520)</f>
        <v>44642.599999999991</v>
      </c>
      <c r="D521" s="152">
        <f>SUM(D519:D520)</f>
        <v>44158.599999999991</v>
      </c>
      <c r="E521" s="8"/>
      <c r="F521" s="5"/>
      <c r="G521" s="5"/>
      <c r="H521" s="6"/>
      <c r="I521" s="7"/>
      <c r="J521" s="6"/>
      <c r="K521" s="6"/>
      <c r="L521" s="6"/>
    </row>
    <row r="522" spans="1:12" ht="18.75" x14ac:dyDescent="0.25">
      <c r="A522" s="9"/>
      <c r="B522" s="9"/>
      <c r="C522" s="9"/>
      <c r="D522" s="9"/>
      <c r="E522" s="10"/>
      <c r="F522" s="10"/>
      <c r="G522" s="10"/>
      <c r="H522" s="10"/>
      <c r="I522" s="10"/>
      <c r="J522" s="10"/>
      <c r="K522" s="10"/>
      <c r="L522" s="10"/>
    </row>
    <row r="523" spans="1:12" ht="18.75" x14ac:dyDescent="0.3">
      <c r="A523" s="190" t="s">
        <v>26</v>
      </c>
      <c r="B523" s="190"/>
      <c r="C523" s="190"/>
      <c r="D523" s="190"/>
      <c r="E523" s="190"/>
      <c r="F523" s="190"/>
      <c r="G523" s="190"/>
      <c r="H523" s="11"/>
      <c r="I523" s="10"/>
      <c r="J523" s="11"/>
      <c r="K523" s="11"/>
      <c r="L523" s="11"/>
    </row>
    <row r="524" spans="1:12" ht="18.75" x14ac:dyDescent="0.3">
      <c r="A524" s="12" t="s">
        <v>27</v>
      </c>
      <c r="B524" s="190" t="s">
        <v>28</v>
      </c>
      <c r="C524" s="190"/>
      <c r="D524" s="190"/>
      <c r="E524" s="190"/>
      <c r="F524" s="190"/>
      <c r="G524" s="190" t="s">
        <v>29</v>
      </c>
      <c r="H524" s="190"/>
      <c r="I524" s="190" t="s">
        <v>30</v>
      </c>
      <c r="J524" s="190"/>
      <c r="K524" s="190"/>
      <c r="L524" s="190"/>
    </row>
    <row r="527" spans="1:12" ht="18.75" x14ac:dyDescent="0.3">
      <c r="A527" s="190" t="s">
        <v>11</v>
      </c>
      <c r="B527" s="190"/>
      <c r="C527" s="190"/>
      <c r="D527" s="190"/>
      <c r="E527" s="190"/>
      <c r="F527" s="190"/>
      <c r="G527" s="190"/>
      <c r="H527" s="190"/>
      <c r="I527" s="190"/>
      <c r="J527" s="190"/>
      <c r="K527" s="190"/>
      <c r="L527" s="190"/>
    </row>
    <row r="528" spans="1:12" ht="18.75" x14ac:dyDescent="0.3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</row>
    <row r="529" spans="1:12" ht="18.75" x14ac:dyDescent="0.3">
      <c r="A529" s="191" t="s">
        <v>32</v>
      </c>
      <c r="B529" s="191"/>
      <c r="C529" s="191"/>
      <c r="D529" s="191"/>
      <c r="E529" s="191"/>
      <c r="F529" s="191"/>
      <c r="G529" s="191"/>
      <c r="H529" s="191"/>
      <c r="I529" s="191"/>
      <c r="J529" s="191"/>
      <c r="K529" s="191"/>
      <c r="L529" s="191"/>
    </row>
    <row r="530" spans="1:12" ht="18.75" x14ac:dyDescent="0.3">
      <c r="A530" s="191" t="s">
        <v>31</v>
      </c>
      <c r="B530" s="191"/>
      <c r="C530" s="191"/>
      <c r="D530" s="191"/>
      <c r="E530" s="191"/>
      <c r="F530" s="191"/>
      <c r="G530" s="191"/>
      <c r="H530" s="191"/>
      <c r="I530" s="191"/>
      <c r="J530" s="191"/>
      <c r="K530" s="191"/>
      <c r="L530" s="191"/>
    </row>
    <row r="531" spans="1:12" ht="18.75" x14ac:dyDescent="0.3">
      <c r="A531" s="177"/>
      <c r="B531" s="177"/>
      <c r="C531" s="177"/>
      <c r="D531" s="177"/>
      <c r="E531" s="177"/>
      <c r="F531" s="177"/>
      <c r="G531" s="177"/>
      <c r="H531" s="177"/>
      <c r="I531" s="177"/>
      <c r="J531" s="177"/>
      <c r="K531" s="177"/>
      <c r="L531" s="177"/>
    </row>
    <row r="532" spans="1:12" ht="18.75" x14ac:dyDescent="0.3">
      <c r="A532" s="192" t="s">
        <v>94</v>
      </c>
      <c r="B532" s="193"/>
      <c r="C532" s="193"/>
      <c r="D532" s="193"/>
      <c r="E532" s="193"/>
      <c r="F532" s="193"/>
      <c r="G532" s="193"/>
      <c r="H532" s="193"/>
      <c r="I532" s="193"/>
      <c r="J532" s="193"/>
      <c r="K532" s="193"/>
      <c r="L532" s="194"/>
    </row>
    <row r="533" spans="1:12" ht="18.75" x14ac:dyDescent="0.25">
      <c r="A533" s="195" t="s">
        <v>12</v>
      </c>
      <c r="B533" s="197" t="s">
        <v>13</v>
      </c>
      <c r="C533" s="199" t="s">
        <v>14</v>
      </c>
      <c r="D533" s="199" t="s">
        <v>15</v>
      </c>
      <c r="E533" s="201" t="s">
        <v>16</v>
      </c>
      <c r="F533" s="202"/>
      <c r="G533" s="202"/>
      <c r="H533" s="202"/>
      <c r="I533" s="202"/>
      <c r="J533" s="203"/>
      <c r="K533" s="197" t="s">
        <v>17</v>
      </c>
      <c r="L533" s="197" t="s">
        <v>18</v>
      </c>
    </row>
    <row r="534" spans="1:12" ht="122.25" x14ac:dyDescent="0.25">
      <c r="A534" s="196"/>
      <c r="B534" s="198"/>
      <c r="C534" s="200"/>
      <c r="D534" s="200"/>
      <c r="E534" s="4" t="s">
        <v>19</v>
      </c>
      <c r="F534" s="4" t="s">
        <v>20</v>
      </c>
      <c r="G534" s="4" t="s">
        <v>21</v>
      </c>
      <c r="H534" s="4" t="s">
        <v>22</v>
      </c>
      <c r="I534" s="4" t="s">
        <v>23</v>
      </c>
      <c r="J534" s="4" t="s">
        <v>24</v>
      </c>
      <c r="K534" s="198"/>
      <c r="L534" s="198"/>
    </row>
    <row r="535" spans="1:12" ht="18.75" x14ac:dyDescent="0.25">
      <c r="A535" s="5">
        <v>211</v>
      </c>
      <c r="B535" s="5">
        <f>'233'!M56</f>
        <v>130</v>
      </c>
      <c r="C535" s="151">
        <f>'233'!P56</f>
        <v>26705.999999999996</v>
      </c>
      <c r="D535" s="151">
        <f>'233'!U56</f>
        <v>26419.999999999996</v>
      </c>
      <c r="E535" s="144">
        <v>4</v>
      </c>
      <c r="F535" s="5">
        <v>1</v>
      </c>
      <c r="G535" s="5" t="s">
        <v>41</v>
      </c>
      <c r="H535" s="6">
        <v>1.8</v>
      </c>
      <c r="I535" s="145">
        <v>37</v>
      </c>
      <c r="J535" s="6">
        <v>4.5</v>
      </c>
      <c r="K535" s="6">
        <v>2.5</v>
      </c>
      <c r="L535" s="6">
        <v>5</v>
      </c>
    </row>
    <row r="536" spans="1:12" ht="18.75" x14ac:dyDescent="0.25">
      <c r="A536" s="5">
        <v>211</v>
      </c>
      <c r="B536" s="5">
        <f>'233'!X56</f>
        <v>90</v>
      </c>
      <c r="C536" s="151">
        <f>'233'!AA56</f>
        <v>18346.5</v>
      </c>
      <c r="D536" s="151">
        <f>'233'!AF56</f>
        <v>18148.5</v>
      </c>
      <c r="E536" s="144">
        <v>4</v>
      </c>
      <c r="F536" s="5">
        <v>1</v>
      </c>
      <c r="G536" s="5" t="s">
        <v>53</v>
      </c>
      <c r="H536" s="6">
        <v>1.8</v>
      </c>
      <c r="I536" s="145">
        <v>37</v>
      </c>
      <c r="J536" s="6">
        <v>4.5</v>
      </c>
      <c r="K536" s="6">
        <v>3</v>
      </c>
      <c r="L536" s="6">
        <v>5</v>
      </c>
    </row>
    <row r="537" spans="1:12" ht="18.75" x14ac:dyDescent="0.25">
      <c r="A537" s="8" t="s">
        <v>25</v>
      </c>
      <c r="B537" s="8">
        <f>SUM(B535:B536)</f>
        <v>220</v>
      </c>
      <c r="C537" s="152">
        <f>SUM(C535:C536)</f>
        <v>45052.5</v>
      </c>
      <c r="D537" s="152">
        <f>SUM(D535:D536)</f>
        <v>44568.5</v>
      </c>
      <c r="E537" s="8"/>
      <c r="F537" s="5"/>
      <c r="G537" s="5"/>
      <c r="H537" s="6"/>
      <c r="I537" s="7"/>
      <c r="J537" s="6"/>
      <c r="K537" s="6"/>
      <c r="L537" s="6"/>
    </row>
    <row r="538" spans="1:12" ht="18.75" x14ac:dyDescent="0.25">
      <c r="A538" s="9"/>
      <c r="B538" s="9"/>
      <c r="C538" s="9"/>
      <c r="D538" s="9"/>
      <c r="E538" s="10"/>
      <c r="F538" s="10"/>
      <c r="G538" s="10"/>
      <c r="H538" s="10"/>
      <c r="I538" s="10"/>
      <c r="J538" s="10"/>
      <c r="K538" s="10"/>
      <c r="L538" s="10"/>
    </row>
    <row r="539" spans="1:12" ht="18.75" x14ac:dyDescent="0.3">
      <c r="A539" s="190" t="s">
        <v>26</v>
      </c>
      <c r="B539" s="190"/>
      <c r="C539" s="190"/>
      <c r="D539" s="190"/>
      <c r="E539" s="190"/>
      <c r="F539" s="190"/>
      <c r="G539" s="190"/>
      <c r="H539" s="11"/>
      <c r="I539" s="10"/>
      <c r="J539" s="11"/>
      <c r="K539" s="11"/>
      <c r="L539" s="11"/>
    </row>
    <row r="540" spans="1:12" ht="18.75" x14ac:dyDescent="0.3">
      <c r="A540" s="12" t="s">
        <v>27</v>
      </c>
      <c r="B540" s="190" t="s">
        <v>28</v>
      </c>
      <c r="C540" s="190"/>
      <c r="D540" s="190"/>
      <c r="E540" s="190"/>
      <c r="F540" s="190"/>
      <c r="G540" s="190" t="s">
        <v>29</v>
      </c>
      <c r="H540" s="190"/>
      <c r="I540" s="190" t="s">
        <v>30</v>
      </c>
      <c r="J540" s="190"/>
      <c r="K540" s="190"/>
      <c r="L540" s="190"/>
    </row>
  </sheetData>
  <mergeCells count="495">
    <mergeCell ref="A539:G539"/>
    <mergeCell ref="B540:F540"/>
    <mergeCell ref="G540:H540"/>
    <mergeCell ref="I540:L540"/>
    <mergeCell ref="A527:L527"/>
    <mergeCell ref="A529:L529"/>
    <mergeCell ref="A530:L530"/>
    <mergeCell ref="A532:L532"/>
    <mergeCell ref="A533:A534"/>
    <mergeCell ref="B533:B534"/>
    <mergeCell ref="C533:C534"/>
    <mergeCell ref="D533:D534"/>
    <mergeCell ref="E533:J533"/>
    <mergeCell ref="K533:K534"/>
    <mergeCell ref="L533:L534"/>
    <mergeCell ref="A523:G523"/>
    <mergeCell ref="B524:F524"/>
    <mergeCell ref="G524:H524"/>
    <mergeCell ref="I524:L524"/>
    <mergeCell ref="A511:L511"/>
    <mergeCell ref="A513:L513"/>
    <mergeCell ref="A514:L514"/>
    <mergeCell ref="A516:L516"/>
    <mergeCell ref="A517:A518"/>
    <mergeCell ref="B517:B518"/>
    <mergeCell ref="C517:C518"/>
    <mergeCell ref="D517:D518"/>
    <mergeCell ref="E517:J517"/>
    <mergeCell ref="K517:K518"/>
    <mergeCell ref="L517:L518"/>
    <mergeCell ref="A506:G506"/>
    <mergeCell ref="B507:F507"/>
    <mergeCell ref="G507:H507"/>
    <mergeCell ref="I507:L507"/>
    <mergeCell ref="A495:L495"/>
    <mergeCell ref="A497:L497"/>
    <mergeCell ref="A498:L498"/>
    <mergeCell ref="A500:L500"/>
    <mergeCell ref="A501:A502"/>
    <mergeCell ref="B501:B502"/>
    <mergeCell ref="C501:C502"/>
    <mergeCell ref="D501:D502"/>
    <mergeCell ref="E501:J501"/>
    <mergeCell ref="K501:K502"/>
    <mergeCell ref="L501:L502"/>
    <mergeCell ref="A456:G456"/>
    <mergeCell ref="B457:F457"/>
    <mergeCell ref="G457:H457"/>
    <mergeCell ref="I457:L457"/>
    <mergeCell ref="A444:L444"/>
    <mergeCell ref="A446:L446"/>
    <mergeCell ref="A447:L447"/>
    <mergeCell ref="A449:L449"/>
    <mergeCell ref="A450:A451"/>
    <mergeCell ref="B450:B451"/>
    <mergeCell ref="C450:C451"/>
    <mergeCell ref="D450:D451"/>
    <mergeCell ref="E450:J450"/>
    <mergeCell ref="K450:K451"/>
    <mergeCell ref="L450:L451"/>
    <mergeCell ref="A409:G409"/>
    <mergeCell ref="B410:F410"/>
    <mergeCell ref="G410:H410"/>
    <mergeCell ref="I410:L410"/>
    <mergeCell ref="A397:L397"/>
    <mergeCell ref="A399:L399"/>
    <mergeCell ref="A400:L400"/>
    <mergeCell ref="A402:L402"/>
    <mergeCell ref="A403:A404"/>
    <mergeCell ref="B403:B404"/>
    <mergeCell ref="C403:C404"/>
    <mergeCell ref="D403:D404"/>
    <mergeCell ref="E403:J403"/>
    <mergeCell ref="K403:K404"/>
    <mergeCell ref="L403:L404"/>
    <mergeCell ref="A377:G377"/>
    <mergeCell ref="B378:F378"/>
    <mergeCell ref="G378:H378"/>
    <mergeCell ref="I378:L378"/>
    <mergeCell ref="A365:L365"/>
    <mergeCell ref="A367:L367"/>
    <mergeCell ref="A368:L368"/>
    <mergeCell ref="A370:L370"/>
    <mergeCell ref="A371:A372"/>
    <mergeCell ref="B371:B372"/>
    <mergeCell ref="C371:C372"/>
    <mergeCell ref="D371:D372"/>
    <mergeCell ref="E371:J371"/>
    <mergeCell ref="K371:K372"/>
    <mergeCell ref="L371:L372"/>
    <mergeCell ref="A361:G361"/>
    <mergeCell ref="B362:F362"/>
    <mergeCell ref="G362:H362"/>
    <mergeCell ref="I362:L362"/>
    <mergeCell ref="A343:G343"/>
    <mergeCell ref="B344:F344"/>
    <mergeCell ref="G344:H344"/>
    <mergeCell ref="I344:L344"/>
    <mergeCell ref="A349:L349"/>
    <mergeCell ref="A351:L351"/>
    <mergeCell ref="A352:L352"/>
    <mergeCell ref="A354:L354"/>
    <mergeCell ref="A355:A356"/>
    <mergeCell ref="B355:B356"/>
    <mergeCell ref="C355:C356"/>
    <mergeCell ref="D355:D356"/>
    <mergeCell ref="E355:J355"/>
    <mergeCell ref="K355:K356"/>
    <mergeCell ref="L355:L356"/>
    <mergeCell ref="A332:L332"/>
    <mergeCell ref="A334:L334"/>
    <mergeCell ref="A335:L335"/>
    <mergeCell ref="A337:L337"/>
    <mergeCell ref="A338:A339"/>
    <mergeCell ref="B338:B339"/>
    <mergeCell ref="C338:C339"/>
    <mergeCell ref="D338:D339"/>
    <mergeCell ref="E338:J338"/>
    <mergeCell ref="K338:K339"/>
    <mergeCell ref="L338:L339"/>
    <mergeCell ref="A327:G327"/>
    <mergeCell ref="B328:F328"/>
    <mergeCell ref="G328:H328"/>
    <mergeCell ref="I328:L328"/>
    <mergeCell ref="A316:L316"/>
    <mergeCell ref="A318:L318"/>
    <mergeCell ref="A319:L319"/>
    <mergeCell ref="A321:L321"/>
    <mergeCell ref="A322:A323"/>
    <mergeCell ref="B322:B323"/>
    <mergeCell ref="C322:C323"/>
    <mergeCell ref="D322:D323"/>
    <mergeCell ref="E322:J322"/>
    <mergeCell ref="K322:K323"/>
    <mergeCell ref="L322:L323"/>
    <mergeCell ref="A226:G226"/>
    <mergeCell ref="B227:F227"/>
    <mergeCell ref="G227:H227"/>
    <mergeCell ref="I227:L227"/>
    <mergeCell ref="A210:G210"/>
    <mergeCell ref="B211:F211"/>
    <mergeCell ref="G211:H211"/>
    <mergeCell ref="I211:L211"/>
    <mergeCell ref="A214:L214"/>
    <mergeCell ref="A216:L216"/>
    <mergeCell ref="A217:L217"/>
    <mergeCell ref="A219:L219"/>
    <mergeCell ref="A220:A221"/>
    <mergeCell ref="B220:B221"/>
    <mergeCell ref="C220:C221"/>
    <mergeCell ref="D220:D221"/>
    <mergeCell ref="E220:J220"/>
    <mergeCell ref="K220:K221"/>
    <mergeCell ref="L220:L221"/>
    <mergeCell ref="A198:L198"/>
    <mergeCell ref="A200:L200"/>
    <mergeCell ref="A201:L201"/>
    <mergeCell ref="A203:L203"/>
    <mergeCell ref="A204:A205"/>
    <mergeCell ref="B204:B205"/>
    <mergeCell ref="C204:C205"/>
    <mergeCell ref="D204:D205"/>
    <mergeCell ref="E204:J204"/>
    <mergeCell ref="K204:K205"/>
    <mergeCell ref="L204:L205"/>
    <mergeCell ref="A193:G193"/>
    <mergeCell ref="B194:F194"/>
    <mergeCell ref="G194:H194"/>
    <mergeCell ref="I194:L194"/>
    <mergeCell ref="A175:G175"/>
    <mergeCell ref="B176:F176"/>
    <mergeCell ref="G176:H176"/>
    <mergeCell ref="I176:L176"/>
    <mergeCell ref="A181:L181"/>
    <mergeCell ref="A183:L183"/>
    <mergeCell ref="A184:L184"/>
    <mergeCell ref="A186:L186"/>
    <mergeCell ref="A187:A188"/>
    <mergeCell ref="B187:B188"/>
    <mergeCell ref="C187:C188"/>
    <mergeCell ref="D187:D188"/>
    <mergeCell ref="E187:J187"/>
    <mergeCell ref="K187:K188"/>
    <mergeCell ref="L187:L188"/>
    <mergeCell ref="A159:G159"/>
    <mergeCell ref="B160:F160"/>
    <mergeCell ref="G160:H160"/>
    <mergeCell ref="I160:L160"/>
    <mergeCell ref="A163:L163"/>
    <mergeCell ref="A165:L165"/>
    <mergeCell ref="A166:L166"/>
    <mergeCell ref="A168:L168"/>
    <mergeCell ref="A169:A170"/>
    <mergeCell ref="B169:B170"/>
    <mergeCell ref="C169:C170"/>
    <mergeCell ref="D169:D170"/>
    <mergeCell ref="E169:J169"/>
    <mergeCell ref="K169:K170"/>
    <mergeCell ref="L169:L170"/>
    <mergeCell ref="A147:L147"/>
    <mergeCell ref="A149:L149"/>
    <mergeCell ref="A150:L150"/>
    <mergeCell ref="A152:L152"/>
    <mergeCell ref="A153:A154"/>
    <mergeCell ref="B153:B154"/>
    <mergeCell ref="C153:C154"/>
    <mergeCell ref="D153:D154"/>
    <mergeCell ref="E153:J153"/>
    <mergeCell ref="K153:K154"/>
    <mergeCell ref="L153:L154"/>
    <mergeCell ref="A142:G142"/>
    <mergeCell ref="B143:F143"/>
    <mergeCell ref="G143:H143"/>
    <mergeCell ref="I143:L143"/>
    <mergeCell ref="A130:L130"/>
    <mergeCell ref="A132:L132"/>
    <mergeCell ref="A133:L133"/>
    <mergeCell ref="A135:L135"/>
    <mergeCell ref="A136:A137"/>
    <mergeCell ref="B136:B137"/>
    <mergeCell ref="C136:C137"/>
    <mergeCell ref="D136:D137"/>
    <mergeCell ref="E136:J136"/>
    <mergeCell ref="K136:K137"/>
    <mergeCell ref="L136:L137"/>
    <mergeCell ref="A125:G125"/>
    <mergeCell ref="B126:F126"/>
    <mergeCell ref="G126:H126"/>
    <mergeCell ref="I126:L126"/>
    <mergeCell ref="A113:L113"/>
    <mergeCell ref="A115:L115"/>
    <mergeCell ref="A116:L116"/>
    <mergeCell ref="A118:L118"/>
    <mergeCell ref="A119:A120"/>
    <mergeCell ref="B119:B120"/>
    <mergeCell ref="C119:C120"/>
    <mergeCell ref="D119:D120"/>
    <mergeCell ref="E119:J119"/>
    <mergeCell ref="K119:K120"/>
    <mergeCell ref="L119:L120"/>
    <mergeCell ref="A93:G93"/>
    <mergeCell ref="B94:F94"/>
    <mergeCell ref="G94:H94"/>
    <mergeCell ref="I94:L94"/>
    <mergeCell ref="A82:L82"/>
    <mergeCell ref="A84:L84"/>
    <mergeCell ref="A85:L85"/>
    <mergeCell ref="A87:L87"/>
    <mergeCell ref="A88:A89"/>
    <mergeCell ref="B88:B89"/>
    <mergeCell ref="C88:C89"/>
    <mergeCell ref="D88:D89"/>
    <mergeCell ref="E88:J88"/>
    <mergeCell ref="K88:K89"/>
    <mergeCell ref="L88:L89"/>
    <mergeCell ref="A46:G46"/>
    <mergeCell ref="B47:F47"/>
    <mergeCell ref="G47:H47"/>
    <mergeCell ref="I47:L47"/>
    <mergeCell ref="A34:L34"/>
    <mergeCell ref="A36:L36"/>
    <mergeCell ref="A37:L37"/>
    <mergeCell ref="A39:L39"/>
    <mergeCell ref="A40:A41"/>
    <mergeCell ref="B40:B41"/>
    <mergeCell ref="C40:C41"/>
    <mergeCell ref="D40:D41"/>
    <mergeCell ref="E40:J40"/>
    <mergeCell ref="K40:K41"/>
    <mergeCell ref="L40:L41"/>
    <mergeCell ref="A14:G14"/>
    <mergeCell ref="B15:F15"/>
    <mergeCell ref="G15:H15"/>
    <mergeCell ref="I15:L15"/>
    <mergeCell ref="A1:L1"/>
    <mergeCell ref="A3:L3"/>
    <mergeCell ref="A4:L4"/>
    <mergeCell ref="A6:L6"/>
    <mergeCell ref="A7:A8"/>
    <mergeCell ref="B7:B8"/>
    <mergeCell ref="C7:C8"/>
    <mergeCell ref="D7:D8"/>
    <mergeCell ref="E7:J7"/>
    <mergeCell ref="K7:K8"/>
    <mergeCell ref="L7:L8"/>
    <mergeCell ref="A30:G30"/>
    <mergeCell ref="B31:F31"/>
    <mergeCell ref="G31:H31"/>
    <mergeCell ref="I31:L31"/>
    <mergeCell ref="A18:L18"/>
    <mergeCell ref="A20:L20"/>
    <mergeCell ref="A21:L21"/>
    <mergeCell ref="A23:L23"/>
    <mergeCell ref="A24:A25"/>
    <mergeCell ref="B24:B25"/>
    <mergeCell ref="C24:C25"/>
    <mergeCell ref="D24:D25"/>
    <mergeCell ref="E24:J24"/>
    <mergeCell ref="K24:K25"/>
    <mergeCell ref="L24:L25"/>
    <mergeCell ref="A62:G62"/>
    <mergeCell ref="B63:F63"/>
    <mergeCell ref="G63:H63"/>
    <mergeCell ref="I63:L63"/>
    <mergeCell ref="A50:L50"/>
    <mergeCell ref="A52:L52"/>
    <mergeCell ref="A53:L53"/>
    <mergeCell ref="A55:L55"/>
    <mergeCell ref="A56:A57"/>
    <mergeCell ref="B56:B57"/>
    <mergeCell ref="C56:C57"/>
    <mergeCell ref="D56:D57"/>
    <mergeCell ref="E56:J56"/>
    <mergeCell ref="K56:K57"/>
    <mergeCell ref="L56:L57"/>
    <mergeCell ref="A71:L71"/>
    <mergeCell ref="A69:L69"/>
    <mergeCell ref="A68:L68"/>
    <mergeCell ref="A66:L66"/>
    <mergeCell ref="I79:L79"/>
    <mergeCell ref="G79:H79"/>
    <mergeCell ref="B79:F79"/>
    <mergeCell ref="A78:G78"/>
    <mergeCell ref="L72:L73"/>
    <mergeCell ref="K72:K73"/>
    <mergeCell ref="E72:J72"/>
    <mergeCell ref="D72:D73"/>
    <mergeCell ref="C72:C73"/>
    <mergeCell ref="B72:B73"/>
    <mergeCell ref="A72:A73"/>
    <mergeCell ref="A109:G109"/>
    <mergeCell ref="B110:F110"/>
    <mergeCell ref="G110:H110"/>
    <mergeCell ref="I110:L110"/>
    <mergeCell ref="A97:L97"/>
    <mergeCell ref="A99:L99"/>
    <mergeCell ref="A100:L100"/>
    <mergeCell ref="A102:L102"/>
    <mergeCell ref="A103:A104"/>
    <mergeCell ref="B103:B104"/>
    <mergeCell ref="C103:C104"/>
    <mergeCell ref="D103:D104"/>
    <mergeCell ref="E103:J103"/>
    <mergeCell ref="K103:K104"/>
    <mergeCell ref="L103:L104"/>
    <mergeCell ref="A242:G242"/>
    <mergeCell ref="B243:F243"/>
    <mergeCell ref="G243:H243"/>
    <mergeCell ref="I243:L243"/>
    <mergeCell ref="A230:L230"/>
    <mergeCell ref="A232:L232"/>
    <mergeCell ref="A233:L233"/>
    <mergeCell ref="A235:L235"/>
    <mergeCell ref="A236:A237"/>
    <mergeCell ref="B236:B237"/>
    <mergeCell ref="C236:C237"/>
    <mergeCell ref="D236:D237"/>
    <mergeCell ref="E236:J236"/>
    <mergeCell ref="K236:K237"/>
    <mergeCell ref="L236:L237"/>
    <mergeCell ref="A247:L247"/>
    <mergeCell ref="A249:L249"/>
    <mergeCell ref="A250:L250"/>
    <mergeCell ref="A252:L252"/>
    <mergeCell ref="A253:A254"/>
    <mergeCell ref="B253:B254"/>
    <mergeCell ref="C253:C254"/>
    <mergeCell ref="D253:D254"/>
    <mergeCell ref="E253:J253"/>
    <mergeCell ref="K253:K254"/>
    <mergeCell ref="L253:L254"/>
    <mergeCell ref="A277:G277"/>
    <mergeCell ref="B278:F278"/>
    <mergeCell ref="G278:H278"/>
    <mergeCell ref="I278:L278"/>
    <mergeCell ref="A260:G260"/>
    <mergeCell ref="B261:F261"/>
    <mergeCell ref="G261:H261"/>
    <mergeCell ref="I261:L261"/>
    <mergeCell ref="A265:L265"/>
    <mergeCell ref="A267:L267"/>
    <mergeCell ref="A268:L268"/>
    <mergeCell ref="A270:L270"/>
    <mergeCell ref="A271:A272"/>
    <mergeCell ref="B271:B272"/>
    <mergeCell ref="C271:C272"/>
    <mergeCell ref="D271:D272"/>
    <mergeCell ref="E271:J271"/>
    <mergeCell ref="K271:K272"/>
    <mergeCell ref="L271:L272"/>
    <mergeCell ref="A281:L281"/>
    <mergeCell ref="A283:L283"/>
    <mergeCell ref="A284:L284"/>
    <mergeCell ref="A286:L286"/>
    <mergeCell ref="A287:A288"/>
    <mergeCell ref="B287:B288"/>
    <mergeCell ref="C287:C288"/>
    <mergeCell ref="D287:D288"/>
    <mergeCell ref="E287:J287"/>
    <mergeCell ref="K287:K288"/>
    <mergeCell ref="L287:L288"/>
    <mergeCell ref="A311:G311"/>
    <mergeCell ref="B312:F312"/>
    <mergeCell ref="G312:H312"/>
    <mergeCell ref="I312:L312"/>
    <mergeCell ref="A293:G293"/>
    <mergeCell ref="B294:F294"/>
    <mergeCell ref="G294:H294"/>
    <mergeCell ref="I294:L294"/>
    <mergeCell ref="A299:L299"/>
    <mergeCell ref="A301:L301"/>
    <mergeCell ref="A302:L302"/>
    <mergeCell ref="A304:L304"/>
    <mergeCell ref="A305:A306"/>
    <mergeCell ref="B305:B306"/>
    <mergeCell ref="C305:C306"/>
    <mergeCell ref="D305:D306"/>
    <mergeCell ref="E305:J305"/>
    <mergeCell ref="K305:K306"/>
    <mergeCell ref="L305:L306"/>
    <mergeCell ref="A392:G392"/>
    <mergeCell ref="B393:F393"/>
    <mergeCell ref="G393:H393"/>
    <mergeCell ref="I393:L393"/>
    <mergeCell ref="A381:L381"/>
    <mergeCell ref="A383:L383"/>
    <mergeCell ref="A384:L384"/>
    <mergeCell ref="A386:L386"/>
    <mergeCell ref="A387:A388"/>
    <mergeCell ref="B387:B388"/>
    <mergeCell ref="C387:C388"/>
    <mergeCell ref="D387:D388"/>
    <mergeCell ref="E387:J387"/>
    <mergeCell ref="K387:K388"/>
    <mergeCell ref="L387:L388"/>
    <mergeCell ref="A413:L413"/>
    <mergeCell ref="A415:L415"/>
    <mergeCell ref="A416:L416"/>
    <mergeCell ref="A418:L418"/>
    <mergeCell ref="A419:A420"/>
    <mergeCell ref="B419:B420"/>
    <mergeCell ref="C419:C420"/>
    <mergeCell ref="D419:D420"/>
    <mergeCell ref="E419:J419"/>
    <mergeCell ref="K419:K420"/>
    <mergeCell ref="L419:L420"/>
    <mergeCell ref="A440:G440"/>
    <mergeCell ref="B441:F441"/>
    <mergeCell ref="G441:H441"/>
    <mergeCell ref="I441:L441"/>
    <mergeCell ref="A425:G425"/>
    <mergeCell ref="B426:F426"/>
    <mergeCell ref="G426:H426"/>
    <mergeCell ref="I426:L426"/>
    <mergeCell ref="A429:L429"/>
    <mergeCell ref="A431:L431"/>
    <mergeCell ref="A432:L432"/>
    <mergeCell ref="A434:L434"/>
    <mergeCell ref="A435:A436"/>
    <mergeCell ref="B435:B436"/>
    <mergeCell ref="C435:C436"/>
    <mergeCell ref="D435:D436"/>
    <mergeCell ref="E435:J435"/>
    <mergeCell ref="K435:K436"/>
    <mergeCell ref="L435:L436"/>
    <mergeCell ref="A473:G473"/>
    <mergeCell ref="B474:F474"/>
    <mergeCell ref="G474:H474"/>
    <mergeCell ref="I474:L474"/>
    <mergeCell ref="A460:L460"/>
    <mergeCell ref="A462:L462"/>
    <mergeCell ref="A463:L463"/>
    <mergeCell ref="A465:L465"/>
    <mergeCell ref="A466:A467"/>
    <mergeCell ref="B466:B467"/>
    <mergeCell ref="C466:C467"/>
    <mergeCell ref="D466:D467"/>
    <mergeCell ref="E466:J466"/>
    <mergeCell ref="K466:K467"/>
    <mergeCell ref="L466:L467"/>
    <mergeCell ref="A490:G490"/>
    <mergeCell ref="B491:F491"/>
    <mergeCell ref="G491:H491"/>
    <mergeCell ref="I491:L491"/>
    <mergeCell ref="A477:L477"/>
    <mergeCell ref="A479:L479"/>
    <mergeCell ref="A480:L480"/>
    <mergeCell ref="A482:L482"/>
    <mergeCell ref="A483:A484"/>
    <mergeCell ref="B483:B484"/>
    <mergeCell ref="C483:C484"/>
    <mergeCell ref="D483:D484"/>
    <mergeCell ref="E483:J483"/>
    <mergeCell ref="K483:K484"/>
    <mergeCell ref="L483:L484"/>
  </mergeCells>
  <pageMargins left="0.70866141732283472" right="0.70866141732283472" top="0.74803149606299213" bottom="0.74803149606299213" header="0.31496062992125984" footer="0.31496062992125984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topLeftCell="A43" workbookViewId="0">
      <selection activeCell="B3" sqref="B3"/>
    </sheetView>
  </sheetViews>
  <sheetFormatPr defaultRowHeight="15" x14ac:dyDescent="0.25"/>
  <sheetData>
    <row r="1" spans="1:10" ht="18.75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</row>
    <row r="2" spans="1:10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</row>
    <row r="3" spans="1:10" ht="15.75" x14ac:dyDescent="0.25">
      <c r="A3" s="25" t="s">
        <v>2</v>
      </c>
      <c r="B3" s="27"/>
      <c r="C3" s="14"/>
      <c r="D3" s="15"/>
      <c r="E3" s="16"/>
      <c r="F3" s="16"/>
      <c r="G3" s="16"/>
      <c r="H3" s="16"/>
      <c r="I3" s="16" t="s">
        <v>33</v>
      </c>
      <c r="J3" s="16"/>
    </row>
    <row r="4" spans="1:10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</row>
    <row r="5" spans="1:10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</row>
    <row r="6" spans="1:10" ht="15.75" x14ac:dyDescent="0.25">
      <c r="A6" s="22">
        <v>1</v>
      </c>
      <c r="B6" s="19"/>
      <c r="C6" s="22">
        <v>50</v>
      </c>
      <c r="D6" s="19"/>
      <c r="E6" s="22">
        <v>99</v>
      </c>
      <c r="F6" s="19"/>
      <c r="G6" s="33">
        <v>148</v>
      </c>
      <c r="H6" s="19"/>
      <c r="I6" s="34">
        <v>197</v>
      </c>
      <c r="J6" s="19"/>
    </row>
    <row r="7" spans="1:10" ht="15.75" x14ac:dyDescent="0.25">
      <c r="A7" s="22">
        <v>2</v>
      </c>
      <c r="B7" s="19"/>
      <c r="C7" s="22">
        <v>51</v>
      </c>
      <c r="D7" s="19"/>
      <c r="E7" s="22">
        <v>100</v>
      </c>
      <c r="F7" s="19"/>
      <c r="G7" s="33">
        <v>149</v>
      </c>
      <c r="H7" s="19"/>
      <c r="I7" s="33">
        <v>198</v>
      </c>
      <c r="J7" s="19"/>
    </row>
    <row r="8" spans="1:10" ht="15.75" x14ac:dyDescent="0.25">
      <c r="A8" s="22">
        <v>3</v>
      </c>
      <c r="B8" s="19"/>
      <c r="C8" s="22">
        <v>52</v>
      </c>
      <c r="D8" s="19"/>
      <c r="E8" s="22">
        <f t="shared" ref="E8:E54" si="0">+E7+1</f>
        <v>101</v>
      </c>
      <c r="F8" s="19"/>
      <c r="G8" s="33">
        <v>150</v>
      </c>
      <c r="H8" s="19"/>
      <c r="I8" s="33">
        <v>199</v>
      </c>
      <c r="J8" s="19"/>
    </row>
    <row r="9" spans="1:10" ht="15.75" x14ac:dyDescent="0.25">
      <c r="A9" s="22">
        <v>4</v>
      </c>
      <c r="B9" s="19"/>
      <c r="C9" s="22">
        <v>53</v>
      </c>
      <c r="D9" s="19"/>
      <c r="E9" s="22">
        <f t="shared" si="0"/>
        <v>102</v>
      </c>
      <c r="F9" s="19"/>
      <c r="G9" s="33">
        <v>151</v>
      </c>
      <c r="H9" s="19"/>
      <c r="I9" s="33">
        <v>200</v>
      </c>
      <c r="J9" s="19"/>
    </row>
    <row r="10" spans="1:10" ht="15.75" x14ac:dyDescent="0.25">
      <c r="A10" s="22">
        <v>5</v>
      </c>
      <c r="B10" s="19"/>
      <c r="C10" s="22">
        <v>54</v>
      </c>
      <c r="D10" s="19"/>
      <c r="E10" s="22">
        <f t="shared" si="0"/>
        <v>103</v>
      </c>
      <c r="F10" s="19"/>
      <c r="G10" s="33">
        <v>152</v>
      </c>
      <c r="H10" s="19"/>
      <c r="I10" s="33">
        <v>201</v>
      </c>
      <c r="J10" s="19"/>
    </row>
    <row r="11" spans="1:10" ht="15.75" x14ac:dyDescent="0.25">
      <c r="A11" s="22">
        <v>6</v>
      </c>
      <c r="B11" s="19"/>
      <c r="C11" s="22">
        <v>55</v>
      </c>
      <c r="D11" s="19"/>
      <c r="E11" s="22">
        <f t="shared" si="0"/>
        <v>104</v>
      </c>
      <c r="F11" s="19"/>
      <c r="G11" s="33">
        <v>153</v>
      </c>
      <c r="H11" s="19"/>
      <c r="I11" s="33">
        <v>202</v>
      </c>
      <c r="J11" s="19"/>
    </row>
    <row r="12" spans="1:10" ht="15.75" x14ac:dyDescent="0.25">
      <c r="A12" s="22">
        <v>7</v>
      </c>
      <c r="B12" s="19"/>
      <c r="C12" s="22">
        <v>56</v>
      </c>
      <c r="D12" s="19"/>
      <c r="E12" s="22">
        <f t="shared" si="0"/>
        <v>105</v>
      </c>
      <c r="F12" s="19"/>
      <c r="G12" s="33">
        <v>154</v>
      </c>
      <c r="H12" s="19"/>
      <c r="I12" s="33">
        <v>203</v>
      </c>
      <c r="J12" s="19"/>
    </row>
    <row r="13" spans="1:10" ht="15.75" x14ac:dyDescent="0.25">
      <c r="A13" s="22">
        <v>8</v>
      </c>
      <c r="B13" s="19"/>
      <c r="C13" s="22">
        <v>57</v>
      </c>
      <c r="D13" s="19"/>
      <c r="E13" s="22">
        <f t="shared" si="0"/>
        <v>106</v>
      </c>
      <c r="F13" s="19"/>
      <c r="G13" s="33">
        <v>155</v>
      </c>
      <c r="H13" s="19"/>
      <c r="I13" s="33">
        <v>204</v>
      </c>
      <c r="J13" s="19"/>
    </row>
    <row r="14" spans="1:10" ht="15.75" x14ac:dyDescent="0.25">
      <c r="A14" s="22">
        <v>9</v>
      </c>
      <c r="B14" s="19"/>
      <c r="C14" s="22">
        <v>58</v>
      </c>
      <c r="D14" s="19"/>
      <c r="E14" s="22">
        <f t="shared" si="0"/>
        <v>107</v>
      </c>
      <c r="F14" s="19"/>
      <c r="G14" s="33">
        <v>156</v>
      </c>
      <c r="H14" s="19"/>
      <c r="I14" s="33">
        <v>205</v>
      </c>
      <c r="J14" s="19"/>
    </row>
    <row r="15" spans="1:10" ht="15.75" x14ac:dyDescent="0.25">
      <c r="A15" s="22">
        <v>10</v>
      </c>
      <c r="B15" s="19"/>
      <c r="C15" s="22">
        <v>59</v>
      </c>
      <c r="D15" s="19"/>
      <c r="E15" s="22">
        <f t="shared" si="0"/>
        <v>108</v>
      </c>
      <c r="F15" s="19"/>
      <c r="G15" s="33">
        <v>157</v>
      </c>
      <c r="H15" s="19"/>
      <c r="I15" s="33">
        <v>206</v>
      </c>
      <c r="J15" s="19"/>
    </row>
    <row r="16" spans="1:10" ht="15.75" x14ac:dyDescent="0.25">
      <c r="A16" s="22">
        <v>11</v>
      </c>
      <c r="B16" s="19"/>
      <c r="C16" s="22">
        <v>60</v>
      </c>
      <c r="D16" s="19"/>
      <c r="E16" s="22">
        <f t="shared" si="0"/>
        <v>109</v>
      </c>
      <c r="F16" s="19"/>
      <c r="G16" s="33">
        <v>158</v>
      </c>
      <c r="H16" s="19"/>
      <c r="I16" s="33">
        <v>207</v>
      </c>
      <c r="J16" s="19"/>
    </row>
    <row r="17" spans="1:10" ht="15.75" x14ac:dyDescent="0.25">
      <c r="A17" s="22">
        <v>12</v>
      </c>
      <c r="B17" s="19"/>
      <c r="C17" s="22">
        <v>61</v>
      </c>
      <c r="D17" s="19"/>
      <c r="E17" s="22">
        <f t="shared" si="0"/>
        <v>110</v>
      </c>
      <c r="F17" s="19"/>
      <c r="G17" s="33">
        <v>159</v>
      </c>
      <c r="H17" s="19"/>
      <c r="I17" s="33">
        <v>208</v>
      </c>
      <c r="J17" s="19"/>
    </row>
    <row r="18" spans="1:10" ht="15.75" x14ac:dyDescent="0.25">
      <c r="A18" s="22">
        <v>13</v>
      </c>
      <c r="B18" s="19"/>
      <c r="C18" s="22">
        <v>62</v>
      </c>
      <c r="D18" s="19"/>
      <c r="E18" s="22">
        <f t="shared" si="0"/>
        <v>111</v>
      </c>
      <c r="F18" s="19"/>
      <c r="G18" s="33">
        <v>160</v>
      </c>
      <c r="H18" s="19"/>
      <c r="I18" s="33">
        <v>209</v>
      </c>
      <c r="J18" s="19"/>
    </row>
    <row r="19" spans="1:10" ht="15.75" x14ac:dyDescent="0.25">
      <c r="A19" s="22">
        <v>14</v>
      </c>
      <c r="B19" s="19"/>
      <c r="C19" s="22">
        <v>63</v>
      </c>
      <c r="D19" s="19"/>
      <c r="E19" s="22">
        <f t="shared" si="0"/>
        <v>112</v>
      </c>
      <c r="F19" s="19"/>
      <c r="G19" s="33">
        <v>161</v>
      </c>
      <c r="H19" s="19"/>
      <c r="I19" s="33">
        <v>210</v>
      </c>
      <c r="J19" s="19"/>
    </row>
    <row r="20" spans="1:10" ht="15.75" x14ac:dyDescent="0.25">
      <c r="A20" s="22">
        <v>15</v>
      </c>
      <c r="B20" s="19"/>
      <c r="C20" s="22">
        <v>64</v>
      </c>
      <c r="D20" s="19"/>
      <c r="E20" s="22">
        <f t="shared" si="0"/>
        <v>113</v>
      </c>
      <c r="F20" s="19"/>
      <c r="G20" s="35">
        <v>162</v>
      </c>
      <c r="H20" s="19"/>
      <c r="I20" s="33">
        <v>211</v>
      </c>
      <c r="J20" s="19"/>
    </row>
    <row r="21" spans="1:10" ht="15.75" x14ac:dyDescent="0.25">
      <c r="A21" s="22">
        <v>16</v>
      </c>
      <c r="B21" s="19"/>
      <c r="C21" s="22">
        <v>65</v>
      </c>
      <c r="D21" s="19"/>
      <c r="E21" s="22">
        <f t="shared" si="0"/>
        <v>114</v>
      </c>
      <c r="F21" s="19"/>
      <c r="G21" s="35">
        <v>163</v>
      </c>
      <c r="H21" s="19"/>
      <c r="I21" s="33">
        <v>212</v>
      </c>
      <c r="J21" s="19"/>
    </row>
    <row r="22" spans="1:10" ht="15.75" x14ac:dyDescent="0.25">
      <c r="A22" s="22">
        <v>17</v>
      </c>
      <c r="B22" s="19"/>
      <c r="C22" s="22">
        <v>66</v>
      </c>
      <c r="D22" s="19"/>
      <c r="E22" s="22">
        <f t="shared" si="0"/>
        <v>115</v>
      </c>
      <c r="F22" s="19"/>
      <c r="G22" s="35">
        <v>164</v>
      </c>
      <c r="H22" s="19"/>
      <c r="I22" s="33">
        <v>213</v>
      </c>
      <c r="J22" s="19"/>
    </row>
    <row r="23" spans="1:10" ht="15.75" x14ac:dyDescent="0.25">
      <c r="A23" s="22">
        <v>18</v>
      </c>
      <c r="B23" s="19"/>
      <c r="C23" s="22">
        <v>67</v>
      </c>
      <c r="D23" s="19"/>
      <c r="E23" s="22">
        <f t="shared" si="0"/>
        <v>116</v>
      </c>
      <c r="F23" s="19"/>
      <c r="G23" s="35">
        <v>165</v>
      </c>
      <c r="H23" s="19"/>
      <c r="I23" s="33">
        <v>214</v>
      </c>
      <c r="J23" s="19"/>
    </row>
    <row r="24" spans="1:10" ht="15.75" x14ac:dyDescent="0.25">
      <c r="A24" s="22">
        <v>19</v>
      </c>
      <c r="B24" s="19"/>
      <c r="C24" s="22">
        <v>68</v>
      </c>
      <c r="D24" s="19"/>
      <c r="E24" s="22">
        <f t="shared" si="0"/>
        <v>117</v>
      </c>
      <c r="F24" s="19"/>
      <c r="G24" s="35">
        <v>166</v>
      </c>
      <c r="H24" s="19"/>
      <c r="I24" s="33">
        <v>215</v>
      </c>
      <c r="J24" s="19"/>
    </row>
    <row r="25" spans="1:10" ht="15.75" x14ac:dyDescent="0.25">
      <c r="A25" s="22">
        <v>20</v>
      </c>
      <c r="B25" s="19"/>
      <c r="C25" s="22">
        <v>69</v>
      </c>
      <c r="D25" s="19"/>
      <c r="E25" s="22">
        <f t="shared" si="0"/>
        <v>118</v>
      </c>
      <c r="F25" s="19"/>
      <c r="G25" s="35">
        <v>167</v>
      </c>
      <c r="H25" s="19"/>
      <c r="I25" s="33">
        <v>216</v>
      </c>
      <c r="J25" s="19"/>
    </row>
    <row r="26" spans="1:10" ht="15.75" x14ac:dyDescent="0.25">
      <c r="A26" s="22">
        <v>21</v>
      </c>
      <c r="B26" s="19"/>
      <c r="C26" s="22">
        <v>70</v>
      </c>
      <c r="D26" s="19"/>
      <c r="E26" s="22">
        <f t="shared" si="0"/>
        <v>119</v>
      </c>
      <c r="F26" s="19"/>
      <c r="G26" s="35">
        <v>168</v>
      </c>
      <c r="H26" s="19"/>
      <c r="I26" s="33">
        <v>217</v>
      </c>
      <c r="J26" s="19"/>
    </row>
    <row r="27" spans="1:10" ht="15.75" x14ac:dyDescent="0.25">
      <c r="A27" s="22">
        <v>22</v>
      </c>
      <c r="B27" s="19"/>
      <c r="C27" s="22">
        <v>71</v>
      </c>
      <c r="D27" s="19"/>
      <c r="E27" s="22">
        <f t="shared" si="0"/>
        <v>120</v>
      </c>
      <c r="F27" s="19"/>
      <c r="G27" s="35">
        <v>169</v>
      </c>
      <c r="H27" s="19"/>
      <c r="I27" s="33">
        <v>218</v>
      </c>
      <c r="J27" s="19"/>
    </row>
    <row r="28" spans="1:10" ht="15.75" x14ac:dyDescent="0.25">
      <c r="A28" s="22">
        <v>23</v>
      </c>
      <c r="B28" s="19"/>
      <c r="C28" s="22">
        <v>72</v>
      </c>
      <c r="D28" s="19"/>
      <c r="E28" s="22">
        <f t="shared" si="0"/>
        <v>121</v>
      </c>
      <c r="F28" s="19"/>
      <c r="G28" s="35">
        <v>170</v>
      </c>
      <c r="H28" s="19"/>
      <c r="I28" s="33">
        <v>219</v>
      </c>
      <c r="J28" s="19"/>
    </row>
    <row r="29" spans="1:10" ht="15.75" x14ac:dyDescent="0.25">
      <c r="A29" s="22">
        <v>24</v>
      </c>
      <c r="B29" s="19"/>
      <c r="C29" s="22">
        <v>73</v>
      </c>
      <c r="D29" s="19"/>
      <c r="E29" s="22">
        <f t="shared" si="0"/>
        <v>122</v>
      </c>
      <c r="F29" s="19"/>
      <c r="G29" s="35">
        <v>171</v>
      </c>
      <c r="H29" s="19"/>
      <c r="I29" s="33">
        <v>220</v>
      </c>
      <c r="J29" s="19"/>
    </row>
    <row r="30" spans="1:10" ht="15.75" x14ac:dyDescent="0.25">
      <c r="A30" s="22">
        <v>25</v>
      </c>
      <c r="B30" s="19"/>
      <c r="C30" s="22">
        <v>74</v>
      </c>
      <c r="D30" s="19"/>
      <c r="E30" s="22">
        <f t="shared" si="0"/>
        <v>123</v>
      </c>
      <c r="F30" s="19"/>
      <c r="G30" s="35">
        <v>172</v>
      </c>
      <c r="H30" s="19"/>
      <c r="I30" s="20"/>
      <c r="J30" s="36"/>
    </row>
    <row r="31" spans="1:10" ht="15.75" x14ac:dyDescent="0.25">
      <c r="A31" s="22">
        <v>26</v>
      </c>
      <c r="B31" s="19"/>
      <c r="C31" s="22">
        <v>75</v>
      </c>
      <c r="D31" s="19"/>
      <c r="E31" s="22">
        <f t="shared" si="0"/>
        <v>124</v>
      </c>
      <c r="F31" s="19"/>
      <c r="G31" s="35">
        <v>173</v>
      </c>
      <c r="H31" s="19"/>
      <c r="I31" s="20"/>
      <c r="J31" s="36"/>
    </row>
    <row r="32" spans="1:10" ht="15.75" x14ac:dyDescent="0.25">
      <c r="A32" s="22">
        <v>27</v>
      </c>
      <c r="B32" s="19"/>
      <c r="C32" s="22">
        <v>76</v>
      </c>
      <c r="D32" s="19"/>
      <c r="E32" s="22">
        <f t="shared" si="0"/>
        <v>125</v>
      </c>
      <c r="F32" s="19"/>
      <c r="G32" s="33">
        <v>174</v>
      </c>
      <c r="H32" s="19"/>
      <c r="I32" s="21"/>
      <c r="J32" s="36"/>
    </row>
    <row r="33" spans="1:10" ht="15.75" x14ac:dyDescent="0.25">
      <c r="A33" s="22">
        <v>28</v>
      </c>
      <c r="B33" s="19"/>
      <c r="C33" s="22">
        <v>77</v>
      </c>
      <c r="D33" s="19"/>
      <c r="E33" s="22">
        <f t="shared" si="0"/>
        <v>126</v>
      </c>
      <c r="F33" s="19"/>
      <c r="G33" s="33">
        <v>175</v>
      </c>
      <c r="H33" s="19"/>
      <c r="I33" s="20"/>
      <c r="J33" s="36"/>
    </row>
    <row r="34" spans="1:10" ht="15.75" x14ac:dyDescent="0.25">
      <c r="A34" s="22">
        <v>29</v>
      </c>
      <c r="B34" s="19"/>
      <c r="C34" s="22">
        <v>78</v>
      </c>
      <c r="D34" s="19"/>
      <c r="E34" s="22">
        <f t="shared" si="0"/>
        <v>127</v>
      </c>
      <c r="F34" s="19"/>
      <c r="G34" s="33">
        <v>176</v>
      </c>
      <c r="H34" s="19"/>
      <c r="I34" s="20"/>
      <c r="J34" s="36"/>
    </row>
    <row r="35" spans="1:10" ht="15.75" x14ac:dyDescent="0.25">
      <c r="A35" s="22">
        <v>30</v>
      </c>
      <c r="B35" s="19"/>
      <c r="C35" s="22">
        <v>79</v>
      </c>
      <c r="D35" s="19"/>
      <c r="E35" s="22">
        <f t="shared" si="0"/>
        <v>128</v>
      </c>
      <c r="F35" s="19"/>
      <c r="G35" s="33">
        <v>177</v>
      </c>
      <c r="H35" s="19"/>
      <c r="I35" s="21"/>
      <c r="J35" s="36"/>
    </row>
    <row r="36" spans="1:10" ht="15.75" x14ac:dyDescent="0.25">
      <c r="A36" s="22">
        <v>31</v>
      </c>
      <c r="B36" s="19"/>
      <c r="C36" s="22">
        <v>80</v>
      </c>
      <c r="D36" s="19"/>
      <c r="E36" s="22">
        <f t="shared" si="0"/>
        <v>129</v>
      </c>
      <c r="F36" s="19"/>
      <c r="G36" s="33">
        <v>178</v>
      </c>
      <c r="H36" s="19"/>
      <c r="I36" s="20"/>
      <c r="J36" s="36"/>
    </row>
    <row r="37" spans="1:10" ht="15.75" x14ac:dyDescent="0.25">
      <c r="A37" s="22">
        <v>32</v>
      </c>
      <c r="B37" s="19"/>
      <c r="C37" s="22">
        <v>81</v>
      </c>
      <c r="D37" s="19"/>
      <c r="E37" s="22">
        <f t="shared" si="0"/>
        <v>130</v>
      </c>
      <c r="F37" s="19"/>
      <c r="G37" s="33">
        <v>179</v>
      </c>
      <c r="H37" s="19"/>
      <c r="I37" s="20"/>
      <c r="J37" s="36"/>
    </row>
    <row r="38" spans="1:10" ht="15.75" x14ac:dyDescent="0.25">
      <c r="A38" s="22">
        <v>33</v>
      </c>
      <c r="B38" s="19"/>
      <c r="C38" s="22">
        <v>82</v>
      </c>
      <c r="D38" s="19"/>
      <c r="E38" s="22">
        <f t="shared" si="0"/>
        <v>131</v>
      </c>
      <c r="F38" s="19"/>
      <c r="G38" s="33">
        <v>180</v>
      </c>
      <c r="H38" s="19"/>
      <c r="I38" s="21"/>
      <c r="J38" s="36"/>
    </row>
    <row r="39" spans="1:10" ht="15.75" x14ac:dyDescent="0.25">
      <c r="A39" s="22">
        <v>34</v>
      </c>
      <c r="B39" s="19"/>
      <c r="C39" s="22">
        <v>83</v>
      </c>
      <c r="D39" s="19"/>
      <c r="E39" s="22">
        <f t="shared" si="0"/>
        <v>132</v>
      </c>
      <c r="F39" s="19"/>
      <c r="G39" s="33">
        <v>181</v>
      </c>
      <c r="H39" s="19"/>
      <c r="I39" s="21"/>
      <c r="J39" s="36"/>
    </row>
    <row r="40" spans="1:10" ht="15.75" x14ac:dyDescent="0.25">
      <c r="A40" s="22">
        <v>35</v>
      </c>
      <c r="B40" s="19"/>
      <c r="C40" s="22">
        <v>84</v>
      </c>
      <c r="D40" s="19"/>
      <c r="E40" s="22">
        <f t="shared" si="0"/>
        <v>133</v>
      </c>
      <c r="F40" s="19"/>
      <c r="G40" s="33">
        <v>182</v>
      </c>
      <c r="H40" s="19"/>
      <c r="I40" s="20"/>
      <c r="J40" s="36"/>
    </row>
    <row r="41" spans="1:10" ht="15.75" x14ac:dyDescent="0.25">
      <c r="A41" s="22">
        <v>36</v>
      </c>
      <c r="B41" s="19"/>
      <c r="C41" s="22">
        <v>85</v>
      </c>
      <c r="D41" s="19"/>
      <c r="E41" s="22">
        <f t="shared" si="0"/>
        <v>134</v>
      </c>
      <c r="F41" s="19"/>
      <c r="G41" s="33">
        <v>183</v>
      </c>
      <c r="H41" s="19"/>
      <c r="I41" s="20"/>
      <c r="J41" s="36"/>
    </row>
    <row r="42" spans="1:10" ht="15.75" x14ac:dyDescent="0.25">
      <c r="A42" s="22">
        <v>37</v>
      </c>
      <c r="B42" s="19"/>
      <c r="C42" s="22">
        <v>86</v>
      </c>
      <c r="D42" s="19"/>
      <c r="E42" s="22">
        <f t="shared" si="0"/>
        <v>135</v>
      </c>
      <c r="F42" s="19"/>
      <c r="G42" s="33">
        <v>184</v>
      </c>
      <c r="H42" s="19"/>
      <c r="I42" s="21"/>
      <c r="J42" s="36"/>
    </row>
    <row r="43" spans="1:10" ht="15.75" x14ac:dyDescent="0.25">
      <c r="A43" s="22">
        <v>38</v>
      </c>
      <c r="B43" s="19"/>
      <c r="C43" s="22">
        <v>87</v>
      </c>
      <c r="D43" s="19"/>
      <c r="E43" s="22">
        <f t="shared" si="0"/>
        <v>136</v>
      </c>
      <c r="F43" s="19"/>
      <c r="G43" s="33">
        <v>185</v>
      </c>
      <c r="H43" s="19"/>
      <c r="I43" s="20"/>
      <c r="J43" s="36"/>
    </row>
    <row r="44" spans="1:10" ht="15.75" x14ac:dyDescent="0.25">
      <c r="A44" s="22">
        <v>39</v>
      </c>
      <c r="B44" s="19"/>
      <c r="C44" s="22">
        <v>88</v>
      </c>
      <c r="D44" s="19"/>
      <c r="E44" s="22">
        <f t="shared" si="0"/>
        <v>137</v>
      </c>
      <c r="F44" s="19"/>
      <c r="G44" s="33">
        <v>186</v>
      </c>
      <c r="H44" s="19"/>
      <c r="I44" s="20"/>
      <c r="J44" s="36"/>
    </row>
    <row r="45" spans="1:10" ht="15.75" x14ac:dyDescent="0.25">
      <c r="A45" s="22">
        <v>40</v>
      </c>
      <c r="B45" s="19"/>
      <c r="C45" s="22">
        <v>89</v>
      </c>
      <c r="D45" s="19"/>
      <c r="E45" s="22">
        <f t="shared" si="0"/>
        <v>138</v>
      </c>
      <c r="F45" s="19"/>
      <c r="G45" s="33">
        <v>187</v>
      </c>
      <c r="H45" s="19"/>
      <c r="I45" s="21"/>
      <c r="J45" s="36"/>
    </row>
    <row r="46" spans="1:10" ht="15.75" x14ac:dyDescent="0.25">
      <c r="A46" s="22">
        <v>41</v>
      </c>
      <c r="B46" s="19"/>
      <c r="C46" s="22">
        <v>90</v>
      </c>
      <c r="D46" s="19"/>
      <c r="E46" s="22">
        <f t="shared" si="0"/>
        <v>139</v>
      </c>
      <c r="F46" s="19"/>
      <c r="G46" s="33">
        <v>188</v>
      </c>
      <c r="H46" s="19"/>
      <c r="I46" s="20"/>
      <c r="J46" s="36"/>
    </row>
    <row r="47" spans="1:10" ht="15.75" x14ac:dyDescent="0.25">
      <c r="A47" s="22">
        <v>42</v>
      </c>
      <c r="B47" s="19"/>
      <c r="C47" s="22">
        <v>91</v>
      </c>
      <c r="D47" s="19"/>
      <c r="E47" s="22">
        <f t="shared" si="0"/>
        <v>140</v>
      </c>
      <c r="F47" s="19"/>
      <c r="G47" s="33">
        <v>189</v>
      </c>
      <c r="H47" s="19"/>
      <c r="I47" s="20"/>
      <c r="J47" s="36"/>
    </row>
    <row r="48" spans="1:10" ht="15.75" x14ac:dyDescent="0.25">
      <c r="A48" s="22">
        <v>43</v>
      </c>
      <c r="B48" s="19"/>
      <c r="C48" s="22">
        <v>92</v>
      </c>
      <c r="D48" s="19"/>
      <c r="E48" s="22">
        <f t="shared" si="0"/>
        <v>141</v>
      </c>
      <c r="F48" s="19"/>
      <c r="G48" s="33">
        <v>190</v>
      </c>
      <c r="H48" s="19"/>
      <c r="I48" s="21"/>
      <c r="J48" s="36"/>
    </row>
    <row r="49" spans="1:10" ht="15.75" x14ac:dyDescent="0.25">
      <c r="A49" s="22">
        <v>44</v>
      </c>
      <c r="B49" s="19"/>
      <c r="C49" s="22">
        <v>93</v>
      </c>
      <c r="D49" s="19"/>
      <c r="E49" s="22">
        <f t="shared" si="0"/>
        <v>142</v>
      </c>
      <c r="F49" s="19"/>
      <c r="G49" s="33">
        <v>191</v>
      </c>
      <c r="H49" s="19"/>
      <c r="I49" s="21"/>
      <c r="J49" s="36"/>
    </row>
    <row r="50" spans="1:10" ht="15.75" x14ac:dyDescent="0.25">
      <c r="A50" s="22">
        <v>45</v>
      </c>
      <c r="B50" s="19"/>
      <c r="C50" s="22">
        <v>94</v>
      </c>
      <c r="D50" s="19"/>
      <c r="E50" s="22">
        <f t="shared" si="0"/>
        <v>143</v>
      </c>
      <c r="F50" s="19"/>
      <c r="G50" s="33">
        <v>192</v>
      </c>
      <c r="H50" s="19"/>
      <c r="I50" s="20"/>
      <c r="J50" s="36"/>
    </row>
    <row r="51" spans="1:10" ht="15.75" x14ac:dyDescent="0.25">
      <c r="A51" s="22">
        <v>46</v>
      </c>
      <c r="B51" s="19"/>
      <c r="C51" s="22">
        <v>95</v>
      </c>
      <c r="D51" s="19"/>
      <c r="E51" s="22">
        <f t="shared" si="0"/>
        <v>144</v>
      </c>
      <c r="F51" s="19"/>
      <c r="G51" s="33">
        <v>193</v>
      </c>
      <c r="H51" s="19"/>
      <c r="I51" s="20"/>
      <c r="J51" s="36"/>
    </row>
    <row r="52" spans="1:10" ht="15.75" x14ac:dyDescent="0.25">
      <c r="A52" s="22">
        <v>47</v>
      </c>
      <c r="B52" s="19"/>
      <c r="C52" s="22">
        <v>96</v>
      </c>
      <c r="D52" s="19"/>
      <c r="E52" s="22">
        <f t="shared" si="0"/>
        <v>145</v>
      </c>
      <c r="F52" s="19"/>
      <c r="G52" s="33">
        <v>194</v>
      </c>
      <c r="H52" s="19"/>
      <c r="I52" s="21"/>
      <c r="J52" s="36"/>
    </row>
    <row r="53" spans="1:10" ht="15.75" x14ac:dyDescent="0.25">
      <c r="A53" s="22">
        <v>48</v>
      </c>
      <c r="B53" s="19"/>
      <c r="C53" s="22">
        <v>97</v>
      </c>
      <c r="D53" s="19"/>
      <c r="E53" s="22">
        <f t="shared" si="0"/>
        <v>146</v>
      </c>
      <c r="F53" s="19"/>
      <c r="G53" s="33">
        <v>195</v>
      </c>
      <c r="H53" s="19"/>
      <c r="I53" s="20"/>
      <c r="J53" s="36"/>
    </row>
    <row r="54" spans="1:10" ht="15.75" x14ac:dyDescent="0.25">
      <c r="A54" s="37">
        <v>49</v>
      </c>
      <c r="B54" s="19"/>
      <c r="C54" s="37">
        <v>98</v>
      </c>
      <c r="D54" s="19"/>
      <c r="E54" s="22">
        <f t="shared" si="0"/>
        <v>147</v>
      </c>
      <c r="F54" s="19"/>
      <c r="G54" s="38">
        <v>196</v>
      </c>
      <c r="H54" s="19"/>
      <c r="I54" s="39"/>
      <c r="J54" s="40"/>
    </row>
    <row r="55" spans="1:10" ht="15.75" x14ac:dyDescent="0.25">
      <c r="A55" s="41"/>
      <c r="B55" s="23">
        <f>SUM(B6:B54)</f>
        <v>0</v>
      </c>
      <c r="C55" s="23"/>
      <c r="D55" s="23">
        <f>SUM(D6:D54)</f>
        <v>0</v>
      </c>
      <c r="E55" s="23"/>
      <c r="F55" s="23">
        <f>SUM(F6:F54)</f>
        <v>0</v>
      </c>
      <c r="G55" s="23"/>
      <c r="H55" s="23">
        <f>SUM(H6:H54)</f>
        <v>0</v>
      </c>
      <c r="I55" s="41"/>
      <c r="J55" s="41">
        <f>SUM(J6:J54)</f>
        <v>0</v>
      </c>
    </row>
    <row r="56" spans="1:10" ht="15.75" x14ac:dyDescent="0.25">
      <c r="A56" s="42" t="s">
        <v>5</v>
      </c>
      <c r="B56" s="43">
        <f>COUNT(B6:B54,D6:D54,F6:F54,H6:H54,J6:J54)</f>
        <v>0</v>
      </c>
      <c r="C56" s="13" t="s">
        <v>6</v>
      </c>
      <c r="D56" s="44"/>
      <c r="E56" s="45">
        <f>B55+D55+F55+H55+J55</f>
        <v>0</v>
      </c>
      <c r="F56" s="24" t="s">
        <v>7</v>
      </c>
      <c r="G56" s="1">
        <f>B56*2.2</f>
        <v>0</v>
      </c>
      <c r="H56" s="13" t="s">
        <v>8</v>
      </c>
      <c r="I56" s="44"/>
      <c r="J56" s="45">
        <f>E56-G56</f>
        <v>0</v>
      </c>
    </row>
    <row r="57" spans="1:10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</row>
    <row r="59" spans="1:10" x14ac:dyDescent="0.25">
      <c r="F59" s="112" t="s">
        <v>61</v>
      </c>
      <c r="G59" s="112">
        <v>2.2000000000000002</v>
      </c>
    </row>
  </sheetData>
  <protectedRanges>
    <protectedRange password="CCE1" sqref="C6:C54 G6:G54 E6:E54 I6:I29" name="Диапазон1_3_1_7_2_1_1_1_1_1_1_1"/>
  </protectedRanges>
  <mergeCells count="2">
    <mergeCell ref="A1:J1"/>
    <mergeCell ref="I4:J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topLeftCell="A46" workbookViewId="0">
      <selection activeCell="B3" sqref="B3"/>
    </sheetView>
  </sheetViews>
  <sheetFormatPr defaultRowHeight="15" x14ac:dyDescent="0.25"/>
  <sheetData>
    <row r="1" spans="1:10" ht="18.75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</row>
    <row r="2" spans="1:10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</row>
    <row r="3" spans="1:10" ht="15.75" x14ac:dyDescent="0.25">
      <c r="A3" s="25" t="s">
        <v>2</v>
      </c>
      <c r="B3" s="27"/>
      <c r="C3" s="14"/>
      <c r="D3" s="15"/>
      <c r="E3" s="16"/>
      <c r="F3" s="16"/>
      <c r="G3" s="16"/>
      <c r="H3" s="16"/>
      <c r="I3" s="16" t="s">
        <v>33</v>
      </c>
      <c r="J3" s="16"/>
    </row>
    <row r="4" spans="1:10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</row>
    <row r="5" spans="1:10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</row>
    <row r="6" spans="1:10" ht="15.75" x14ac:dyDescent="0.25">
      <c r="A6" s="22">
        <v>1</v>
      </c>
      <c r="B6" s="19"/>
      <c r="C6" s="22">
        <v>50</v>
      </c>
      <c r="D6" s="19"/>
      <c r="E6" s="22">
        <v>99</v>
      </c>
      <c r="F6" s="19"/>
      <c r="G6" s="33">
        <v>148</v>
      </c>
      <c r="H6" s="19"/>
      <c r="I6" s="34">
        <v>197</v>
      </c>
      <c r="J6" s="19"/>
    </row>
    <row r="7" spans="1:10" ht="15.75" x14ac:dyDescent="0.25">
      <c r="A7" s="22">
        <v>2</v>
      </c>
      <c r="B7" s="19"/>
      <c r="C7" s="22">
        <v>51</v>
      </c>
      <c r="D7" s="19"/>
      <c r="E7" s="22">
        <v>100</v>
      </c>
      <c r="F7" s="19"/>
      <c r="G7" s="33">
        <v>149</v>
      </c>
      <c r="H7" s="19"/>
      <c r="I7" s="33">
        <v>198</v>
      </c>
      <c r="J7" s="19"/>
    </row>
    <row r="8" spans="1:10" ht="15.75" x14ac:dyDescent="0.25">
      <c r="A8" s="22">
        <v>3</v>
      </c>
      <c r="B8" s="19"/>
      <c r="C8" s="22">
        <v>52</v>
      </c>
      <c r="D8" s="19"/>
      <c r="E8" s="22">
        <f t="shared" ref="E8:E54" si="0">+E7+1</f>
        <v>101</v>
      </c>
      <c r="F8" s="19"/>
      <c r="G8" s="33">
        <v>150</v>
      </c>
      <c r="H8" s="19"/>
      <c r="I8" s="33">
        <v>199</v>
      </c>
      <c r="J8" s="19"/>
    </row>
    <row r="9" spans="1:10" ht="15.75" x14ac:dyDescent="0.25">
      <c r="A9" s="22">
        <v>4</v>
      </c>
      <c r="B9" s="19"/>
      <c r="C9" s="22">
        <v>53</v>
      </c>
      <c r="D9" s="19"/>
      <c r="E9" s="22">
        <f t="shared" si="0"/>
        <v>102</v>
      </c>
      <c r="F9" s="19"/>
      <c r="G9" s="33">
        <v>151</v>
      </c>
      <c r="H9" s="19"/>
      <c r="I9" s="33">
        <v>200</v>
      </c>
      <c r="J9" s="19"/>
    </row>
    <row r="10" spans="1:10" ht="15.75" x14ac:dyDescent="0.25">
      <c r="A10" s="22">
        <v>5</v>
      </c>
      <c r="B10" s="19"/>
      <c r="C10" s="22">
        <v>54</v>
      </c>
      <c r="D10" s="19"/>
      <c r="E10" s="22">
        <f t="shared" si="0"/>
        <v>103</v>
      </c>
      <c r="F10" s="19"/>
      <c r="G10" s="33">
        <v>152</v>
      </c>
      <c r="H10" s="19"/>
      <c r="I10" s="33">
        <v>201</v>
      </c>
      <c r="J10" s="19"/>
    </row>
    <row r="11" spans="1:10" ht="15.75" x14ac:dyDescent="0.25">
      <c r="A11" s="22">
        <v>6</v>
      </c>
      <c r="B11" s="19"/>
      <c r="C11" s="22">
        <v>55</v>
      </c>
      <c r="D11" s="19"/>
      <c r="E11" s="22">
        <f t="shared" si="0"/>
        <v>104</v>
      </c>
      <c r="F11" s="19"/>
      <c r="G11" s="33">
        <v>153</v>
      </c>
      <c r="H11" s="19"/>
      <c r="I11" s="33">
        <v>202</v>
      </c>
      <c r="J11" s="19"/>
    </row>
    <row r="12" spans="1:10" ht="15.75" x14ac:dyDescent="0.25">
      <c r="A12" s="22">
        <v>7</v>
      </c>
      <c r="B12" s="19"/>
      <c r="C12" s="22">
        <v>56</v>
      </c>
      <c r="D12" s="19"/>
      <c r="E12" s="22">
        <f t="shared" si="0"/>
        <v>105</v>
      </c>
      <c r="F12" s="19"/>
      <c r="G12" s="33">
        <v>154</v>
      </c>
      <c r="H12" s="19"/>
      <c r="I12" s="33">
        <v>203</v>
      </c>
      <c r="J12" s="19"/>
    </row>
    <row r="13" spans="1:10" ht="15.75" x14ac:dyDescent="0.25">
      <c r="A13" s="22">
        <v>8</v>
      </c>
      <c r="B13" s="19"/>
      <c r="C13" s="22">
        <v>57</v>
      </c>
      <c r="D13" s="19"/>
      <c r="E13" s="22">
        <f t="shared" si="0"/>
        <v>106</v>
      </c>
      <c r="F13" s="19"/>
      <c r="G13" s="33">
        <v>155</v>
      </c>
      <c r="H13" s="19"/>
      <c r="I13" s="33">
        <v>204</v>
      </c>
      <c r="J13" s="19"/>
    </row>
    <row r="14" spans="1:10" ht="15.75" x14ac:dyDescent="0.25">
      <c r="A14" s="22">
        <v>9</v>
      </c>
      <c r="B14" s="19"/>
      <c r="C14" s="22">
        <v>58</v>
      </c>
      <c r="D14" s="19"/>
      <c r="E14" s="22">
        <f t="shared" si="0"/>
        <v>107</v>
      </c>
      <c r="F14" s="19"/>
      <c r="G14" s="33">
        <v>156</v>
      </c>
      <c r="H14" s="19"/>
      <c r="I14" s="33">
        <v>205</v>
      </c>
      <c r="J14" s="19"/>
    </row>
    <row r="15" spans="1:10" ht="15.75" x14ac:dyDescent="0.25">
      <c r="A15" s="22">
        <v>10</v>
      </c>
      <c r="B15" s="19"/>
      <c r="C15" s="22">
        <v>59</v>
      </c>
      <c r="D15" s="19"/>
      <c r="E15" s="22">
        <f t="shared" si="0"/>
        <v>108</v>
      </c>
      <c r="F15" s="19"/>
      <c r="G15" s="33">
        <v>157</v>
      </c>
      <c r="H15" s="19"/>
      <c r="I15" s="33">
        <v>206</v>
      </c>
      <c r="J15" s="19"/>
    </row>
    <row r="16" spans="1:10" ht="15.75" x14ac:dyDescent="0.25">
      <c r="A16" s="22">
        <v>11</v>
      </c>
      <c r="B16" s="19"/>
      <c r="C16" s="22">
        <v>60</v>
      </c>
      <c r="D16" s="19"/>
      <c r="E16" s="22">
        <f t="shared" si="0"/>
        <v>109</v>
      </c>
      <c r="F16" s="19"/>
      <c r="G16" s="33">
        <v>158</v>
      </c>
      <c r="H16" s="19"/>
      <c r="I16" s="33">
        <v>207</v>
      </c>
      <c r="J16" s="19"/>
    </row>
    <row r="17" spans="1:10" ht="15.75" x14ac:dyDescent="0.25">
      <c r="A17" s="22">
        <v>12</v>
      </c>
      <c r="B17" s="19"/>
      <c r="C17" s="22">
        <v>61</v>
      </c>
      <c r="D17" s="19"/>
      <c r="E17" s="22">
        <f t="shared" si="0"/>
        <v>110</v>
      </c>
      <c r="F17" s="19"/>
      <c r="G17" s="33">
        <v>159</v>
      </c>
      <c r="H17" s="19"/>
      <c r="I17" s="33">
        <v>208</v>
      </c>
      <c r="J17" s="19"/>
    </row>
    <row r="18" spans="1:10" ht="15.75" x14ac:dyDescent="0.25">
      <c r="A18" s="22">
        <v>13</v>
      </c>
      <c r="B18" s="19"/>
      <c r="C18" s="22">
        <v>62</v>
      </c>
      <c r="D18" s="19"/>
      <c r="E18" s="22">
        <f t="shared" si="0"/>
        <v>111</v>
      </c>
      <c r="F18" s="19"/>
      <c r="G18" s="33">
        <v>160</v>
      </c>
      <c r="H18" s="19"/>
      <c r="I18" s="33">
        <v>209</v>
      </c>
      <c r="J18" s="19"/>
    </row>
    <row r="19" spans="1:10" ht="15.75" x14ac:dyDescent="0.25">
      <c r="A19" s="22">
        <v>14</v>
      </c>
      <c r="B19" s="19"/>
      <c r="C19" s="22">
        <v>63</v>
      </c>
      <c r="D19" s="19"/>
      <c r="E19" s="22">
        <f t="shared" si="0"/>
        <v>112</v>
      </c>
      <c r="F19" s="19"/>
      <c r="G19" s="33">
        <v>161</v>
      </c>
      <c r="H19" s="19"/>
      <c r="I19" s="33">
        <v>210</v>
      </c>
      <c r="J19" s="19"/>
    </row>
    <row r="20" spans="1:10" ht="15.75" x14ac:dyDescent="0.25">
      <c r="A20" s="22">
        <v>15</v>
      </c>
      <c r="B20" s="19"/>
      <c r="C20" s="22">
        <v>64</v>
      </c>
      <c r="D20" s="19"/>
      <c r="E20" s="22">
        <f t="shared" si="0"/>
        <v>113</v>
      </c>
      <c r="F20" s="19"/>
      <c r="G20" s="35">
        <v>162</v>
      </c>
      <c r="H20" s="19"/>
      <c r="I20" s="33">
        <v>211</v>
      </c>
      <c r="J20" s="19"/>
    </row>
    <row r="21" spans="1:10" ht="15.75" x14ac:dyDescent="0.25">
      <c r="A21" s="22">
        <v>16</v>
      </c>
      <c r="B21" s="19"/>
      <c r="C21" s="22">
        <v>65</v>
      </c>
      <c r="D21" s="19"/>
      <c r="E21" s="22">
        <f t="shared" si="0"/>
        <v>114</v>
      </c>
      <c r="F21" s="19"/>
      <c r="G21" s="35">
        <v>163</v>
      </c>
      <c r="H21" s="19"/>
      <c r="I21" s="33">
        <v>212</v>
      </c>
      <c r="J21" s="19"/>
    </row>
    <row r="22" spans="1:10" ht="15.75" x14ac:dyDescent="0.25">
      <c r="A22" s="22">
        <v>17</v>
      </c>
      <c r="B22" s="19"/>
      <c r="C22" s="22">
        <v>66</v>
      </c>
      <c r="D22" s="19"/>
      <c r="E22" s="22">
        <f t="shared" si="0"/>
        <v>115</v>
      </c>
      <c r="F22" s="19"/>
      <c r="G22" s="35">
        <v>164</v>
      </c>
      <c r="H22" s="19"/>
      <c r="I22" s="33">
        <v>213</v>
      </c>
      <c r="J22" s="19"/>
    </row>
    <row r="23" spans="1:10" ht="15.75" x14ac:dyDescent="0.25">
      <c r="A23" s="22">
        <v>18</v>
      </c>
      <c r="B23" s="19"/>
      <c r="C23" s="22">
        <v>67</v>
      </c>
      <c r="D23" s="19"/>
      <c r="E23" s="22">
        <f t="shared" si="0"/>
        <v>116</v>
      </c>
      <c r="F23" s="19"/>
      <c r="G23" s="35">
        <v>165</v>
      </c>
      <c r="H23" s="19"/>
      <c r="I23" s="33">
        <v>214</v>
      </c>
      <c r="J23" s="19"/>
    </row>
    <row r="24" spans="1:10" ht="15.75" x14ac:dyDescent="0.25">
      <c r="A24" s="22">
        <v>19</v>
      </c>
      <c r="B24" s="19"/>
      <c r="C24" s="22">
        <v>68</v>
      </c>
      <c r="D24" s="19"/>
      <c r="E24" s="22">
        <f t="shared" si="0"/>
        <v>117</v>
      </c>
      <c r="F24" s="19"/>
      <c r="G24" s="35">
        <v>166</v>
      </c>
      <c r="H24" s="19"/>
      <c r="I24" s="33">
        <v>215</v>
      </c>
      <c r="J24" s="19"/>
    </row>
    <row r="25" spans="1:10" ht="15.75" x14ac:dyDescent="0.25">
      <c r="A25" s="22">
        <v>20</v>
      </c>
      <c r="B25" s="19"/>
      <c r="C25" s="22">
        <v>69</v>
      </c>
      <c r="D25" s="19"/>
      <c r="E25" s="22">
        <f t="shared" si="0"/>
        <v>118</v>
      </c>
      <c r="F25" s="19"/>
      <c r="G25" s="35">
        <v>167</v>
      </c>
      <c r="H25" s="19"/>
      <c r="I25" s="33">
        <v>216</v>
      </c>
      <c r="J25" s="19"/>
    </row>
    <row r="26" spans="1:10" ht="15.75" x14ac:dyDescent="0.25">
      <c r="A26" s="22">
        <v>21</v>
      </c>
      <c r="B26" s="19"/>
      <c r="C26" s="22">
        <v>70</v>
      </c>
      <c r="D26" s="19"/>
      <c r="E26" s="22">
        <f t="shared" si="0"/>
        <v>119</v>
      </c>
      <c r="F26" s="19"/>
      <c r="G26" s="35">
        <v>168</v>
      </c>
      <c r="H26" s="19"/>
      <c r="I26" s="33">
        <v>217</v>
      </c>
      <c r="J26" s="19"/>
    </row>
    <row r="27" spans="1:10" ht="15.75" x14ac:dyDescent="0.25">
      <c r="A27" s="22">
        <v>22</v>
      </c>
      <c r="B27" s="19"/>
      <c r="C27" s="22">
        <v>71</v>
      </c>
      <c r="D27" s="19"/>
      <c r="E27" s="22">
        <f t="shared" si="0"/>
        <v>120</v>
      </c>
      <c r="F27" s="19"/>
      <c r="G27" s="35">
        <v>169</v>
      </c>
      <c r="H27" s="19"/>
      <c r="I27" s="33">
        <v>218</v>
      </c>
      <c r="J27" s="19"/>
    </row>
    <row r="28" spans="1:10" ht="15.75" x14ac:dyDescent="0.25">
      <c r="A28" s="22">
        <v>23</v>
      </c>
      <c r="B28" s="19"/>
      <c r="C28" s="22">
        <v>72</v>
      </c>
      <c r="D28" s="19"/>
      <c r="E28" s="22">
        <f t="shared" si="0"/>
        <v>121</v>
      </c>
      <c r="F28" s="19"/>
      <c r="G28" s="35">
        <v>170</v>
      </c>
      <c r="H28" s="19"/>
      <c r="I28" s="33">
        <v>219</v>
      </c>
      <c r="J28" s="19"/>
    </row>
    <row r="29" spans="1:10" ht="15.75" x14ac:dyDescent="0.25">
      <c r="A29" s="22">
        <v>24</v>
      </c>
      <c r="B29" s="19"/>
      <c r="C29" s="22">
        <v>73</v>
      </c>
      <c r="D29" s="19"/>
      <c r="E29" s="22">
        <f t="shared" si="0"/>
        <v>122</v>
      </c>
      <c r="F29" s="19"/>
      <c r="G29" s="35">
        <v>171</v>
      </c>
      <c r="H29" s="19"/>
      <c r="I29" s="33">
        <v>220</v>
      </c>
      <c r="J29" s="19"/>
    </row>
    <row r="30" spans="1:10" ht="15.75" x14ac:dyDescent="0.25">
      <c r="A30" s="22">
        <v>25</v>
      </c>
      <c r="B30" s="19"/>
      <c r="C30" s="22">
        <v>74</v>
      </c>
      <c r="D30" s="19"/>
      <c r="E30" s="22">
        <f t="shared" si="0"/>
        <v>123</v>
      </c>
      <c r="F30" s="19"/>
      <c r="G30" s="35">
        <v>172</v>
      </c>
      <c r="H30" s="19"/>
      <c r="I30" s="20"/>
      <c r="J30" s="36"/>
    </row>
    <row r="31" spans="1:10" ht="15.75" x14ac:dyDescent="0.25">
      <c r="A31" s="22">
        <v>26</v>
      </c>
      <c r="B31" s="19"/>
      <c r="C31" s="22">
        <v>75</v>
      </c>
      <c r="D31" s="19"/>
      <c r="E31" s="22">
        <f t="shared" si="0"/>
        <v>124</v>
      </c>
      <c r="F31" s="19"/>
      <c r="G31" s="35">
        <v>173</v>
      </c>
      <c r="H31" s="19"/>
      <c r="I31" s="20"/>
      <c r="J31" s="36"/>
    </row>
    <row r="32" spans="1:10" ht="15.75" x14ac:dyDescent="0.25">
      <c r="A32" s="22">
        <v>27</v>
      </c>
      <c r="B32" s="19"/>
      <c r="C32" s="22">
        <v>76</v>
      </c>
      <c r="D32" s="19"/>
      <c r="E32" s="22">
        <f t="shared" si="0"/>
        <v>125</v>
      </c>
      <c r="F32" s="19"/>
      <c r="G32" s="33">
        <v>174</v>
      </c>
      <c r="H32" s="19"/>
      <c r="I32" s="21"/>
      <c r="J32" s="36"/>
    </row>
    <row r="33" spans="1:10" ht="15.75" x14ac:dyDescent="0.25">
      <c r="A33" s="22">
        <v>28</v>
      </c>
      <c r="B33" s="19"/>
      <c r="C33" s="22">
        <v>77</v>
      </c>
      <c r="D33" s="19"/>
      <c r="E33" s="22">
        <f t="shared" si="0"/>
        <v>126</v>
      </c>
      <c r="F33" s="19"/>
      <c r="G33" s="33">
        <v>175</v>
      </c>
      <c r="H33" s="19"/>
      <c r="I33" s="20"/>
      <c r="J33" s="36"/>
    </row>
    <row r="34" spans="1:10" ht="15.75" x14ac:dyDescent="0.25">
      <c r="A34" s="22">
        <v>29</v>
      </c>
      <c r="B34" s="19"/>
      <c r="C34" s="22">
        <v>78</v>
      </c>
      <c r="D34" s="19"/>
      <c r="E34" s="22">
        <f t="shared" si="0"/>
        <v>127</v>
      </c>
      <c r="F34" s="19"/>
      <c r="G34" s="33">
        <v>176</v>
      </c>
      <c r="H34" s="19"/>
      <c r="I34" s="20"/>
      <c r="J34" s="36"/>
    </row>
    <row r="35" spans="1:10" ht="15.75" x14ac:dyDescent="0.25">
      <c r="A35" s="22">
        <v>30</v>
      </c>
      <c r="B35" s="19"/>
      <c r="C35" s="22">
        <v>79</v>
      </c>
      <c r="D35" s="19"/>
      <c r="E35" s="22">
        <f t="shared" si="0"/>
        <v>128</v>
      </c>
      <c r="F35" s="19"/>
      <c r="G35" s="33">
        <v>177</v>
      </c>
      <c r="H35" s="19"/>
      <c r="I35" s="21"/>
      <c r="J35" s="36"/>
    </row>
    <row r="36" spans="1:10" ht="15.75" x14ac:dyDescent="0.25">
      <c r="A36" s="22">
        <v>31</v>
      </c>
      <c r="B36" s="19"/>
      <c r="C36" s="22">
        <v>80</v>
      </c>
      <c r="D36" s="19"/>
      <c r="E36" s="22">
        <f t="shared" si="0"/>
        <v>129</v>
      </c>
      <c r="F36" s="19"/>
      <c r="G36" s="33">
        <v>178</v>
      </c>
      <c r="H36" s="19"/>
      <c r="I36" s="20"/>
      <c r="J36" s="36"/>
    </row>
    <row r="37" spans="1:10" ht="15.75" x14ac:dyDescent="0.25">
      <c r="A37" s="22">
        <v>32</v>
      </c>
      <c r="B37" s="19"/>
      <c r="C37" s="22">
        <v>81</v>
      </c>
      <c r="D37" s="19"/>
      <c r="E37" s="22">
        <f t="shared" si="0"/>
        <v>130</v>
      </c>
      <c r="F37" s="19"/>
      <c r="G37" s="33">
        <v>179</v>
      </c>
      <c r="H37" s="19"/>
      <c r="I37" s="20"/>
      <c r="J37" s="36"/>
    </row>
    <row r="38" spans="1:10" ht="15.75" x14ac:dyDescent="0.25">
      <c r="A38" s="22">
        <v>33</v>
      </c>
      <c r="B38" s="19"/>
      <c r="C38" s="22">
        <v>82</v>
      </c>
      <c r="D38" s="19"/>
      <c r="E38" s="22">
        <f t="shared" si="0"/>
        <v>131</v>
      </c>
      <c r="F38" s="19"/>
      <c r="G38" s="33">
        <v>180</v>
      </c>
      <c r="H38" s="19"/>
      <c r="I38" s="21"/>
      <c r="J38" s="36"/>
    </row>
    <row r="39" spans="1:10" ht="15.75" x14ac:dyDescent="0.25">
      <c r="A39" s="22">
        <v>34</v>
      </c>
      <c r="B39" s="19"/>
      <c r="C39" s="22">
        <v>83</v>
      </c>
      <c r="D39" s="19"/>
      <c r="E39" s="22">
        <f t="shared" si="0"/>
        <v>132</v>
      </c>
      <c r="F39" s="19"/>
      <c r="G39" s="33">
        <v>181</v>
      </c>
      <c r="H39" s="19"/>
      <c r="I39" s="21"/>
      <c r="J39" s="36"/>
    </row>
    <row r="40" spans="1:10" ht="15.75" x14ac:dyDescent="0.25">
      <c r="A40" s="22">
        <v>35</v>
      </c>
      <c r="B40" s="19"/>
      <c r="C40" s="22">
        <v>84</v>
      </c>
      <c r="D40" s="19"/>
      <c r="E40" s="22">
        <f t="shared" si="0"/>
        <v>133</v>
      </c>
      <c r="F40" s="19"/>
      <c r="G40" s="33">
        <v>182</v>
      </c>
      <c r="H40" s="19"/>
      <c r="I40" s="20"/>
      <c r="J40" s="36"/>
    </row>
    <row r="41" spans="1:10" ht="15.75" x14ac:dyDescent="0.25">
      <c r="A41" s="22">
        <v>36</v>
      </c>
      <c r="B41" s="19"/>
      <c r="C41" s="22">
        <v>85</v>
      </c>
      <c r="D41" s="19"/>
      <c r="E41" s="22">
        <f t="shared" si="0"/>
        <v>134</v>
      </c>
      <c r="F41" s="19"/>
      <c r="G41" s="33">
        <v>183</v>
      </c>
      <c r="H41" s="19"/>
      <c r="I41" s="20"/>
      <c r="J41" s="36"/>
    </row>
    <row r="42" spans="1:10" ht="15.75" x14ac:dyDescent="0.25">
      <c r="A42" s="22">
        <v>37</v>
      </c>
      <c r="B42" s="19"/>
      <c r="C42" s="22">
        <v>86</v>
      </c>
      <c r="D42" s="19"/>
      <c r="E42" s="22">
        <f t="shared" si="0"/>
        <v>135</v>
      </c>
      <c r="F42" s="19"/>
      <c r="G42" s="33">
        <v>184</v>
      </c>
      <c r="H42" s="19"/>
      <c r="I42" s="21"/>
      <c r="J42" s="36"/>
    </row>
    <row r="43" spans="1:10" ht="15.75" x14ac:dyDescent="0.25">
      <c r="A43" s="22">
        <v>38</v>
      </c>
      <c r="B43" s="19"/>
      <c r="C43" s="22">
        <v>87</v>
      </c>
      <c r="D43" s="19"/>
      <c r="E43" s="22">
        <f t="shared" si="0"/>
        <v>136</v>
      </c>
      <c r="F43" s="19"/>
      <c r="G43" s="33">
        <v>185</v>
      </c>
      <c r="H43" s="19"/>
      <c r="I43" s="20"/>
      <c r="J43" s="36"/>
    </row>
    <row r="44" spans="1:10" ht="15.75" x14ac:dyDescent="0.25">
      <c r="A44" s="22">
        <v>39</v>
      </c>
      <c r="B44" s="19"/>
      <c r="C44" s="22">
        <v>88</v>
      </c>
      <c r="D44" s="19"/>
      <c r="E44" s="22">
        <f t="shared" si="0"/>
        <v>137</v>
      </c>
      <c r="F44" s="19"/>
      <c r="G44" s="33">
        <v>186</v>
      </c>
      <c r="H44" s="19"/>
      <c r="I44" s="20"/>
      <c r="J44" s="36"/>
    </row>
    <row r="45" spans="1:10" ht="15.75" x14ac:dyDescent="0.25">
      <c r="A45" s="22">
        <v>40</v>
      </c>
      <c r="B45" s="19"/>
      <c r="C45" s="22">
        <v>89</v>
      </c>
      <c r="D45" s="19"/>
      <c r="E45" s="22">
        <f t="shared" si="0"/>
        <v>138</v>
      </c>
      <c r="F45" s="19"/>
      <c r="G45" s="33">
        <v>187</v>
      </c>
      <c r="H45" s="19"/>
      <c r="I45" s="21"/>
      <c r="J45" s="36"/>
    </row>
    <row r="46" spans="1:10" ht="15.75" x14ac:dyDescent="0.25">
      <c r="A46" s="22">
        <v>41</v>
      </c>
      <c r="B46" s="19"/>
      <c r="C46" s="22">
        <v>90</v>
      </c>
      <c r="D46" s="19"/>
      <c r="E46" s="22">
        <f t="shared" si="0"/>
        <v>139</v>
      </c>
      <c r="F46" s="19"/>
      <c r="G46" s="33">
        <v>188</v>
      </c>
      <c r="H46" s="19"/>
      <c r="I46" s="20"/>
      <c r="J46" s="36"/>
    </row>
    <row r="47" spans="1:10" ht="15.75" x14ac:dyDescent="0.25">
      <c r="A47" s="22">
        <v>42</v>
      </c>
      <c r="B47" s="19"/>
      <c r="C47" s="22">
        <v>91</v>
      </c>
      <c r="D47" s="19"/>
      <c r="E47" s="22">
        <f t="shared" si="0"/>
        <v>140</v>
      </c>
      <c r="F47" s="19"/>
      <c r="G47" s="33">
        <v>189</v>
      </c>
      <c r="H47" s="19"/>
      <c r="I47" s="20"/>
      <c r="J47" s="36"/>
    </row>
    <row r="48" spans="1:10" ht="15.75" x14ac:dyDescent="0.25">
      <c r="A48" s="22">
        <v>43</v>
      </c>
      <c r="B48" s="19"/>
      <c r="C48" s="22">
        <v>92</v>
      </c>
      <c r="D48" s="19"/>
      <c r="E48" s="22">
        <f t="shared" si="0"/>
        <v>141</v>
      </c>
      <c r="F48" s="19"/>
      <c r="G48" s="33">
        <v>190</v>
      </c>
      <c r="H48" s="19"/>
      <c r="I48" s="21"/>
      <c r="J48" s="36"/>
    </row>
    <row r="49" spans="1:10" ht="15.75" x14ac:dyDescent="0.25">
      <c r="A49" s="22">
        <v>44</v>
      </c>
      <c r="B49" s="19"/>
      <c r="C49" s="22">
        <v>93</v>
      </c>
      <c r="D49" s="19"/>
      <c r="E49" s="22">
        <f t="shared" si="0"/>
        <v>142</v>
      </c>
      <c r="F49" s="19"/>
      <c r="G49" s="33">
        <v>191</v>
      </c>
      <c r="H49" s="19"/>
      <c r="I49" s="21"/>
      <c r="J49" s="36"/>
    </row>
    <row r="50" spans="1:10" ht="15.75" x14ac:dyDescent="0.25">
      <c r="A50" s="22">
        <v>45</v>
      </c>
      <c r="B50" s="19"/>
      <c r="C50" s="22">
        <v>94</v>
      </c>
      <c r="D50" s="19"/>
      <c r="E50" s="22">
        <f t="shared" si="0"/>
        <v>143</v>
      </c>
      <c r="F50" s="19"/>
      <c r="G50" s="33">
        <v>192</v>
      </c>
      <c r="H50" s="19"/>
      <c r="I50" s="20"/>
      <c r="J50" s="36"/>
    </row>
    <row r="51" spans="1:10" ht="15.75" x14ac:dyDescent="0.25">
      <c r="A51" s="22">
        <v>46</v>
      </c>
      <c r="B51" s="19"/>
      <c r="C51" s="22">
        <v>95</v>
      </c>
      <c r="D51" s="19"/>
      <c r="E51" s="22">
        <f t="shared" si="0"/>
        <v>144</v>
      </c>
      <c r="F51" s="19"/>
      <c r="G51" s="33">
        <v>193</v>
      </c>
      <c r="H51" s="19"/>
      <c r="I51" s="20"/>
      <c r="J51" s="36"/>
    </row>
    <row r="52" spans="1:10" ht="15.75" x14ac:dyDescent="0.25">
      <c r="A52" s="22">
        <v>47</v>
      </c>
      <c r="B52" s="19"/>
      <c r="C52" s="22">
        <v>96</v>
      </c>
      <c r="D52" s="19"/>
      <c r="E52" s="22">
        <f t="shared" si="0"/>
        <v>145</v>
      </c>
      <c r="F52" s="19"/>
      <c r="G52" s="33">
        <v>194</v>
      </c>
      <c r="H52" s="19"/>
      <c r="I52" s="21"/>
      <c r="J52" s="36"/>
    </row>
    <row r="53" spans="1:10" ht="15.75" x14ac:dyDescent="0.25">
      <c r="A53" s="22">
        <v>48</v>
      </c>
      <c r="B53" s="19"/>
      <c r="C53" s="22">
        <v>97</v>
      </c>
      <c r="D53" s="19"/>
      <c r="E53" s="22">
        <f t="shared" si="0"/>
        <v>146</v>
      </c>
      <c r="F53" s="19"/>
      <c r="G53" s="33">
        <v>195</v>
      </c>
      <c r="H53" s="19"/>
      <c r="I53" s="20"/>
      <c r="J53" s="36"/>
    </row>
    <row r="54" spans="1:10" ht="15.75" x14ac:dyDescent="0.25">
      <c r="A54" s="37">
        <v>49</v>
      </c>
      <c r="B54" s="19"/>
      <c r="C54" s="37">
        <v>98</v>
      </c>
      <c r="D54" s="19"/>
      <c r="E54" s="22">
        <f t="shared" si="0"/>
        <v>147</v>
      </c>
      <c r="F54" s="19"/>
      <c r="G54" s="38">
        <v>196</v>
      </c>
      <c r="H54" s="19"/>
      <c r="I54" s="39"/>
      <c r="J54" s="40"/>
    </row>
    <row r="55" spans="1:10" ht="15.75" x14ac:dyDescent="0.25">
      <c r="A55" s="41"/>
      <c r="B55" s="23">
        <f>SUM(B6:B54)</f>
        <v>0</v>
      </c>
      <c r="C55" s="23"/>
      <c r="D55" s="23">
        <f>SUM(D6:D54)</f>
        <v>0</v>
      </c>
      <c r="E55" s="23"/>
      <c r="F55" s="23">
        <f>SUM(F6:F54)</f>
        <v>0</v>
      </c>
      <c r="G55" s="23"/>
      <c r="H55" s="23">
        <f>SUM(H6:H54)</f>
        <v>0</v>
      </c>
      <c r="I55" s="41"/>
      <c r="J55" s="41">
        <f>SUM(J6:J54)</f>
        <v>0</v>
      </c>
    </row>
    <row r="56" spans="1:10" ht="15.75" x14ac:dyDescent="0.25">
      <c r="A56" s="42" t="s">
        <v>5</v>
      </c>
      <c r="B56" s="43">
        <f>COUNT(B6:B54,D6:D54,F6:F54,H6:H54,J6:J54)</f>
        <v>0</v>
      </c>
      <c r="C56" s="13" t="s">
        <v>6</v>
      </c>
      <c r="D56" s="44"/>
      <c r="E56" s="45">
        <f>B55+D55+F55+H55+J55</f>
        <v>0</v>
      </c>
      <c r="F56" s="24" t="s">
        <v>7</v>
      </c>
      <c r="G56" s="1">
        <f>B56*2.2</f>
        <v>0</v>
      </c>
      <c r="H56" s="13" t="s">
        <v>8</v>
      </c>
      <c r="I56" s="44"/>
      <c r="J56" s="45">
        <f>E56-G56</f>
        <v>0</v>
      </c>
    </row>
    <row r="57" spans="1:10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</row>
    <row r="59" spans="1:10" x14ac:dyDescent="0.25">
      <c r="F59" s="112" t="s">
        <v>61</v>
      </c>
      <c r="G59" s="112">
        <v>2.2000000000000002</v>
      </c>
    </row>
  </sheetData>
  <protectedRanges>
    <protectedRange password="CCE1" sqref="C6:C54 G6:G54 E6:E54 I6:I29" name="Диапазон1_3_1_7_2_1_1_1_1_1_1_1"/>
  </protectedRanges>
  <mergeCells count="2">
    <mergeCell ref="A1:J1"/>
    <mergeCell ref="I4:J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topLeftCell="A46" workbookViewId="0">
      <selection activeCell="B3" sqref="B3"/>
    </sheetView>
  </sheetViews>
  <sheetFormatPr defaultRowHeight="15" x14ac:dyDescent="0.25"/>
  <sheetData>
    <row r="1" spans="1:10" ht="18.75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</row>
    <row r="2" spans="1:10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</row>
    <row r="3" spans="1:10" ht="15.75" x14ac:dyDescent="0.25">
      <c r="A3" s="25" t="s">
        <v>2</v>
      </c>
      <c r="B3" s="27"/>
      <c r="C3" s="14"/>
      <c r="D3" s="15"/>
      <c r="E3" s="16"/>
      <c r="F3" s="16"/>
      <c r="G3" s="16"/>
      <c r="H3" s="16"/>
      <c r="I3" s="16" t="s">
        <v>33</v>
      </c>
      <c r="J3" s="16"/>
    </row>
    <row r="4" spans="1:10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</row>
    <row r="5" spans="1:10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</row>
    <row r="6" spans="1:10" ht="15.75" x14ac:dyDescent="0.25">
      <c r="A6" s="22">
        <v>1</v>
      </c>
      <c r="B6" s="19"/>
      <c r="C6" s="22">
        <v>50</v>
      </c>
      <c r="D6" s="19"/>
      <c r="E6" s="22">
        <v>99</v>
      </c>
      <c r="F6" s="19"/>
      <c r="G6" s="33">
        <v>148</v>
      </c>
      <c r="H6" s="19"/>
      <c r="I6" s="34">
        <v>197</v>
      </c>
      <c r="J6" s="19"/>
    </row>
    <row r="7" spans="1:10" ht="15.75" x14ac:dyDescent="0.25">
      <c r="A7" s="22">
        <v>2</v>
      </c>
      <c r="B7" s="19"/>
      <c r="C7" s="22">
        <v>51</v>
      </c>
      <c r="D7" s="19"/>
      <c r="E7" s="22">
        <v>100</v>
      </c>
      <c r="F7" s="19"/>
      <c r="G7" s="33">
        <v>149</v>
      </c>
      <c r="H7" s="19"/>
      <c r="I7" s="33">
        <v>198</v>
      </c>
      <c r="J7" s="19"/>
    </row>
    <row r="8" spans="1:10" ht="15.75" x14ac:dyDescent="0.25">
      <c r="A8" s="22">
        <v>3</v>
      </c>
      <c r="B8" s="19"/>
      <c r="C8" s="22">
        <v>52</v>
      </c>
      <c r="D8" s="19"/>
      <c r="E8" s="22">
        <f t="shared" ref="E8:E54" si="0">+E7+1</f>
        <v>101</v>
      </c>
      <c r="F8" s="19"/>
      <c r="G8" s="33">
        <v>150</v>
      </c>
      <c r="H8" s="19"/>
      <c r="I8" s="33">
        <v>199</v>
      </c>
      <c r="J8" s="19"/>
    </row>
    <row r="9" spans="1:10" ht="15.75" x14ac:dyDescent="0.25">
      <c r="A9" s="22">
        <v>4</v>
      </c>
      <c r="B9" s="19"/>
      <c r="C9" s="22">
        <v>53</v>
      </c>
      <c r="D9" s="19"/>
      <c r="E9" s="22">
        <f t="shared" si="0"/>
        <v>102</v>
      </c>
      <c r="F9" s="19"/>
      <c r="G9" s="33">
        <v>151</v>
      </c>
      <c r="H9" s="19"/>
      <c r="I9" s="33">
        <v>200</v>
      </c>
      <c r="J9" s="19"/>
    </row>
    <row r="10" spans="1:10" ht="15.75" x14ac:dyDescent="0.25">
      <c r="A10" s="22">
        <v>5</v>
      </c>
      <c r="B10" s="19"/>
      <c r="C10" s="22">
        <v>54</v>
      </c>
      <c r="D10" s="19"/>
      <c r="E10" s="22">
        <f t="shared" si="0"/>
        <v>103</v>
      </c>
      <c r="F10" s="19"/>
      <c r="G10" s="33">
        <v>152</v>
      </c>
      <c r="H10" s="19"/>
      <c r="I10" s="33">
        <v>201</v>
      </c>
      <c r="J10" s="19"/>
    </row>
    <row r="11" spans="1:10" ht="15.75" x14ac:dyDescent="0.25">
      <c r="A11" s="22">
        <v>6</v>
      </c>
      <c r="B11" s="19"/>
      <c r="C11" s="22">
        <v>55</v>
      </c>
      <c r="D11" s="19"/>
      <c r="E11" s="22">
        <f t="shared" si="0"/>
        <v>104</v>
      </c>
      <c r="F11" s="19"/>
      <c r="G11" s="33">
        <v>153</v>
      </c>
      <c r="H11" s="19"/>
      <c r="I11" s="33">
        <v>202</v>
      </c>
      <c r="J11" s="19"/>
    </row>
    <row r="12" spans="1:10" ht="15.75" x14ac:dyDescent="0.25">
      <c r="A12" s="22">
        <v>7</v>
      </c>
      <c r="B12" s="19"/>
      <c r="C12" s="22">
        <v>56</v>
      </c>
      <c r="D12" s="19"/>
      <c r="E12" s="22">
        <f t="shared" si="0"/>
        <v>105</v>
      </c>
      <c r="F12" s="19"/>
      <c r="G12" s="33">
        <v>154</v>
      </c>
      <c r="H12" s="19"/>
      <c r="I12" s="33">
        <v>203</v>
      </c>
      <c r="J12" s="19"/>
    </row>
    <row r="13" spans="1:10" ht="15.75" x14ac:dyDescent="0.25">
      <c r="A13" s="22">
        <v>8</v>
      </c>
      <c r="B13" s="19"/>
      <c r="C13" s="22">
        <v>57</v>
      </c>
      <c r="D13" s="19"/>
      <c r="E13" s="22">
        <f t="shared" si="0"/>
        <v>106</v>
      </c>
      <c r="F13" s="19"/>
      <c r="G13" s="33">
        <v>155</v>
      </c>
      <c r="H13" s="19"/>
      <c r="I13" s="33">
        <v>204</v>
      </c>
      <c r="J13" s="19"/>
    </row>
    <row r="14" spans="1:10" ht="15.75" x14ac:dyDescent="0.25">
      <c r="A14" s="22">
        <v>9</v>
      </c>
      <c r="B14" s="19"/>
      <c r="C14" s="22">
        <v>58</v>
      </c>
      <c r="D14" s="19"/>
      <c r="E14" s="22">
        <f t="shared" si="0"/>
        <v>107</v>
      </c>
      <c r="F14" s="19"/>
      <c r="G14" s="33">
        <v>156</v>
      </c>
      <c r="H14" s="19"/>
      <c r="I14" s="33">
        <v>205</v>
      </c>
      <c r="J14" s="19"/>
    </row>
    <row r="15" spans="1:10" ht="15.75" x14ac:dyDescent="0.25">
      <c r="A15" s="22">
        <v>10</v>
      </c>
      <c r="B15" s="19"/>
      <c r="C15" s="22">
        <v>59</v>
      </c>
      <c r="D15" s="19"/>
      <c r="E15" s="22">
        <f t="shared" si="0"/>
        <v>108</v>
      </c>
      <c r="F15" s="19"/>
      <c r="G15" s="33">
        <v>157</v>
      </c>
      <c r="H15" s="19"/>
      <c r="I15" s="33">
        <v>206</v>
      </c>
      <c r="J15" s="19"/>
    </row>
    <row r="16" spans="1:10" ht="15.75" x14ac:dyDescent="0.25">
      <c r="A16" s="22">
        <v>11</v>
      </c>
      <c r="B16" s="19"/>
      <c r="C16" s="22">
        <v>60</v>
      </c>
      <c r="D16" s="19"/>
      <c r="E16" s="22">
        <f t="shared" si="0"/>
        <v>109</v>
      </c>
      <c r="F16" s="19"/>
      <c r="G16" s="33">
        <v>158</v>
      </c>
      <c r="H16" s="19"/>
      <c r="I16" s="33">
        <v>207</v>
      </c>
      <c r="J16" s="19"/>
    </row>
    <row r="17" spans="1:10" ht="15.75" x14ac:dyDescent="0.25">
      <c r="A17" s="22">
        <v>12</v>
      </c>
      <c r="B17" s="19"/>
      <c r="C17" s="22">
        <v>61</v>
      </c>
      <c r="D17" s="19"/>
      <c r="E17" s="22">
        <f t="shared" si="0"/>
        <v>110</v>
      </c>
      <c r="F17" s="19"/>
      <c r="G17" s="33">
        <v>159</v>
      </c>
      <c r="H17" s="19"/>
      <c r="I17" s="33">
        <v>208</v>
      </c>
      <c r="J17" s="19"/>
    </row>
    <row r="18" spans="1:10" ht="15.75" x14ac:dyDescent="0.25">
      <c r="A18" s="22">
        <v>13</v>
      </c>
      <c r="B18" s="19"/>
      <c r="C18" s="22">
        <v>62</v>
      </c>
      <c r="D18" s="19"/>
      <c r="E18" s="22">
        <f t="shared" si="0"/>
        <v>111</v>
      </c>
      <c r="F18" s="19"/>
      <c r="G18" s="33">
        <v>160</v>
      </c>
      <c r="H18" s="19"/>
      <c r="I18" s="33">
        <v>209</v>
      </c>
      <c r="J18" s="19"/>
    </row>
    <row r="19" spans="1:10" ht="15.75" x14ac:dyDescent="0.25">
      <c r="A19" s="22">
        <v>14</v>
      </c>
      <c r="B19" s="19"/>
      <c r="C19" s="22">
        <v>63</v>
      </c>
      <c r="D19" s="19"/>
      <c r="E19" s="22">
        <f t="shared" si="0"/>
        <v>112</v>
      </c>
      <c r="F19" s="19"/>
      <c r="G19" s="33">
        <v>161</v>
      </c>
      <c r="H19" s="19"/>
      <c r="I19" s="33">
        <v>210</v>
      </c>
      <c r="J19" s="19"/>
    </row>
    <row r="20" spans="1:10" ht="15.75" x14ac:dyDescent="0.25">
      <c r="A20" s="22">
        <v>15</v>
      </c>
      <c r="B20" s="19"/>
      <c r="C20" s="22">
        <v>64</v>
      </c>
      <c r="D20" s="19"/>
      <c r="E20" s="22">
        <f t="shared" si="0"/>
        <v>113</v>
      </c>
      <c r="F20" s="19"/>
      <c r="G20" s="35">
        <v>162</v>
      </c>
      <c r="H20" s="19"/>
      <c r="I20" s="33">
        <v>211</v>
      </c>
      <c r="J20" s="19"/>
    </row>
    <row r="21" spans="1:10" ht="15.75" x14ac:dyDescent="0.25">
      <c r="A21" s="22">
        <v>16</v>
      </c>
      <c r="B21" s="19"/>
      <c r="C21" s="22">
        <v>65</v>
      </c>
      <c r="D21" s="19"/>
      <c r="E21" s="22">
        <f t="shared" si="0"/>
        <v>114</v>
      </c>
      <c r="F21" s="19"/>
      <c r="G21" s="35">
        <v>163</v>
      </c>
      <c r="H21" s="19"/>
      <c r="I21" s="33">
        <v>212</v>
      </c>
      <c r="J21" s="19"/>
    </row>
    <row r="22" spans="1:10" ht="15.75" x14ac:dyDescent="0.25">
      <c r="A22" s="22">
        <v>17</v>
      </c>
      <c r="B22" s="19"/>
      <c r="C22" s="22">
        <v>66</v>
      </c>
      <c r="D22" s="19"/>
      <c r="E22" s="22">
        <f t="shared" si="0"/>
        <v>115</v>
      </c>
      <c r="F22" s="19"/>
      <c r="G22" s="35">
        <v>164</v>
      </c>
      <c r="H22" s="19"/>
      <c r="I22" s="33">
        <v>213</v>
      </c>
      <c r="J22" s="19"/>
    </row>
    <row r="23" spans="1:10" ht="15.75" x14ac:dyDescent="0.25">
      <c r="A23" s="22">
        <v>18</v>
      </c>
      <c r="B23" s="19"/>
      <c r="C23" s="22">
        <v>67</v>
      </c>
      <c r="D23" s="19"/>
      <c r="E23" s="22">
        <f t="shared" si="0"/>
        <v>116</v>
      </c>
      <c r="F23" s="19"/>
      <c r="G23" s="35">
        <v>165</v>
      </c>
      <c r="H23" s="19"/>
      <c r="I23" s="33">
        <v>214</v>
      </c>
      <c r="J23" s="19"/>
    </row>
    <row r="24" spans="1:10" ht="15.75" x14ac:dyDescent="0.25">
      <c r="A24" s="22">
        <v>19</v>
      </c>
      <c r="B24" s="19"/>
      <c r="C24" s="22">
        <v>68</v>
      </c>
      <c r="D24" s="19"/>
      <c r="E24" s="22">
        <f t="shared" si="0"/>
        <v>117</v>
      </c>
      <c r="F24" s="19"/>
      <c r="G24" s="35">
        <v>166</v>
      </c>
      <c r="H24" s="19"/>
      <c r="I24" s="33">
        <v>215</v>
      </c>
      <c r="J24" s="19"/>
    </row>
    <row r="25" spans="1:10" ht="15.75" x14ac:dyDescent="0.25">
      <c r="A25" s="22">
        <v>20</v>
      </c>
      <c r="B25" s="19"/>
      <c r="C25" s="22">
        <v>69</v>
      </c>
      <c r="D25" s="19"/>
      <c r="E25" s="22">
        <f t="shared" si="0"/>
        <v>118</v>
      </c>
      <c r="F25" s="19"/>
      <c r="G25" s="35">
        <v>167</v>
      </c>
      <c r="H25" s="19"/>
      <c r="I25" s="33">
        <v>216</v>
      </c>
      <c r="J25" s="19"/>
    </row>
    <row r="26" spans="1:10" ht="15.75" x14ac:dyDescent="0.25">
      <c r="A26" s="22">
        <v>21</v>
      </c>
      <c r="B26" s="19"/>
      <c r="C26" s="22">
        <v>70</v>
      </c>
      <c r="D26" s="19"/>
      <c r="E26" s="22">
        <f t="shared" si="0"/>
        <v>119</v>
      </c>
      <c r="F26" s="19"/>
      <c r="G26" s="35">
        <v>168</v>
      </c>
      <c r="H26" s="19"/>
      <c r="I26" s="33">
        <v>217</v>
      </c>
      <c r="J26" s="19"/>
    </row>
    <row r="27" spans="1:10" ht="15.75" x14ac:dyDescent="0.25">
      <c r="A27" s="22">
        <v>22</v>
      </c>
      <c r="B27" s="19"/>
      <c r="C27" s="22">
        <v>71</v>
      </c>
      <c r="D27" s="19"/>
      <c r="E27" s="22">
        <f t="shared" si="0"/>
        <v>120</v>
      </c>
      <c r="F27" s="19"/>
      <c r="G27" s="35">
        <v>169</v>
      </c>
      <c r="H27" s="19"/>
      <c r="I27" s="33">
        <v>218</v>
      </c>
      <c r="J27" s="19"/>
    </row>
    <row r="28" spans="1:10" ht="15.75" x14ac:dyDescent="0.25">
      <c r="A28" s="22">
        <v>23</v>
      </c>
      <c r="B28" s="19"/>
      <c r="C28" s="22">
        <v>72</v>
      </c>
      <c r="D28" s="19"/>
      <c r="E28" s="22">
        <f t="shared" si="0"/>
        <v>121</v>
      </c>
      <c r="F28" s="19"/>
      <c r="G28" s="35">
        <v>170</v>
      </c>
      <c r="H28" s="19"/>
      <c r="I28" s="33">
        <v>219</v>
      </c>
      <c r="J28" s="19"/>
    </row>
    <row r="29" spans="1:10" ht="15.75" x14ac:dyDescent="0.25">
      <c r="A29" s="22">
        <v>24</v>
      </c>
      <c r="B29" s="19"/>
      <c r="C29" s="22">
        <v>73</v>
      </c>
      <c r="D29" s="19"/>
      <c r="E29" s="22">
        <f t="shared" si="0"/>
        <v>122</v>
      </c>
      <c r="F29" s="19"/>
      <c r="G29" s="35">
        <v>171</v>
      </c>
      <c r="H29" s="19"/>
      <c r="I29" s="33">
        <v>220</v>
      </c>
      <c r="J29" s="19"/>
    </row>
    <row r="30" spans="1:10" ht="15.75" x14ac:dyDescent="0.25">
      <c r="A30" s="22">
        <v>25</v>
      </c>
      <c r="B30" s="19"/>
      <c r="C30" s="22">
        <v>74</v>
      </c>
      <c r="D30" s="19"/>
      <c r="E30" s="22">
        <f t="shared" si="0"/>
        <v>123</v>
      </c>
      <c r="F30" s="19"/>
      <c r="G30" s="35">
        <v>172</v>
      </c>
      <c r="H30" s="19"/>
      <c r="I30" s="20"/>
      <c r="J30" s="36"/>
    </row>
    <row r="31" spans="1:10" ht="15.75" x14ac:dyDescent="0.25">
      <c r="A31" s="22">
        <v>26</v>
      </c>
      <c r="B31" s="19"/>
      <c r="C31" s="22">
        <v>75</v>
      </c>
      <c r="D31" s="19"/>
      <c r="E31" s="22">
        <f t="shared" si="0"/>
        <v>124</v>
      </c>
      <c r="F31" s="19"/>
      <c r="G31" s="35">
        <v>173</v>
      </c>
      <c r="H31" s="19"/>
      <c r="I31" s="20"/>
      <c r="J31" s="36"/>
    </row>
    <row r="32" spans="1:10" ht="15.75" x14ac:dyDescent="0.25">
      <c r="A32" s="22">
        <v>27</v>
      </c>
      <c r="B32" s="19"/>
      <c r="C32" s="22">
        <v>76</v>
      </c>
      <c r="D32" s="19"/>
      <c r="E32" s="22">
        <f t="shared" si="0"/>
        <v>125</v>
      </c>
      <c r="F32" s="19"/>
      <c r="G32" s="33">
        <v>174</v>
      </c>
      <c r="H32" s="19"/>
      <c r="I32" s="21"/>
      <c r="J32" s="36"/>
    </row>
    <row r="33" spans="1:10" ht="15.75" x14ac:dyDescent="0.25">
      <c r="A33" s="22">
        <v>28</v>
      </c>
      <c r="B33" s="19"/>
      <c r="C33" s="22">
        <v>77</v>
      </c>
      <c r="D33" s="19"/>
      <c r="E33" s="22">
        <f t="shared" si="0"/>
        <v>126</v>
      </c>
      <c r="F33" s="19"/>
      <c r="G33" s="33">
        <v>175</v>
      </c>
      <c r="H33" s="19"/>
      <c r="I33" s="20"/>
      <c r="J33" s="36"/>
    </row>
    <row r="34" spans="1:10" ht="15.75" x14ac:dyDescent="0.25">
      <c r="A34" s="22">
        <v>29</v>
      </c>
      <c r="B34" s="19"/>
      <c r="C34" s="22">
        <v>78</v>
      </c>
      <c r="D34" s="19"/>
      <c r="E34" s="22">
        <f t="shared" si="0"/>
        <v>127</v>
      </c>
      <c r="F34" s="19"/>
      <c r="G34" s="33">
        <v>176</v>
      </c>
      <c r="H34" s="19"/>
      <c r="I34" s="20"/>
      <c r="J34" s="36"/>
    </row>
    <row r="35" spans="1:10" ht="15.75" x14ac:dyDescent="0.25">
      <c r="A35" s="22">
        <v>30</v>
      </c>
      <c r="B35" s="19"/>
      <c r="C35" s="22">
        <v>79</v>
      </c>
      <c r="D35" s="19"/>
      <c r="E35" s="22">
        <f t="shared" si="0"/>
        <v>128</v>
      </c>
      <c r="F35" s="19"/>
      <c r="G35" s="33">
        <v>177</v>
      </c>
      <c r="H35" s="19"/>
      <c r="I35" s="21"/>
      <c r="J35" s="36"/>
    </row>
    <row r="36" spans="1:10" ht="15.75" x14ac:dyDescent="0.25">
      <c r="A36" s="22">
        <v>31</v>
      </c>
      <c r="B36" s="19"/>
      <c r="C36" s="22">
        <v>80</v>
      </c>
      <c r="D36" s="19"/>
      <c r="E36" s="22">
        <f t="shared" si="0"/>
        <v>129</v>
      </c>
      <c r="F36" s="19"/>
      <c r="G36" s="33">
        <v>178</v>
      </c>
      <c r="H36" s="19"/>
      <c r="I36" s="20"/>
      <c r="J36" s="36"/>
    </row>
    <row r="37" spans="1:10" ht="15.75" x14ac:dyDescent="0.25">
      <c r="A37" s="22">
        <v>32</v>
      </c>
      <c r="B37" s="19"/>
      <c r="C37" s="22">
        <v>81</v>
      </c>
      <c r="D37" s="19"/>
      <c r="E37" s="22">
        <f t="shared" si="0"/>
        <v>130</v>
      </c>
      <c r="F37" s="19"/>
      <c r="G37" s="33">
        <v>179</v>
      </c>
      <c r="H37" s="19"/>
      <c r="I37" s="20"/>
      <c r="J37" s="36"/>
    </row>
    <row r="38" spans="1:10" ht="15.75" x14ac:dyDescent="0.25">
      <c r="A38" s="22">
        <v>33</v>
      </c>
      <c r="B38" s="19"/>
      <c r="C38" s="22">
        <v>82</v>
      </c>
      <c r="D38" s="19"/>
      <c r="E38" s="22">
        <f t="shared" si="0"/>
        <v>131</v>
      </c>
      <c r="F38" s="19"/>
      <c r="G38" s="33">
        <v>180</v>
      </c>
      <c r="H38" s="19"/>
      <c r="I38" s="21"/>
      <c r="J38" s="36"/>
    </row>
    <row r="39" spans="1:10" ht="15.75" x14ac:dyDescent="0.25">
      <c r="A39" s="22">
        <v>34</v>
      </c>
      <c r="B39" s="19"/>
      <c r="C39" s="22">
        <v>83</v>
      </c>
      <c r="D39" s="19"/>
      <c r="E39" s="22">
        <f t="shared" si="0"/>
        <v>132</v>
      </c>
      <c r="F39" s="19"/>
      <c r="G39" s="33">
        <v>181</v>
      </c>
      <c r="H39" s="19"/>
      <c r="I39" s="21"/>
      <c r="J39" s="36"/>
    </row>
    <row r="40" spans="1:10" ht="15.75" x14ac:dyDescent="0.25">
      <c r="A40" s="22">
        <v>35</v>
      </c>
      <c r="B40" s="19"/>
      <c r="C40" s="22">
        <v>84</v>
      </c>
      <c r="D40" s="19"/>
      <c r="E40" s="22">
        <f t="shared" si="0"/>
        <v>133</v>
      </c>
      <c r="F40" s="19"/>
      <c r="G40" s="33">
        <v>182</v>
      </c>
      <c r="H40" s="19"/>
      <c r="I40" s="20"/>
      <c r="J40" s="36"/>
    </row>
    <row r="41" spans="1:10" ht="15.75" x14ac:dyDescent="0.25">
      <c r="A41" s="22">
        <v>36</v>
      </c>
      <c r="B41" s="19"/>
      <c r="C41" s="22">
        <v>85</v>
      </c>
      <c r="D41" s="19"/>
      <c r="E41" s="22">
        <f t="shared" si="0"/>
        <v>134</v>
      </c>
      <c r="F41" s="19"/>
      <c r="G41" s="33">
        <v>183</v>
      </c>
      <c r="H41" s="19"/>
      <c r="I41" s="20"/>
      <c r="J41" s="36"/>
    </row>
    <row r="42" spans="1:10" ht="15.75" x14ac:dyDescent="0.25">
      <c r="A42" s="22">
        <v>37</v>
      </c>
      <c r="B42" s="19"/>
      <c r="C42" s="22">
        <v>86</v>
      </c>
      <c r="D42" s="19"/>
      <c r="E42" s="22">
        <f t="shared" si="0"/>
        <v>135</v>
      </c>
      <c r="F42" s="19"/>
      <c r="G42" s="33">
        <v>184</v>
      </c>
      <c r="H42" s="19"/>
      <c r="I42" s="21"/>
      <c r="J42" s="36"/>
    </row>
    <row r="43" spans="1:10" ht="15.75" x14ac:dyDescent="0.25">
      <c r="A43" s="22">
        <v>38</v>
      </c>
      <c r="B43" s="19"/>
      <c r="C43" s="22">
        <v>87</v>
      </c>
      <c r="D43" s="19"/>
      <c r="E43" s="22">
        <f t="shared" si="0"/>
        <v>136</v>
      </c>
      <c r="F43" s="19"/>
      <c r="G43" s="33">
        <v>185</v>
      </c>
      <c r="H43" s="19"/>
      <c r="I43" s="20"/>
      <c r="J43" s="36"/>
    </row>
    <row r="44" spans="1:10" ht="15.75" x14ac:dyDescent="0.25">
      <c r="A44" s="22">
        <v>39</v>
      </c>
      <c r="B44" s="19"/>
      <c r="C44" s="22">
        <v>88</v>
      </c>
      <c r="D44" s="19"/>
      <c r="E44" s="22">
        <f t="shared" si="0"/>
        <v>137</v>
      </c>
      <c r="F44" s="19"/>
      <c r="G44" s="33">
        <v>186</v>
      </c>
      <c r="H44" s="19"/>
      <c r="I44" s="20"/>
      <c r="J44" s="36"/>
    </row>
    <row r="45" spans="1:10" ht="15.75" x14ac:dyDescent="0.25">
      <c r="A45" s="22">
        <v>40</v>
      </c>
      <c r="B45" s="19"/>
      <c r="C45" s="22">
        <v>89</v>
      </c>
      <c r="D45" s="19"/>
      <c r="E45" s="22">
        <f t="shared" si="0"/>
        <v>138</v>
      </c>
      <c r="F45" s="19"/>
      <c r="G45" s="33">
        <v>187</v>
      </c>
      <c r="H45" s="19"/>
      <c r="I45" s="21"/>
      <c r="J45" s="36"/>
    </row>
    <row r="46" spans="1:10" ht="15.75" x14ac:dyDescent="0.25">
      <c r="A46" s="22">
        <v>41</v>
      </c>
      <c r="B46" s="19"/>
      <c r="C46" s="22">
        <v>90</v>
      </c>
      <c r="D46" s="19"/>
      <c r="E46" s="22">
        <f t="shared" si="0"/>
        <v>139</v>
      </c>
      <c r="F46" s="19"/>
      <c r="G46" s="33">
        <v>188</v>
      </c>
      <c r="H46" s="19"/>
      <c r="I46" s="20"/>
      <c r="J46" s="36"/>
    </row>
    <row r="47" spans="1:10" ht="15.75" x14ac:dyDescent="0.25">
      <c r="A47" s="22">
        <v>42</v>
      </c>
      <c r="B47" s="19"/>
      <c r="C47" s="22">
        <v>91</v>
      </c>
      <c r="D47" s="19"/>
      <c r="E47" s="22">
        <f t="shared" si="0"/>
        <v>140</v>
      </c>
      <c r="F47" s="19"/>
      <c r="G47" s="33">
        <v>189</v>
      </c>
      <c r="H47" s="19"/>
      <c r="I47" s="20"/>
      <c r="J47" s="36"/>
    </row>
    <row r="48" spans="1:10" ht="15.75" x14ac:dyDescent="0.25">
      <c r="A48" s="22">
        <v>43</v>
      </c>
      <c r="B48" s="19"/>
      <c r="C48" s="22">
        <v>92</v>
      </c>
      <c r="D48" s="19"/>
      <c r="E48" s="22">
        <f t="shared" si="0"/>
        <v>141</v>
      </c>
      <c r="F48" s="19"/>
      <c r="G48" s="33">
        <v>190</v>
      </c>
      <c r="H48" s="19"/>
      <c r="I48" s="21"/>
      <c r="J48" s="36"/>
    </row>
    <row r="49" spans="1:10" ht="15.75" x14ac:dyDescent="0.25">
      <c r="A49" s="22">
        <v>44</v>
      </c>
      <c r="B49" s="19"/>
      <c r="C49" s="22">
        <v>93</v>
      </c>
      <c r="D49" s="19"/>
      <c r="E49" s="22">
        <f t="shared" si="0"/>
        <v>142</v>
      </c>
      <c r="F49" s="19"/>
      <c r="G49" s="33">
        <v>191</v>
      </c>
      <c r="H49" s="19"/>
      <c r="I49" s="21"/>
      <c r="J49" s="36"/>
    </row>
    <row r="50" spans="1:10" ht="15.75" x14ac:dyDescent="0.25">
      <c r="A50" s="22">
        <v>45</v>
      </c>
      <c r="B50" s="19"/>
      <c r="C50" s="22">
        <v>94</v>
      </c>
      <c r="D50" s="19"/>
      <c r="E50" s="22">
        <f t="shared" si="0"/>
        <v>143</v>
      </c>
      <c r="F50" s="19"/>
      <c r="G50" s="33">
        <v>192</v>
      </c>
      <c r="H50" s="19"/>
      <c r="I50" s="20"/>
      <c r="J50" s="36"/>
    </row>
    <row r="51" spans="1:10" ht="15.75" x14ac:dyDescent="0.25">
      <c r="A51" s="22">
        <v>46</v>
      </c>
      <c r="B51" s="19"/>
      <c r="C51" s="22">
        <v>95</v>
      </c>
      <c r="D51" s="19"/>
      <c r="E51" s="22">
        <f t="shared" si="0"/>
        <v>144</v>
      </c>
      <c r="F51" s="19"/>
      <c r="G51" s="33">
        <v>193</v>
      </c>
      <c r="H51" s="19"/>
      <c r="I51" s="20"/>
      <c r="J51" s="36"/>
    </row>
    <row r="52" spans="1:10" ht="15.75" x14ac:dyDescent="0.25">
      <c r="A52" s="22">
        <v>47</v>
      </c>
      <c r="B52" s="19"/>
      <c r="C52" s="22">
        <v>96</v>
      </c>
      <c r="D52" s="19"/>
      <c r="E52" s="22">
        <f t="shared" si="0"/>
        <v>145</v>
      </c>
      <c r="F52" s="19"/>
      <c r="G52" s="33">
        <v>194</v>
      </c>
      <c r="H52" s="19"/>
      <c r="I52" s="21"/>
      <c r="J52" s="36"/>
    </row>
    <row r="53" spans="1:10" ht="15.75" x14ac:dyDescent="0.25">
      <c r="A53" s="22">
        <v>48</v>
      </c>
      <c r="B53" s="19"/>
      <c r="C53" s="22">
        <v>97</v>
      </c>
      <c r="D53" s="19"/>
      <c r="E53" s="22">
        <f t="shared" si="0"/>
        <v>146</v>
      </c>
      <c r="F53" s="19"/>
      <c r="G53" s="33">
        <v>195</v>
      </c>
      <c r="H53" s="19"/>
      <c r="I53" s="20"/>
      <c r="J53" s="36"/>
    </row>
    <row r="54" spans="1:10" ht="15.75" x14ac:dyDescent="0.25">
      <c r="A54" s="37">
        <v>49</v>
      </c>
      <c r="B54" s="19"/>
      <c r="C54" s="37">
        <v>98</v>
      </c>
      <c r="D54" s="19"/>
      <c r="E54" s="22">
        <f t="shared" si="0"/>
        <v>147</v>
      </c>
      <c r="F54" s="19"/>
      <c r="G54" s="38">
        <v>196</v>
      </c>
      <c r="H54" s="19"/>
      <c r="I54" s="39"/>
      <c r="J54" s="40"/>
    </row>
    <row r="55" spans="1:10" ht="15.75" x14ac:dyDescent="0.25">
      <c r="A55" s="41"/>
      <c r="B55" s="23">
        <f>SUM(B6:B54)</f>
        <v>0</v>
      </c>
      <c r="C55" s="23"/>
      <c r="D55" s="23">
        <f>SUM(D6:D54)</f>
        <v>0</v>
      </c>
      <c r="E55" s="23"/>
      <c r="F55" s="23">
        <f>SUM(F6:F54)</f>
        <v>0</v>
      </c>
      <c r="G55" s="23"/>
      <c r="H55" s="23">
        <f>SUM(H6:H54)</f>
        <v>0</v>
      </c>
      <c r="I55" s="41"/>
      <c r="J55" s="41">
        <f>SUM(J6:J54)</f>
        <v>0</v>
      </c>
    </row>
    <row r="56" spans="1:10" ht="15.75" x14ac:dyDescent="0.25">
      <c r="A56" s="42" t="s">
        <v>5</v>
      </c>
      <c r="B56" s="43">
        <f>COUNT(B6:B54,D6:D54,F6:F54,H6:H54,J6:J54)</f>
        <v>0</v>
      </c>
      <c r="C56" s="13" t="s">
        <v>6</v>
      </c>
      <c r="D56" s="44"/>
      <c r="E56" s="45">
        <f>B55+D55+F55+H55+J55</f>
        <v>0</v>
      </c>
      <c r="F56" s="24" t="s">
        <v>7</v>
      </c>
      <c r="G56" s="1">
        <f>B56*2.2</f>
        <v>0</v>
      </c>
      <c r="H56" s="13" t="s">
        <v>8</v>
      </c>
      <c r="I56" s="44"/>
      <c r="J56" s="45">
        <f>E56-G56</f>
        <v>0</v>
      </c>
    </row>
    <row r="57" spans="1:10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</row>
    <row r="59" spans="1:10" x14ac:dyDescent="0.25">
      <c r="F59" s="112" t="s">
        <v>61</v>
      </c>
      <c r="G59" s="112">
        <v>2.2000000000000002</v>
      </c>
    </row>
  </sheetData>
  <protectedRanges>
    <protectedRange password="CCE1" sqref="C6:C54 G6:G54 E6:E54 I6:I29" name="Диапазон1_3_1_7_2_1_1_1_1_1_1_1"/>
  </protectedRanges>
  <mergeCells count="2">
    <mergeCell ref="A1:J1"/>
    <mergeCell ref="I4:J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topLeftCell="A40" workbookViewId="0">
      <selection activeCell="B3" sqref="B3"/>
    </sheetView>
  </sheetViews>
  <sheetFormatPr defaultRowHeight="15" x14ac:dyDescent="0.25"/>
  <sheetData>
    <row r="1" spans="1:10" ht="18.75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</row>
    <row r="2" spans="1:10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</row>
    <row r="3" spans="1:10" ht="15.75" x14ac:dyDescent="0.25">
      <c r="A3" s="25" t="s">
        <v>2</v>
      </c>
      <c r="B3" s="27"/>
      <c r="C3" s="14"/>
      <c r="D3" s="15"/>
      <c r="E3" s="16"/>
      <c r="F3" s="16"/>
      <c r="G3" s="16"/>
      <c r="H3" s="16"/>
      <c r="I3" s="16" t="s">
        <v>33</v>
      </c>
      <c r="J3" s="16"/>
    </row>
    <row r="4" spans="1:10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</row>
    <row r="5" spans="1:10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</row>
    <row r="6" spans="1:10" ht="15.75" x14ac:dyDescent="0.25">
      <c r="A6" s="22">
        <v>1</v>
      </c>
      <c r="B6" s="19"/>
      <c r="C6" s="22">
        <v>50</v>
      </c>
      <c r="D6" s="19"/>
      <c r="E6" s="22">
        <v>99</v>
      </c>
      <c r="F6" s="19"/>
      <c r="G6" s="33">
        <v>148</v>
      </c>
      <c r="H6" s="19"/>
      <c r="I6" s="34">
        <v>197</v>
      </c>
      <c r="J6" s="19"/>
    </row>
    <row r="7" spans="1:10" ht="15.75" x14ac:dyDescent="0.25">
      <c r="A7" s="22">
        <v>2</v>
      </c>
      <c r="B7" s="19"/>
      <c r="C7" s="22">
        <v>51</v>
      </c>
      <c r="D7" s="19"/>
      <c r="E7" s="22">
        <v>100</v>
      </c>
      <c r="F7" s="19"/>
      <c r="G7" s="33">
        <v>149</v>
      </c>
      <c r="H7" s="19"/>
      <c r="I7" s="33">
        <v>198</v>
      </c>
      <c r="J7" s="19"/>
    </row>
    <row r="8" spans="1:10" ht="15.75" x14ac:dyDescent="0.25">
      <c r="A8" s="22">
        <v>3</v>
      </c>
      <c r="B8" s="19"/>
      <c r="C8" s="22">
        <v>52</v>
      </c>
      <c r="D8" s="19"/>
      <c r="E8" s="22">
        <f t="shared" ref="E8:E54" si="0">+E7+1</f>
        <v>101</v>
      </c>
      <c r="F8" s="19"/>
      <c r="G8" s="33">
        <v>150</v>
      </c>
      <c r="H8" s="19"/>
      <c r="I8" s="33">
        <v>199</v>
      </c>
      <c r="J8" s="19"/>
    </row>
    <row r="9" spans="1:10" ht="15.75" x14ac:dyDescent="0.25">
      <c r="A9" s="22">
        <v>4</v>
      </c>
      <c r="B9" s="19"/>
      <c r="C9" s="22">
        <v>53</v>
      </c>
      <c r="D9" s="19"/>
      <c r="E9" s="22">
        <f t="shared" si="0"/>
        <v>102</v>
      </c>
      <c r="F9" s="19"/>
      <c r="G9" s="33">
        <v>151</v>
      </c>
      <c r="H9" s="19"/>
      <c r="I9" s="33">
        <v>200</v>
      </c>
      <c r="J9" s="19"/>
    </row>
    <row r="10" spans="1:10" ht="15.75" x14ac:dyDescent="0.25">
      <c r="A10" s="22">
        <v>5</v>
      </c>
      <c r="B10" s="19"/>
      <c r="C10" s="22">
        <v>54</v>
      </c>
      <c r="D10" s="19"/>
      <c r="E10" s="22">
        <f t="shared" si="0"/>
        <v>103</v>
      </c>
      <c r="F10" s="19"/>
      <c r="G10" s="33">
        <v>152</v>
      </c>
      <c r="H10" s="19"/>
      <c r="I10" s="33">
        <v>201</v>
      </c>
      <c r="J10" s="19"/>
    </row>
    <row r="11" spans="1:10" ht="15.75" x14ac:dyDescent="0.25">
      <c r="A11" s="22">
        <v>6</v>
      </c>
      <c r="B11" s="19"/>
      <c r="C11" s="22">
        <v>55</v>
      </c>
      <c r="D11" s="19"/>
      <c r="E11" s="22">
        <f t="shared" si="0"/>
        <v>104</v>
      </c>
      <c r="F11" s="19"/>
      <c r="G11" s="33">
        <v>153</v>
      </c>
      <c r="H11" s="19"/>
      <c r="I11" s="33">
        <v>202</v>
      </c>
      <c r="J11" s="19"/>
    </row>
    <row r="12" spans="1:10" ht="15.75" x14ac:dyDescent="0.25">
      <c r="A12" s="22">
        <v>7</v>
      </c>
      <c r="B12" s="19"/>
      <c r="C12" s="22">
        <v>56</v>
      </c>
      <c r="D12" s="19"/>
      <c r="E12" s="22">
        <f t="shared" si="0"/>
        <v>105</v>
      </c>
      <c r="F12" s="19"/>
      <c r="G12" s="33">
        <v>154</v>
      </c>
      <c r="H12" s="19"/>
      <c r="I12" s="33">
        <v>203</v>
      </c>
      <c r="J12" s="19"/>
    </row>
    <row r="13" spans="1:10" ht="15.75" x14ac:dyDescent="0.25">
      <c r="A13" s="22">
        <v>8</v>
      </c>
      <c r="B13" s="19"/>
      <c r="C13" s="22">
        <v>57</v>
      </c>
      <c r="D13" s="19"/>
      <c r="E13" s="22">
        <f t="shared" si="0"/>
        <v>106</v>
      </c>
      <c r="F13" s="19"/>
      <c r="G13" s="33">
        <v>155</v>
      </c>
      <c r="H13" s="19"/>
      <c r="I13" s="33">
        <v>204</v>
      </c>
      <c r="J13" s="19"/>
    </row>
    <row r="14" spans="1:10" ht="15.75" x14ac:dyDescent="0.25">
      <c r="A14" s="22">
        <v>9</v>
      </c>
      <c r="B14" s="19"/>
      <c r="C14" s="22">
        <v>58</v>
      </c>
      <c r="D14" s="19"/>
      <c r="E14" s="22">
        <f t="shared" si="0"/>
        <v>107</v>
      </c>
      <c r="F14" s="19"/>
      <c r="G14" s="33">
        <v>156</v>
      </c>
      <c r="H14" s="19"/>
      <c r="I14" s="33">
        <v>205</v>
      </c>
      <c r="J14" s="19"/>
    </row>
    <row r="15" spans="1:10" ht="15.75" x14ac:dyDescent="0.25">
      <c r="A15" s="22">
        <v>10</v>
      </c>
      <c r="B15" s="19"/>
      <c r="C15" s="22">
        <v>59</v>
      </c>
      <c r="D15" s="19"/>
      <c r="E15" s="22">
        <f t="shared" si="0"/>
        <v>108</v>
      </c>
      <c r="F15" s="19"/>
      <c r="G15" s="33">
        <v>157</v>
      </c>
      <c r="H15" s="19"/>
      <c r="I15" s="33">
        <v>206</v>
      </c>
      <c r="J15" s="19"/>
    </row>
    <row r="16" spans="1:10" ht="15.75" x14ac:dyDescent="0.25">
      <c r="A16" s="22">
        <v>11</v>
      </c>
      <c r="B16" s="19"/>
      <c r="C16" s="22">
        <v>60</v>
      </c>
      <c r="D16" s="19"/>
      <c r="E16" s="22">
        <f t="shared" si="0"/>
        <v>109</v>
      </c>
      <c r="F16" s="19"/>
      <c r="G16" s="33">
        <v>158</v>
      </c>
      <c r="H16" s="19"/>
      <c r="I16" s="33">
        <v>207</v>
      </c>
      <c r="J16" s="19"/>
    </row>
    <row r="17" spans="1:10" ht="15.75" x14ac:dyDescent="0.25">
      <c r="A17" s="22">
        <v>12</v>
      </c>
      <c r="B17" s="19"/>
      <c r="C17" s="22">
        <v>61</v>
      </c>
      <c r="D17" s="19"/>
      <c r="E17" s="22">
        <f t="shared" si="0"/>
        <v>110</v>
      </c>
      <c r="F17" s="19"/>
      <c r="G17" s="33">
        <v>159</v>
      </c>
      <c r="H17" s="19"/>
      <c r="I17" s="33">
        <v>208</v>
      </c>
      <c r="J17" s="19"/>
    </row>
    <row r="18" spans="1:10" ht="15.75" x14ac:dyDescent="0.25">
      <c r="A18" s="22">
        <v>13</v>
      </c>
      <c r="B18" s="19"/>
      <c r="C18" s="22">
        <v>62</v>
      </c>
      <c r="D18" s="19"/>
      <c r="E18" s="22">
        <f t="shared" si="0"/>
        <v>111</v>
      </c>
      <c r="F18" s="19"/>
      <c r="G18" s="33">
        <v>160</v>
      </c>
      <c r="H18" s="19"/>
      <c r="I18" s="33">
        <v>209</v>
      </c>
      <c r="J18" s="19"/>
    </row>
    <row r="19" spans="1:10" ht="15.75" x14ac:dyDescent="0.25">
      <c r="A19" s="22">
        <v>14</v>
      </c>
      <c r="B19" s="19"/>
      <c r="C19" s="22">
        <v>63</v>
      </c>
      <c r="D19" s="19"/>
      <c r="E19" s="22">
        <f t="shared" si="0"/>
        <v>112</v>
      </c>
      <c r="F19" s="19"/>
      <c r="G19" s="33">
        <v>161</v>
      </c>
      <c r="H19" s="19"/>
      <c r="I19" s="33">
        <v>210</v>
      </c>
      <c r="J19" s="19"/>
    </row>
    <row r="20" spans="1:10" ht="15.75" x14ac:dyDescent="0.25">
      <c r="A20" s="22">
        <v>15</v>
      </c>
      <c r="B20" s="19"/>
      <c r="C20" s="22">
        <v>64</v>
      </c>
      <c r="D20" s="19"/>
      <c r="E20" s="22">
        <f t="shared" si="0"/>
        <v>113</v>
      </c>
      <c r="F20" s="19"/>
      <c r="G20" s="35">
        <v>162</v>
      </c>
      <c r="H20" s="19"/>
      <c r="I20" s="33">
        <v>211</v>
      </c>
      <c r="J20" s="19"/>
    </row>
    <row r="21" spans="1:10" ht="15.75" x14ac:dyDescent="0.25">
      <c r="A21" s="22">
        <v>16</v>
      </c>
      <c r="B21" s="19"/>
      <c r="C21" s="22">
        <v>65</v>
      </c>
      <c r="D21" s="19"/>
      <c r="E21" s="22">
        <f t="shared" si="0"/>
        <v>114</v>
      </c>
      <c r="F21" s="19"/>
      <c r="G21" s="35">
        <v>163</v>
      </c>
      <c r="H21" s="19"/>
      <c r="I21" s="33">
        <v>212</v>
      </c>
      <c r="J21" s="19"/>
    </row>
    <row r="22" spans="1:10" ht="15.75" x14ac:dyDescent="0.25">
      <c r="A22" s="22">
        <v>17</v>
      </c>
      <c r="B22" s="19"/>
      <c r="C22" s="22">
        <v>66</v>
      </c>
      <c r="D22" s="19"/>
      <c r="E22" s="22">
        <f t="shared" si="0"/>
        <v>115</v>
      </c>
      <c r="F22" s="19"/>
      <c r="G22" s="35">
        <v>164</v>
      </c>
      <c r="H22" s="19"/>
      <c r="I22" s="33">
        <v>213</v>
      </c>
      <c r="J22" s="19"/>
    </row>
    <row r="23" spans="1:10" ht="15.75" x14ac:dyDescent="0.25">
      <c r="A23" s="22">
        <v>18</v>
      </c>
      <c r="B23" s="19"/>
      <c r="C23" s="22">
        <v>67</v>
      </c>
      <c r="D23" s="19"/>
      <c r="E23" s="22">
        <f t="shared" si="0"/>
        <v>116</v>
      </c>
      <c r="F23" s="19"/>
      <c r="G23" s="35">
        <v>165</v>
      </c>
      <c r="H23" s="19"/>
      <c r="I23" s="33">
        <v>214</v>
      </c>
      <c r="J23" s="19"/>
    </row>
    <row r="24" spans="1:10" ht="15.75" x14ac:dyDescent="0.25">
      <c r="A24" s="22">
        <v>19</v>
      </c>
      <c r="B24" s="19"/>
      <c r="C24" s="22">
        <v>68</v>
      </c>
      <c r="D24" s="19"/>
      <c r="E24" s="22">
        <f t="shared" si="0"/>
        <v>117</v>
      </c>
      <c r="F24" s="19"/>
      <c r="G24" s="35">
        <v>166</v>
      </c>
      <c r="H24" s="19"/>
      <c r="I24" s="33">
        <v>215</v>
      </c>
      <c r="J24" s="19"/>
    </row>
    <row r="25" spans="1:10" ht="15.75" x14ac:dyDescent="0.25">
      <c r="A25" s="22">
        <v>20</v>
      </c>
      <c r="B25" s="19"/>
      <c r="C25" s="22">
        <v>69</v>
      </c>
      <c r="D25" s="19"/>
      <c r="E25" s="22">
        <f t="shared" si="0"/>
        <v>118</v>
      </c>
      <c r="F25" s="19"/>
      <c r="G25" s="35">
        <v>167</v>
      </c>
      <c r="H25" s="19"/>
      <c r="I25" s="33">
        <v>216</v>
      </c>
      <c r="J25" s="19"/>
    </row>
    <row r="26" spans="1:10" ht="15.75" x14ac:dyDescent="0.25">
      <c r="A26" s="22">
        <v>21</v>
      </c>
      <c r="B26" s="19"/>
      <c r="C26" s="22">
        <v>70</v>
      </c>
      <c r="D26" s="19"/>
      <c r="E26" s="22">
        <f t="shared" si="0"/>
        <v>119</v>
      </c>
      <c r="F26" s="19"/>
      <c r="G26" s="35">
        <v>168</v>
      </c>
      <c r="H26" s="19"/>
      <c r="I26" s="33">
        <v>217</v>
      </c>
      <c r="J26" s="19"/>
    </row>
    <row r="27" spans="1:10" ht="15.75" x14ac:dyDescent="0.25">
      <c r="A27" s="22">
        <v>22</v>
      </c>
      <c r="B27" s="19"/>
      <c r="C27" s="22">
        <v>71</v>
      </c>
      <c r="D27" s="19"/>
      <c r="E27" s="22">
        <f t="shared" si="0"/>
        <v>120</v>
      </c>
      <c r="F27" s="19"/>
      <c r="G27" s="35">
        <v>169</v>
      </c>
      <c r="H27" s="19"/>
      <c r="I27" s="33">
        <v>218</v>
      </c>
      <c r="J27" s="19"/>
    </row>
    <row r="28" spans="1:10" ht="15.75" x14ac:dyDescent="0.25">
      <c r="A28" s="22">
        <v>23</v>
      </c>
      <c r="B28" s="19"/>
      <c r="C28" s="22">
        <v>72</v>
      </c>
      <c r="D28" s="19"/>
      <c r="E28" s="22">
        <f t="shared" si="0"/>
        <v>121</v>
      </c>
      <c r="F28" s="19"/>
      <c r="G28" s="35">
        <v>170</v>
      </c>
      <c r="H28" s="19"/>
      <c r="I28" s="33">
        <v>219</v>
      </c>
      <c r="J28" s="19"/>
    </row>
    <row r="29" spans="1:10" ht="15.75" x14ac:dyDescent="0.25">
      <c r="A29" s="22">
        <v>24</v>
      </c>
      <c r="B29" s="19"/>
      <c r="C29" s="22">
        <v>73</v>
      </c>
      <c r="D29" s="19"/>
      <c r="E29" s="22">
        <f t="shared" si="0"/>
        <v>122</v>
      </c>
      <c r="F29" s="19"/>
      <c r="G29" s="35">
        <v>171</v>
      </c>
      <c r="H29" s="19"/>
      <c r="I29" s="33">
        <v>220</v>
      </c>
      <c r="J29" s="19"/>
    </row>
    <row r="30" spans="1:10" ht="15.75" x14ac:dyDescent="0.25">
      <c r="A30" s="22">
        <v>25</v>
      </c>
      <c r="B30" s="19"/>
      <c r="C30" s="22">
        <v>74</v>
      </c>
      <c r="D30" s="19"/>
      <c r="E30" s="22">
        <f t="shared" si="0"/>
        <v>123</v>
      </c>
      <c r="F30" s="19"/>
      <c r="G30" s="35">
        <v>172</v>
      </c>
      <c r="H30" s="19"/>
      <c r="I30" s="20"/>
      <c r="J30" s="36"/>
    </row>
    <row r="31" spans="1:10" ht="15.75" x14ac:dyDescent="0.25">
      <c r="A31" s="22">
        <v>26</v>
      </c>
      <c r="B31" s="19"/>
      <c r="C31" s="22">
        <v>75</v>
      </c>
      <c r="D31" s="19"/>
      <c r="E31" s="22">
        <f t="shared" si="0"/>
        <v>124</v>
      </c>
      <c r="F31" s="19"/>
      <c r="G31" s="35">
        <v>173</v>
      </c>
      <c r="H31" s="19"/>
      <c r="I31" s="20"/>
      <c r="J31" s="36"/>
    </row>
    <row r="32" spans="1:10" ht="15.75" x14ac:dyDescent="0.25">
      <c r="A32" s="22">
        <v>27</v>
      </c>
      <c r="B32" s="19"/>
      <c r="C32" s="22">
        <v>76</v>
      </c>
      <c r="D32" s="19"/>
      <c r="E32" s="22">
        <f t="shared" si="0"/>
        <v>125</v>
      </c>
      <c r="F32" s="19"/>
      <c r="G32" s="33">
        <v>174</v>
      </c>
      <c r="H32" s="19"/>
      <c r="I32" s="21"/>
      <c r="J32" s="36"/>
    </row>
    <row r="33" spans="1:10" ht="15.75" x14ac:dyDescent="0.25">
      <c r="A33" s="22">
        <v>28</v>
      </c>
      <c r="B33" s="19"/>
      <c r="C33" s="22">
        <v>77</v>
      </c>
      <c r="D33" s="19"/>
      <c r="E33" s="22">
        <f t="shared" si="0"/>
        <v>126</v>
      </c>
      <c r="F33" s="19"/>
      <c r="G33" s="33">
        <v>175</v>
      </c>
      <c r="H33" s="19"/>
      <c r="I33" s="20"/>
      <c r="J33" s="36"/>
    </row>
    <row r="34" spans="1:10" ht="15.75" x14ac:dyDescent="0.25">
      <c r="A34" s="22">
        <v>29</v>
      </c>
      <c r="B34" s="19"/>
      <c r="C34" s="22">
        <v>78</v>
      </c>
      <c r="D34" s="19"/>
      <c r="E34" s="22">
        <f t="shared" si="0"/>
        <v>127</v>
      </c>
      <c r="F34" s="19"/>
      <c r="G34" s="33">
        <v>176</v>
      </c>
      <c r="H34" s="19"/>
      <c r="I34" s="20"/>
      <c r="J34" s="36"/>
    </row>
    <row r="35" spans="1:10" ht="15.75" x14ac:dyDescent="0.25">
      <c r="A35" s="22">
        <v>30</v>
      </c>
      <c r="B35" s="19"/>
      <c r="C35" s="22">
        <v>79</v>
      </c>
      <c r="D35" s="19"/>
      <c r="E35" s="22">
        <f t="shared" si="0"/>
        <v>128</v>
      </c>
      <c r="F35" s="19"/>
      <c r="G35" s="33">
        <v>177</v>
      </c>
      <c r="H35" s="19"/>
      <c r="I35" s="21"/>
      <c r="J35" s="36"/>
    </row>
    <row r="36" spans="1:10" ht="15.75" x14ac:dyDescent="0.25">
      <c r="A36" s="22">
        <v>31</v>
      </c>
      <c r="B36" s="19"/>
      <c r="C36" s="22">
        <v>80</v>
      </c>
      <c r="D36" s="19"/>
      <c r="E36" s="22">
        <f t="shared" si="0"/>
        <v>129</v>
      </c>
      <c r="F36" s="19"/>
      <c r="G36" s="33">
        <v>178</v>
      </c>
      <c r="H36" s="19"/>
      <c r="I36" s="20"/>
      <c r="J36" s="36"/>
    </row>
    <row r="37" spans="1:10" ht="15.75" x14ac:dyDescent="0.25">
      <c r="A37" s="22">
        <v>32</v>
      </c>
      <c r="B37" s="19"/>
      <c r="C37" s="22">
        <v>81</v>
      </c>
      <c r="D37" s="19"/>
      <c r="E37" s="22">
        <f t="shared" si="0"/>
        <v>130</v>
      </c>
      <c r="F37" s="19"/>
      <c r="G37" s="33">
        <v>179</v>
      </c>
      <c r="H37" s="19"/>
      <c r="I37" s="20"/>
      <c r="J37" s="36"/>
    </row>
    <row r="38" spans="1:10" ht="15.75" x14ac:dyDescent="0.25">
      <c r="A38" s="22">
        <v>33</v>
      </c>
      <c r="B38" s="19"/>
      <c r="C38" s="22">
        <v>82</v>
      </c>
      <c r="D38" s="19"/>
      <c r="E38" s="22">
        <f t="shared" si="0"/>
        <v>131</v>
      </c>
      <c r="F38" s="19"/>
      <c r="G38" s="33">
        <v>180</v>
      </c>
      <c r="H38" s="19"/>
      <c r="I38" s="21"/>
      <c r="J38" s="36"/>
    </row>
    <row r="39" spans="1:10" ht="15.75" x14ac:dyDescent="0.25">
      <c r="A39" s="22">
        <v>34</v>
      </c>
      <c r="B39" s="19"/>
      <c r="C39" s="22">
        <v>83</v>
      </c>
      <c r="D39" s="19"/>
      <c r="E39" s="22">
        <f t="shared" si="0"/>
        <v>132</v>
      </c>
      <c r="F39" s="19"/>
      <c r="G39" s="33">
        <v>181</v>
      </c>
      <c r="H39" s="19"/>
      <c r="I39" s="21"/>
      <c r="J39" s="36"/>
    </row>
    <row r="40" spans="1:10" ht="15.75" x14ac:dyDescent="0.25">
      <c r="A40" s="22">
        <v>35</v>
      </c>
      <c r="B40" s="19"/>
      <c r="C40" s="22">
        <v>84</v>
      </c>
      <c r="D40" s="19"/>
      <c r="E40" s="22">
        <f t="shared" si="0"/>
        <v>133</v>
      </c>
      <c r="F40" s="19"/>
      <c r="G40" s="33">
        <v>182</v>
      </c>
      <c r="H40" s="19"/>
      <c r="I40" s="20"/>
      <c r="J40" s="36"/>
    </row>
    <row r="41" spans="1:10" ht="15.75" x14ac:dyDescent="0.25">
      <c r="A41" s="22">
        <v>36</v>
      </c>
      <c r="B41" s="19"/>
      <c r="C41" s="22">
        <v>85</v>
      </c>
      <c r="D41" s="19"/>
      <c r="E41" s="22">
        <f t="shared" si="0"/>
        <v>134</v>
      </c>
      <c r="F41" s="19"/>
      <c r="G41" s="33">
        <v>183</v>
      </c>
      <c r="H41" s="19"/>
      <c r="I41" s="20"/>
      <c r="J41" s="36"/>
    </row>
    <row r="42" spans="1:10" ht="15.75" x14ac:dyDescent="0.25">
      <c r="A42" s="22">
        <v>37</v>
      </c>
      <c r="B42" s="19"/>
      <c r="C42" s="22">
        <v>86</v>
      </c>
      <c r="D42" s="19"/>
      <c r="E42" s="22">
        <f t="shared" si="0"/>
        <v>135</v>
      </c>
      <c r="F42" s="19"/>
      <c r="G42" s="33">
        <v>184</v>
      </c>
      <c r="H42" s="19"/>
      <c r="I42" s="21"/>
      <c r="J42" s="36"/>
    </row>
    <row r="43" spans="1:10" ht="15.75" x14ac:dyDescent="0.25">
      <c r="A43" s="22">
        <v>38</v>
      </c>
      <c r="B43" s="19"/>
      <c r="C43" s="22">
        <v>87</v>
      </c>
      <c r="D43" s="19"/>
      <c r="E43" s="22">
        <f t="shared" si="0"/>
        <v>136</v>
      </c>
      <c r="F43" s="19"/>
      <c r="G43" s="33">
        <v>185</v>
      </c>
      <c r="H43" s="19"/>
      <c r="I43" s="20"/>
      <c r="J43" s="36"/>
    </row>
    <row r="44" spans="1:10" ht="15.75" x14ac:dyDescent="0.25">
      <c r="A44" s="22">
        <v>39</v>
      </c>
      <c r="B44" s="19"/>
      <c r="C44" s="22">
        <v>88</v>
      </c>
      <c r="D44" s="19"/>
      <c r="E44" s="22">
        <f t="shared" si="0"/>
        <v>137</v>
      </c>
      <c r="F44" s="19"/>
      <c r="G44" s="33">
        <v>186</v>
      </c>
      <c r="H44" s="19"/>
      <c r="I44" s="20"/>
      <c r="J44" s="36"/>
    </row>
    <row r="45" spans="1:10" ht="15.75" x14ac:dyDescent="0.25">
      <c r="A45" s="22">
        <v>40</v>
      </c>
      <c r="B45" s="19"/>
      <c r="C45" s="22">
        <v>89</v>
      </c>
      <c r="D45" s="19"/>
      <c r="E45" s="22">
        <f t="shared" si="0"/>
        <v>138</v>
      </c>
      <c r="F45" s="19"/>
      <c r="G45" s="33">
        <v>187</v>
      </c>
      <c r="H45" s="19"/>
      <c r="I45" s="21"/>
      <c r="J45" s="36"/>
    </row>
    <row r="46" spans="1:10" ht="15.75" x14ac:dyDescent="0.25">
      <c r="A46" s="22">
        <v>41</v>
      </c>
      <c r="B46" s="19"/>
      <c r="C46" s="22">
        <v>90</v>
      </c>
      <c r="D46" s="19"/>
      <c r="E46" s="22">
        <f t="shared" si="0"/>
        <v>139</v>
      </c>
      <c r="F46" s="19"/>
      <c r="G46" s="33">
        <v>188</v>
      </c>
      <c r="H46" s="19"/>
      <c r="I46" s="20"/>
      <c r="J46" s="36"/>
    </row>
    <row r="47" spans="1:10" ht="15.75" x14ac:dyDescent="0.25">
      <c r="A47" s="22">
        <v>42</v>
      </c>
      <c r="B47" s="19"/>
      <c r="C47" s="22">
        <v>91</v>
      </c>
      <c r="D47" s="19"/>
      <c r="E47" s="22">
        <f t="shared" si="0"/>
        <v>140</v>
      </c>
      <c r="F47" s="19"/>
      <c r="G47" s="33">
        <v>189</v>
      </c>
      <c r="H47" s="19"/>
      <c r="I47" s="20"/>
      <c r="J47" s="36"/>
    </row>
    <row r="48" spans="1:10" ht="15.75" x14ac:dyDescent="0.25">
      <c r="A48" s="22">
        <v>43</v>
      </c>
      <c r="B48" s="19"/>
      <c r="C48" s="22">
        <v>92</v>
      </c>
      <c r="D48" s="19"/>
      <c r="E48" s="22">
        <f t="shared" si="0"/>
        <v>141</v>
      </c>
      <c r="F48" s="19"/>
      <c r="G48" s="33">
        <v>190</v>
      </c>
      <c r="H48" s="19"/>
      <c r="I48" s="21"/>
      <c r="J48" s="36"/>
    </row>
    <row r="49" spans="1:10" ht="15.75" x14ac:dyDescent="0.25">
      <c r="A49" s="22">
        <v>44</v>
      </c>
      <c r="B49" s="19"/>
      <c r="C49" s="22">
        <v>93</v>
      </c>
      <c r="D49" s="19"/>
      <c r="E49" s="22">
        <f t="shared" si="0"/>
        <v>142</v>
      </c>
      <c r="F49" s="19"/>
      <c r="G49" s="33">
        <v>191</v>
      </c>
      <c r="H49" s="19"/>
      <c r="I49" s="21"/>
      <c r="J49" s="36"/>
    </row>
    <row r="50" spans="1:10" ht="15.75" x14ac:dyDescent="0.25">
      <c r="A50" s="22">
        <v>45</v>
      </c>
      <c r="B50" s="19"/>
      <c r="C50" s="22">
        <v>94</v>
      </c>
      <c r="D50" s="19"/>
      <c r="E50" s="22">
        <f t="shared" si="0"/>
        <v>143</v>
      </c>
      <c r="F50" s="19"/>
      <c r="G50" s="33">
        <v>192</v>
      </c>
      <c r="H50" s="19"/>
      <c r="I50" s="20"/>
      <c r="J50" s="36"/>
    </row>
    <row r="51" spans="1:10" ht="15.75" x14ac:dyDescent="0.25">
      <c r="A51" s="22">
        <v>46</v>
      </c>
      <c r="B51" s="19"/>
      <c r="C51" s="22">
        <v>95</v>
      </c>
      <c r="D51" s="19"/>
      <c r="E51" s="22">
        <f t="shared" si="0"/>
        <v>144</v>
      </c>
      <c r="F51" s="19"/>
      <c r="G51" s="33">
        <v>193</v>
      </c>
      <c r="H51" s="19"/>
      <c r="I51" s="20"/>
      <c r="J51" s="36"/>
    </row>
    <row r="52" spans="1:10" ht="15.75" x14ac:dyDescent="0.25">
      <c r="A52" s="22">
        <v>47</v>
      </c>
      <c r="B52" s="19"/>
      <c r="C52" s="22">
        <v>96</v>
      </c>
      <c r="D52" s="19"/>
      <c r="E52" s="22">
        <f t="shared" si="0"/>
        <v>145</v>
      </c>
      <c r="F52" s="19"/>
      <c r="G52" s="33">
        <v>194</v>
      </c>
      <c r="H52" s="19"/>
      <c r="I52" s="21"/>
      <c r="J52" s="36"/>
    </row>
    <row r="53" spans="1:10" ht="15.75" x14ac:dyDescent="0.25">
      <c r="A53" s="22">
        <v>48</v>
      </c>
      <c r="B53" s="19"/>
      <c r="C53" s="22">
        <v>97</v>
      </c>
      <c r="D53" s="19"/>
      <c r="E53" s="22">
        <f t="shared" si="0"/>
        <v>146</v>
      </c>
      <c r="F53" s="19"/>
      <c r="G53" s="33">
        <v>195</v>
      </c>
      <c r="H53" s="19"/>
      <c r="I53" s="20"/>
      <c r="J53" s="36"/>
    </row>
    <row r="54" spans="1:10" ht="15.75" x14ac:dyDescent="0.25">
      <c r="A54" s="37">
        <v>49</v>
      </c>
      <c r="B54" s="19"/>
      <c r="C54" s="37">
        <v>98</v>
      </c>
      <c r="D54" s="19"/>
      <c r="E54" s="22">
        <f t="shared" si="0"/>
        <v>147</v>
      </c>
      <c r="F54" s="19"/>
      <c r="G54" s="38">
        <v>196</v>
      </c>
      <c r="H54" s="19"/>
      <c r="I54" s="39"/>
      <c r="J54" s="40"/>
    </row>
    <row r="55" spans="1:10" ht="15.75" x14ac:dyDescent="0.25">
      <c r="A55" s="41"/>
      <c r="B55" s="23">
        <f>SUM(B6:B54)</f>
        <v>0</v>
      </c>
      <c r="C55" s="23"/>
      <c r="D55" s="23">
        <f>SUM(D6:D54)</f>
        <v>0</v>
      </c>
      <c r="E55" s="23"/>
      <c r="F55" s="23">
        <f>SUM(F6:F54)</f>
        <v>0</v>
      </c>
      <c r="G55" s="23"/>
      <c r="H55" s="23">
        <f>SUM(H6:H54)</f>
        <v>0</v>
      </c>
      <c r="I55" s="41"/>
      <c r="J55" s="41">
        <f>SUM(J6:J54)</f>
        <v>0</v>
      </c>
    </row>
    <row r="56" spans="1:10" ht="15.75" x14ac:dyDescent="0.25">
      <c r="A56" s="42" t="s">
        <v>5</v>
      </c>
      <c r="B56" s="43">
        <f>COUNT(B6:B54,D6:D54,F6:F54,H6:H54,J6:J54)</f>
        <v>0</v>
      </c>
      <c r="C56" s="13" t="s">
        <v>6</v>
      </c>
      <c r="D56" s="44"/>
      <c r="E56" s="45">
        <f>B55+D55+F55+H55+J55</f>
        <v>0</v>
      </c>
      <c r="F56" s="24" t="s">
        <v>7</v>
      </c>
      <c r="G56" s="1">
        <f>B56*2.2</f>
        <v>0</v>
      </c>
      <c r="H56" s="13" t="s">
        <v>8</v>
      </c>
      <c r="I56" s="44"/>
      <c r="J56" s="45">
        <f>E56-G56</f>
        <v>0</v>
      </c>
    </row>
    <row r="57" spans="1:10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</row>
    <row r="59" spans="1:10" x14ac:dyDescent="0.25">
      <c r="F59" s="112" t="s">
        <v>61</v>
      </c>
      <c r="G59" s="112">
        <v>2.2000000000000002</v>
      </c>
    </row>
  </sheetData>
  <protectedRanges>
    <protectedRange password="CCE1" sqref="C6:C54 G6:G54 E6:E54 I6:I29" name="Диапазон1_3_1_7_2_1_1_1_1_1_1_1"/>
  </protectedRanges>
  <mergeCells count="2">
    <mergeCell ref="A1:J1"/>
    <mergeCell ref="I4:J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topLeftCell="A43" workbookViewId="0">
      <selection activeCell="B3" sqref="B3"/>
    </sheetView>
  </sheetViews>
  <sheetFormatPr defaultRowHeight="15" x14ac:dyDescent="0.25"/>
  <sheetData>
    <row r="1" spans="1:10" ht="18.75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</row>
    <row r="2" spans="1:10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</row>
    <row r="3" spans="1:10" ht="15.75" x14ac:dyDescent="0.25">
      <c r="A3" s="25" t="s">
        <v>2</v>
      </c>
      <c r="B3" s="27"/>
      <c r="C3" s="14"/>
      <c r="D3" s="15"/>
      <c r="E3" s="16"/>
      <c r="F3" s="16"/>
      <c r="G3" s="16"/>
      <c r="H3" s="16"/>
      <c r="I3" s="16" t="s">
        <v>33</v>
      </c>
      <c r="J3" s="16"/>
    </row>
    <row r="4" spans="1:10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</row>
    <row r="5" spans="1:10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</row>
    <row r="6" spans="1:10" ht="15.75" x14ac:dyDescent="0.25">
      <c r="A6" s="22">
        <v>1</v>
      </c>
      <c r="B6" s="19"/>
      <c r="C6" s="22">
        <v>50</v>
      </c>
      <c r="D6" s="19"/>
      <c r="E6" s="22">
        <v>99</v>
      </c>
      <c r="F6" s="19"/>
      <c r="G6" s="33">
        <v>148</v>
      </c>
      <c r="H6" s="19"/>
      <c r="I6" s="34">
        <v>197</v>
      </c>
      <c r="J6" s="19"/>
    </row>
    <row r="7" spans="1:10" ht="15.75" x14ac:dyDescent="0.25">
      <c r="A7" s="22">
        <v>2</v>
      </c>
      <c r="B7" s="19"/>
      <c r="C7" s="22">
        <v>51</v>
      </c>
      <c r="D7" s="19"/>
      <c r="E7" s="22">
        <v>100</v>
      </c>
      <c r="F7" s="19"/>
      <c r="G7" s="33">
        <v>149</v>
      </c>
      <c r="H7" s="19"/>
      <c r="I7" s="33">
        <v>198</v>
      </c>
      <c r="J7" s="19"/>
    </row>
    <row r="8" spans="1:10" ht="15.75" x14ac:dyDescent="0.25">
      <c r="A8" s="22">
        <v>3</v>
      </c>
      <c r="B8" s="19"/>
      <c r="C8" s="22">
        <v>52</v>
      </c>
      <c r="D8" s="19"/>
      <c r="E8" s="22">
        <f t="shared" ref="E8:E54" si="0">+E7+1</f>
        <v>101</v>
      </c>
      <c r="F8" s="19"/>
      <c r="G8" s="33">
        <v>150</v>
      </c>
      <c r="H8" s="19"/>
      <c r="I8" s="33">
        <v>199</v>
      </c>
      <c r="J8" s="19"/>
    </row>
    <row r="9" spans="1:10" ht="15.75" x14ac:dyDescent="0.25">
      <c r="A9" s="22">
        <v>4</v>
      </c>
      <c r="B9" s="19"/>
      <c r="C9" s="22">
        <v>53</v>
      </c>
      <c r="D9" s="19"/>
      <c r="E9" s="22">
        <f t="shared" si="0"/>
        <v>102</v>
      </c>
      <c r="F9" s="19"/>
      <c r="G9" s="33">
        <v>151</v>
      </c>
      <c r="H9" s="19"/>
      <c r="I9" s="33">
        <v>200</v>
      </c>
      <c r="J9" s="19"/>
    </row>
    <row r="10" spans="1:10" ht="15.75" x14ac:dyDescent="0.25">
      <c r="A10" s="22">
        <v>5</v>
      </c>
      <c r="B10" s="19"/>
      <c r="C10" s="22">
        <v>54</v>
      </c>
      <c r="D10" s="19"/>
      <c r="E10" s="22">
        <f t="shared" si="0"/>
        <v>103</v>
      </c>
      <c r="F10" s="19"/>
      <c r="G10" s="33">
        <v>152</v>
      </c>
      <c r="H10" s="19"/>
      <c r="I10" s="33">
        <v>201</v>
      </c>
      <c r="J10" s="19"/>
    </row>
    <row r="11" spans="1:10" ht="15.75" x14ac:dyDescent="0.25">
      <c r="A11" s="22">
        <v>6</v>
      </c>
      <c r="B11" s="19"/>
      <c r="C11" s="22">
        <v>55</v>
      </c>
      <c r="D11" s="19"/>
      <c r="E11" s="22">
        <f t="shared" si="0"/>
        <v>104</v>
      </c>
      <c r="F11" s="19"/>
      <c r="G11" s="33">
        <v>153</v>
      </c>
      <c r="H11" s="19"/>
      <c r="I11" s="33">
        <v>202</v>
      </c>
      <c r="J11" s="19"/>
    </row>
    <row r="12" spans="1:10" ht="15.75" x14ac:dyDescent="0.25">
      <c r="A12" s="22">
        <v>7</v>
      </c>
      <c r="B12" s="19"/>
      <c r="C12" s="22">
        <v>56</v>
      </c>
      <c r="D12" s="19"/>
      <c r="E12" s="22">
        <f t="shared" si="0"/>
        <v>105</v>
      </c>
      <c r="F12" s="19"/>
      <c r="G12" s="33">
        <v>154</v>
      </c>
      <c r="H12" s="19"/>
      <c r="I12" s="33">
        <v>203</v>
      </c>
      <c r="J12" s="19"/>
    </row>
    <row r="13" spans="1:10" ht="15.75" x14ac:dyDescent="0.25">
      <c r="A13" s="22">
        <v>8</v>
      </c>
      <c r="B13" s="19"/>
      <c r="C13" s="22">
        <v>57</v>
      </c>
      <c r="D13" s="19"/>
      <c r="E13" s="22">
        <f t="shared" si="0"/>
        <v>106</v>
      </c>
      <c r="F13" s="19"/>
      <c r="G13" s="33">
        <v>155</v>
      </c>
      <c r="H13" s="19"/>
      <c r="I13" s="33">
        <v>204</v>
      </c>
      <c r="J13" s="19"/>
    </row>
    <row r="14" spans="1:10" ht="15.75" x14ac:dyDescent="0.25">
      <c r="A14" s="22">
        <v>9</v>
      </c>
      <c r="B14" s="19"/>
      <c r="C14" s="22">
        <v>58</v>
      </c>
      <c r="D14" s="19"/>
      <c r="E14" s="22">
        <f t="shared" si="0"/>
        <v>107</v>
      </c>
      <c r="F14" s="19"/>
      <c r="G14" s="33">
        <v>156</v>
      </c>
      <c r="H14" s="19"/>
      <c r="I14" s="33">
        <v>205</v>
      </c>
      <c r="J14" s="19"/>
    </row>
    <row r="15" spans="1:10" ht="15.75" x14ac:dyDescent="0.25">
      <c r="A15" s="22">
        <v>10</v>
      </c>
      <c r="B15" s="19"/>
      <c r="C15" s="22">
        <v>59</v>
      </c>
      <c r="D15" s="19"/>
      <c r="E15" s="22">
        <f t="shared" si="0"/>
        <v>108</v>
      </c>
      <c r="F15" s="19"/>
      <c r="G15" s="33">
        <v>157</v>
      </c>
      <c r="H15" s="19"/>
      <c r="I15" s="33">
        <v>206</v>
      </c>
      <c r="J15" s="19"/>
    </row>
    <row r="16" spans="1:10" ht="15.75" x14ac:dyDescent="0.25">
      <c r="A16" s="22">
        <v>11</v>
      </c>
      <c r="B16" s="19"/>
      <c r="C16" s="22">
        <v>60</v>
      </c>
      <c r="D16" s="19"/>
      <c r="E16" s="22">
        <f t="shared" si="0"/>
        <v>109</v>
      </c>
      <c r="F16" s="19"/>
      <c r="G16" s="33">
        <v>158</v>
      </c>
      <c r="H16" s="19"/>
      <c r="I16" s="33">
        <v>207</v>
      </c>
      <c r="J16" s="19"/>
    </row>
    <row r="17" spans="1:10" ht="15.75" x14ac:dyDescent="0.25">
      <c r="A17" s="22">
        <v>12</v>
      </c>
      <c r="B17" s="19"/>
      <c r="C17" s="22">
        <v>61</v>
      </c>
      <c r="D17" s="19"/>
      <c r="E17" s="22">
        <f t="shared" si="0"/>
        <v>110</v>
      </c>
      <c r="F17" s="19"/>
      <c r="G17" s="33">
        <v>159</v>
      </c>
      <c r="H17" s="19"/>
      <c r="I17" s="33">
        <v>208</v>
      </c>
      <c r="J17" s="19"/>
    </row>
    <row r="18" spans="1:10" ht="15.75" x14ac:dyDescent="0.25">
      <c r="A18" s="22">
        <v>13</v>
      </c>
      <c r="B18" s="19"/>
      <c r="C18" s="22">
        <v>62</v>
      </c>
      <c r="D18" s="19"/>
      <c r="E18" s="22">
        <f t="shared" si="0"/>
        <v>111</v>
      </c>
      <c r="F18" s="19"/>
      <c r="G18" s="33">
        <v>160</v>
      </c>
      <c r="H18" s="19"/>
      <c r="I18" s="33">
        <v>209</v>
      </c>
      <c r="J18" s="19"/>
    </row>
    <row r="19" spans="1:10" ht="15.75" x14ac:dyDescent="0.25">
      <c r="A19" s="22">
        <v>14</v>
      </c>
      <c r="B19" s="19"/>
      <c r="C19" s="22">
        <v>63</v>
      </c>
      <c r="D19" s="19"/>
      <c r="E19" s="22">
        <f t="shared" si="0"/>
        <v>112</v>
      </c>
      <c r="F19" s="19"/>
      <c r="G19" s="33">
        <v>161</v>
      </c>
      <c r="H19" s="19"/>
      <c r="I19" s="33">
        <v>210</v>
      </c>
      <c r="J19" s="19"/>
    </row>
    <row r="20" spans="1:10" ht="15.75" x14ac:dyDescent="0.25">
      <c r="A20" s="22">
        <v>15</v>
      </c>
      <c r="B20" s="19"/>
      <c r="C20" s="22">
        <v>64</v>
      </c>
      <c r="D20" s="19"/>
      <c r="E20" s="22">
        <f t="shared" si="0"/>
        <v>113</v>
      </c>
      <c r="F20" s="19"/>
      <c r="G20" s="35">
        <v>162</v>
      </c>
      <c r="H20" s="19"/>
      <c r="I20" s="33">
        <v>211</v>
      </c>
      <c r="J20" s="19"/>
    </row>
    <row r="21" spans="1:10" ht="15.75" x14ac:dyDescent="0.25">
      <c r="A21" s="22">
        <v>16</v>
      </c>
      <c r="B21" s="19"/>
      <c r="C21" s="22">
        <v>65</v>
      </c>
      <c r="D21" s="19"/>
      <c r="E21" s="22">
        <f t="shared" si="0"/>
        <v>114</v>
      </c>
      <c r="F21" s="19"/>
      <c r="G21" s="35">
        <v>163</v>
      </c>
      <c r="H21" s="19"/>
      <c r="I21" s="33">
        <v>212</v>
      </c>
      <c r="J21" s="19"/>
    </row>
    <row r="22" spans="1:10" ht="15.75" x14ac:dyDescent="0.25">
      <c r="A22" s="22">
        <v>17</v>
      </c>
      <c r="B22" s="19"/>
      <c r="C22" s="22">
        <v>66</v>
      </c>
      <c r="D22" s="19"/>
      <c r="E22" s="22">
        <f t="shared" si="0"/>
        <v>115</v>
      </c>
      <c r="F22" s="19"/>
      <c r="G22" s="35">
        <v>164</v>
      </c>
      <c r="H22" s="19"/>
      <c r="I22" s="33">
        <v>213</v>
      </c>
      <c r="J22" s="19"/>
    </row>
    <row r="23" spans="1:10" ht="15.75" x14ac:dyDescent="0.25">
      <c r="A23" s="22">
        <v>18</v>
      </c>
      <c r="B23" s="19"/>
      <c r="C23" s="22">
        <v>67</v>
      </c>
      <c r="D23" s="19"/>
      <c r="E23" s="22">
        <f t="shared" si="0"/>
        <v>116</v>
      </c>
      <c r="F23" s="19"/>
      <c r="G23" s="35">
        <v>165</v>
      </c>
      <c r="H23" s="19"/>
      <c r="I23" s="33">
        <v>214</v>
      </c>
      <c r="J23" s="19"/>
    </row>
    <row r="24" spans="1:10" ht="15.75" x14ac:dyDescent="0.25">
      <c r="A24" s="22">
        <v>19</v>
      </c>
      <c r="B24" s="19"/>
      <c r="C24" s="22">
        <v>68</v>
      </c>
      <c r="D24" s="19"/>
      <c r="E24" s="22">
        <f t="shared" si="0"/>
        <v>117</v>
      </c>
      <c r="F24" s="19"/>
      <c r="G24" s="35">
        <v>166</v>
      </c>
      <c r="H24" s="19"/>
      <c r="I24" s="33">
        <v>215</v>
      </c>
      <c r="J24" s="19"/>
    </row>
    <row r="25" spans="1:10" ht="15.75" x14ac:dyDescent="0.25">
      <c r="A25" s="22">
        <v>20</v>
      </c>
      <c r="B25" s="19"/>
      <c r="C25" s="22">
        <v>69</v>
      </c>
      <c r="D25" s="19"/>
      <c r="E25" s="22">
        <f t="shared" si="0"/>
        <v>118</v>
      </c>
      <c r="F25" s="19"/>
      <c r="G25" s="35">
        <v>167</v>
      </c>
      <c r="H25" s="19"/>
      <c r="I25" s="33">
        <v>216</v>
      </c>
      <c r="J25" s="19"/>
    </row>
    <row r="26" spans="1:10" ht="15.75" x14ac:dyDescent="0.25">
      <c r="A26" s="22">
        <v>21</v>
      </c>
      <c r="B26" s="19"/>
      <c r="C26" s="22">
        <v>70</v>
      </c>
      <c r="D26" s="19"/>
      <c r="E26" s="22">
        <f t="shared" si="0"/>
        <v>119</v>
      </c>
      <c r="F26" s="19"/>
      <c r="G26" s="35">
        <v>168</v>
      </c>
      <c r="H26" s="19"/>
      <c r="I26" s="33">
        <v>217</v>
      </c>
      <c r="J26" s="19"/>
    </row>
    <row r="27" spans="1:10" ht="15.75" x14ac:dyDescent="0.25">
      <c r="A27" s="22">
        <v>22</v>
      </c>
      <c r="B27" s="19"/>
      <c r="C27" s="22">
        <v>71</v>
      </c>
      <c r="D27" s="19"/>
      <c r="E27" s="22">
        <f t="shared" si="0"/>
        <v>120</v>
      </c>
      <c r="F27" s="19"/>
      <c r="G27" s="35">
        <v>169</v>
      </c>
      <c r="H27" s="19"/>
      <c r="I27" s="33">
        <v>218</v>
      </c>
      <c r="J27" s="19"/>
    </row>
    <row r="28" spans="1:10" ht="15.75" x14ac:dyDescent="0.25">
      <c r="A28" s="22">
        <v>23</v>
      </c>
      <c r="B28" s="19"/>
      <c r="C28" s="22">
        <v>72</v>
      </c>
      <c r="D28" s="19"/>
      <c r="E28" s="22">
        <f t="shared" si="0"/>
        <v>121</v>
      </c>
      <c r="F28" s="19"/>
      <c r="G28" s="35">
        <v>170</v>
      </c>
      <c r="H28" s="19"/>
      <c r="I28" s="33">
        <v>219</v>
      </c>
      <c r="J28" s="19"/>
    </row>
    <row r="29" spans="1:10" ht="15.75" x14ac:dyDescent="0.25">
      <c r="A29" s="22">
        <v>24</v>
      </c>
      <c r="B29" s="19"/>
      <c r="C29" s="22">
        <v>73</v>
      </c>
      <c r="D29" s="19"/>
      <c r="E29" s="22">
        <f t="shared" si="0"/>
        <v>122</v>
      </c>
      <c r="F29" s="19"/>
      <c r="G29" s="35">
        <v>171</v>
      </c>
      <c r="H29" s="19"/>
      <c r="I29" s="33">
        <v>220</v>
      </c>
      <c r="J29" s="19"/>
    </row>
    <row r="30" spans="1:10" ht="15.75" x14ac:dyDescent="0.25">
      <c r="A30" s="22">
        <v>25</v>
      </c>
      <c r="B30" s="19"/>
      <c r="C30" s="22">
        <v>74</v>
      </c>
      <c r="D30" s="19"/>
      <c r="E30" s="22">
        <f t="shared" si="0"/>
        <v>123</v>
      </c>
      <c r="F30" s="19"/>
      <c r="G30" s="35">
        <v>172</v>
      </c>
      <c r="H30" s="19"/>
      <c r="I30" s="20"/>
      <c r="J30" s="36"/>
    </row>
    <row r="31" spans="1:10" ht="15.75" x14ac:dyDescent="0.25">
      <c r="A31" s="22">
        <v>26</v>
      </c>
      <c r="B31" s="19"/>
      <c r="C31" s="22">
        <v>75</v>
      </c>
      <c r="D31" s="19"/>
      <c r="E31" s="22">
        <f t="shared" si="0"/>
        <v>124</v>
      </c>
      <c r="F31" s="19"/>
      <c r="G31" s="35">
        <v>173</v>
      </c>
      <c r="H31" s="19"/>
      <c r="I31" s="20"/>
      <c r="J31" s="36"/>
    </row>
    <row r="32" spans="1:10" ht="15.75" x14ac:dyDescent="0.25">
      <c r="A32" s="22">
        <v>27</v>
      </c>
      <c r="B32" s="19"/>
      <c r="C32" s="22">
        <v>76</v>
      </c>
      <c r="D32" s="19"/>
      <c r="E32" s="22">
        <f t="shared" si="0"/>
        <v>125</v>
      </c>
      <c r="F32" s="19"/>
      <c r="G32" s="33">
        <v>174</v>
      </c>
      <c r="H32" s="19"/>
      <c r="I32" s="21"/>
      <c r="J32" s="36"/>
    </row>
    <row r="33" spans="1:10" ht="15.75" x14ac:dyDescent="0.25">
      <c r="A33" s="22">
        <v>28</v>
      </c>
      <c r="B33" s="19"/>
      <c r="C33" s="22">
        <v>77</v>
      </c>
      <c r="D33" s="19"/>
      <c r="E33" s="22">
        <f t="shared" si="0"/>
        <v>126</v>
      </c>
      <c r="F33" s="19"/>
      <c r="G33" s="33">
        <v>175</v>
      </c>
      <c r="H33" s="19"/>
      <c r="I33" s="20"/>
      <c r="J33" s="36"/>
    </row>
    <row r="34" spans="1:10" ht="15.75" x14ac:dyDescent="0.25">
      <c r="A34" s="22">
        <v>29</v>
      </c>
      <c r="B34" s="19"/>
      <c r="C34" s="22">
        <v>78</v>
      </c>
      <c r="D34" s="19"/>
      <c r="E34" s="22">
        <f t="shared" si="0"/>
        <v>127</v>
      </c>
      <c r="F34" s="19"/>
      <c r="G34" s="33">
        <v>176</v>
      </c>
      <c r="H34" s="19"/>
      <c r="I34" s="20"/>
      <c r="J34" s="36"/>
    </row>
    <row r="35" spans="1:10" ht="15.75" x14ac:dyDescent="0.25">
      <c r="A35" s="22">
        <v>30</v>
      </c>
      <c r="B35" s="19"/>
      <c r="C35" s="22">
        <v>79</v>
      </c>
      <c r="D35" s="19"/>
      <c r="E35" s="22">
        <f t="shared" si="0"/>
        <v>128</v>
      </c>
      <c r="F35" s="19"/>
      <c r="G35" s="33">
        <v>177</v>
      </c>
      <c r="H35" s="19"/>
      <c r="I35" s="21"/>
      <c r="J35" s="36"/>
    </row>
    <row r="36" spans="1:10" ht="15.75" x14ac:dyDescent="0.25">
      <c r="A36" s="22">
        <v>31</v>
      </c>
      <c r="B36" s="19"/>
      <c r="C36" s="22">
        <v>80</v>
      </c>
      <c r="D36" s="19"/>
      <c r="E36" s="22">
        <f t="shared" si="0"/>
        <v>129</v>
      </c>
      <c r="F36" s="19"/>
      <c r="G36" s="33">
        <v>178</v>
      </c>
      <c r="H36" s="19"/>
      <c r="I36" s="20"/>
      <c r="J36" s="36"/>
    </row>
    <row r="37" spans="1:10" ht="15.75" x14ac:dyDescent="0.25">
      <c r="A37" s="22">
        <v>32</v>
      </c>
      <c r="B37" s="19"/>
      <c r="C37" s="22">
        <v>81</v>
      </c>
      <c r="D37" s="19"/>
      <c r="E37" s="22">
        <f t="shared" si="0"/>
        <v>130</v>
      </c>
      <c r="F37" s="19"/>
      <c r="G37" s="33">
        <v>179</v>
      </c>
      <c r="H37" s="19"/>
      <c r="I37" s="20"/>
      <c r="J37" s="36"/>
    </row>
    <row r="38" spans="1:10" ht="15.75" x14ac:dyDescent="0.25">
      <c r="A38" s="22">
        <v>33</v>
      </c>
      <c r="B38" s="19"/>
      <c r="C38" s="22">
        <v>82</v>
      </c>
      <c r="D38" s="19"/>
      <c r="E38" s="22">
        <f t="shared" si="0"/>
        <v>131</v>
      </c>
      <c r="F38" s="19"/>
      <c r="G38" s="33">
        <v>180</v>
      </c>
      <c r="H38" s="19"/>
      <c r="I38" s="21"/>
      <c r="J38" s="36"/>
    </row>
    <row r="39" spans="1:10" ht="15.75" x14ac:dyDescent="0.25">
      <c r="A39" s="22">
        <v>34</v>
      </c>
      <c r="B39" s="19"/>
      <c r="C39" s="22">
        <v>83</v>
      </c>
      <c r="D39" s="19"/>
      <c r="E39" s="22">
        <f t="shared" si="0"/>
        <v>132</v>
      </c>
      <c r="F39" s="19"/>
      <c r="G39" s="33">
        <v>181</v>
      </c>
      <c r="H39" s="19"/>
      <c r="I39" s="21"/>
      <c r="J39" s="36"/>
    </row>
    <row r="40" spans="1:10" ht="15.75" x14ac:dyDescent="0.25">
      <c r="A40" s="22">
        <v>35</v>
      </c>
      <c r="B40" s="19"/>
      <c r="C40" s="22">
        <v>84</v>
      </c>
      <c r="D40" s="19"/>
      <c r="E40" s="22">
        <f t="shared" si="0"/>
        <v>133</v>
      </c>
      <c r="F40" s="19"/>
      <c r="G40" s="33">
        <v>182</v>
      </c>
      <c r="H40" s="19"/>
      <c r="I40" s="20"/>
      <c r="J40" s="36"/>
    </row>
    <row r="41" spans="1:10" ht="15.75" x14ac:dyDescent="0.25">
      <c r="A41" s="22">
        <v>36</v>
      </c>
      <c r="B41" s="19"/>
      <c r="C41" s="22">
        <v>85</v>
      </c>
      <c r="D41" s="19"/>
      <c r="E41" s="22">
        <f t="shared" si="0"/>
        <v>134</v>
      </c>
      <c r="F41" s="19"/>
      <c r="G41" s="33">
        <v>183</v>
      </c>
      <c r="H41" s="19"/>
      <c r="I41" s="20"/>
      <c r="J41" s="36"/>
    </row>
    <row r="42" spans="1:10" ht="15.75" x14ac:dyDescent="0.25">
      <c r="A42" s="22">
        <v>37</v>
      </c>
      <c r="B42" s="19"/>
      <c r="C42" s="22">
        <v>86</v>
      </c>
      <c r="D42" s="19"/>
      <c r="E42" s="22">
        <f t="shared" si="0"/>
        <v>135</v>
      </c>
      <c r="F42" s="19"/>
      <c r="G42" s="33">
        <v>184</v>
      </c>
      <c r="H42" s="19"/>
      <c r="I42" s="21"/>
      <c r="J42" s="36"/>
    </row>
    <row r="43" spans="1:10" ht="15.75" x14ac:dyDescent="0.25">
      <c r="A43" s="22">
        <v>38</v>
      </c>
      <c r="B43" s="19"/>
      <c r="C43" s="22">
        <v>87</v>
      </c>
      <c r="D43" s="19"/>
      <c r="E43" s="22">
        <f t="shared" si="0"/>
        <v>136</v>
      </c>
      <c r="F43" s="19"/>
      <c r="G43" s="33">
        <v>185</v>
      </c>
      <c r="H43" s="19"/>
      <c r="I43" s="20"/>
      <c r="J43" s="36"/>
    </row>
    <row r="44" spans="1:10" ht="15.75" x14ac:dyDescent="0.25">
      <c r="A44" s="22">
        <v>39</v>
      </c>
      <c r="B44" s="19"/>
      <c r="C44" s="22">
        <v>88</v>
      </c>
      <c r="D44" s="19"/>
      <c r="E44" s="22">
        <f t="shared" si="0"/>
        <v>137</v>
      </c>
      <c r="F44" s="19"/>
      <c r="G44" s="33">
        <v>186</v>
      </c>
      <c r="H44" s="19"/>
      <c r="I44" s="20"/>
      <c r="J44" s="36"/>
    </row>
    <row r="45" spans="1:10" ht="15.75" x14ac:dyDescent="0.25">
      <c r="A45" s="22">
        <v>40</v>
      </c>
      <c r="B45" s="19"/>
      <c r="C45" s="22">
        <v>89</v>
      </c>
      <c r="D45" s="19"/>
      <c r="E45" s="22">
        <f t="shared" si="0"/>
        <v>138</v>
      </c>
      <c r="F45" s="19"/>
      <c r="G45" s="33">
        <v>187</v>
      </c>
      <c r="H45" s="19"/>
      <c r="I45" s="21"/>
      <c r="J45" s="36"/>
    </row>
    <row r="46" spans="1:10" ht="15.75" x14ac:dyDescent="0.25">
      <c r="A46" s="22">
        <v>41</v>
      </c>
      <c r="B46" s="19"/>
      <c r="C46" s="22">
        <v>90</v>
      </c>
      <c r="D46" s="19"/>
      <c r="E46" s="22">
        <f t="shared" si="0"/>
        <v>139</v>
      </c>
      <c r="F46" s="19"/>
      <c r="G46" s="33">
        <v>188</v>
      </c>
      <c r="H46" s="19"/>
      <c r="I46" s="20"/>
      <c r="J46" s="36"/>
    </row>
    <row r="47" spans="1:10" ht="15.75" x14ac:dyDescent="0.25">
      <c r="A47" s="22">
        <v>42</v>
      </c>
      <c r="B47" s="19"/>
      <c r="C47" s="22">
        <v>91</v>
      </c>
      <c r="D47" s="19"/>
      <c r="E47" s="22">
        <f t="shared" si="0"/>
        <v>140</v>
      </c>
      <c r="F47" s="19"/>
      <c r="G47" s="33">
        <v>189</v>
      </c>
      <c r="H47" s="19"/>
      <c r="I47" s="20"/>
      <c r="J47" s="36"/>
    </row>
    <row r="48" spans="1:10" ht="15.75" x14ac:dyDescent="0.25">
      <c r="A48" s="22">
        <v>43</v>
      </c>
      <c r="B48" s="19"/>
      <c r="C48" s="22">
        <v>92</v>
      </c>
      <c r="D48" s="19"/>
      <c r="E48" s="22">
        <f t="shared" si="0"/>
        <v>141</v>
      </c>
      <c r="F48" s="19"/>
      <c r="G48" s="33">
        <v>190</v>
      </c>
      <c r="H48" s="19"/>
      <c r="I48" s="21"/>
      <c r="J48" s="36"/>
    </row>
    <row r="49" spans="1:10" ht="15.75" x14ac:dyDescent="0.25">
      <c r="A49" s="22">
        <v>44</v>
      </c>
      <c r="B49" s="19"/>
      <c r="C49" s="22">
        <v>93</v>
      </c>
      <c r="D49" s="19"/>
      <c r="E49" s="22">
        <f t="shared" si="0"/>
        <v>142</v>
      </c>
      <c r="F49" s="19"/>
      <c r="G49" s="33">
        <v>191</v>
      </c>
      <c r="H49" s="19"/>
      <c r="I49" s="21"/>
      <c r="J49" s="36"/>
    </row>
    <row r="50" spans="1:10" ht="15.75" x14ac:dyDescent="0.25">
      <c r="A50" s="22">
        <v>45</v>
      </c>
      <c r="B50" s="19"/>
      <c r="C50" s="22">
        <v>94</v>
      </c>
      <c r="D50" s="19"/>
      <c r="E50" s="22">
        <f t="shared" si="0"/>
        <v>143</v>
      </c>
      <c r="F50" s="19"/>
      <c r="G50" s="33">
        <v>192</v>
      </c>
      <c r="H50" s="19"/>
      <c r="I50" s="20"/>
      <c r="J50" s="36"/>
    </row>
    <row r="51" spans="1:10" ht="15.75" x14ac:dyDescent="0.25">
      <c r="A51" s="22">
        <v>46</v>
      </c>
      <c r="B51" s="19"/>
      <c r="C51" s="22">
        <v>95</v>
      </c>
      <c r="D51" s="19"/>
      <c r="E51" s="22">
        <f t="shared" si="0"/>
        <v>144</v>
      </c>
      <c r="F51" s="19"/>
      <c r="G51" s="33">
        <v>193</v>
      </c>
      <c r="H51" s="19"/>
      <c r="I51" s="20"/>
      <c r="J51" s="36"/>
    </row>
    <row r="52" spans="1:10" ht="15.75" x14ac:dyDescent="0.25">
      <c r="A52" s="22">
        <v>47</v>
      </c>
      <c r="B52" s="19"/>
      <c r="C52" s="22">
        <v>96</v>
      </c>
      <c r="D52" s="19"/>
      <c r="E52" s="22">
        <f t="shared" si="0"/>
        <v>145</v>
      </c>
      <c r="F52" s="19"/>
      <c r="G52" s="33">
        <v>194</v>
      </c>
      <c r="H52" s="19"/>
      <c r="I52" s="21"/>
      <c r="J52" s="36"/>
    </row>
    <row r="53" spans="1:10" ht="15.75" x14ac:dyDescent="0.25">
      <c r="A53" s="22">
        <v>48</v>
      </c>
      <c r="B53" s="19"/>
      <c r="C53" s="22">
        <v>97</v>
      </c>
      <c r="D53" s="19"/>
      <c r="E53" s="22">
        <f t="shared" si="0"/>
        <v>146</v>
      </c>
      <c r="F53" s="19"/>
      <c r="G53" s="33">
        <v>195</v>
      </c>
      <c r="H53" s="19"/>
      <c r="I53" s="20"/>
      <c r="J53" s="36"/>
    </row>
    <row r="54" spans="1:10" ht="15.75" x14ac:dyDescent="0.25">
      <c r="A54" s="37">
        <v>49</v>
      </c>
      <c r="B54" s="19"/>
      <c r="C54" s="37">
        <v>98</v>
      </c>
      <c r="D54" s="19"/>
      <c r="E54" s="22">
        <f t="shared" si="0"/>
        <v>147</v>
      </c>
      <c r="F54" s="19"/>
      <c r="G54" s="38">
        <v>196</v>
      </c>
      <c r="H54" s="19"/>
      <c r="I54" s="39"/>
      <c r="J54" s="40"/>
    </row>
    <row r="55" spans="1:10" ht="15.75" x14ac:dyDescent="0.25">
      <c r="A55" s="41"/>
      <c r="B55" s="23">
        <f>SUM(B6:B54)</f>
        <v>0</v>
      </c>
      <c r="C55" s="23"/>
      <c r="D55" s="23">
        <f>SUM(D6:D54)</f>
        <v>0</v>
      </c>
      <c r="E55" s="23"/>
      <c r="F55" s="23">
        <f>SUM(F6:F54)</f>
        <v>0</v>
      </c>
      <c r="G55" s="23"/>
      <c r="H55" s="23">
        <f>SUM(H6:H54)</f>
        <v>0</v>
      </c>
      <c r="I55" s="41"/>
      <c r="J55" s="41">
        <f>SUM(J6:J54)</f>
        <v>0</v>
      </c>
    </row>
    <row r="56" spans="1:10" ht="15.75" x14ac:dyDescent="0.25">
      <c r="A56" s="42" t="s">
        <v>5</v>
      </c>
      <c r="B56" s="43">
        <f>COUNT(B6:B54,D6:D54,F6:F54,H6:H54,J6:J54)</f>
        <v>0</v>
      </c>
      <c r="C56" s="13" t="s">
        <v>6</v>
      </c>
      <c r="D56" s="44"/>
      <c r="E56" s="45">
        <f>B55+D55+F55+H55+J55</f>
        <v>0</v>
      </c>
      <c r="F56" s="24" t="s">
        <v>7</v>
      </c>
      <c r="G56" s="1">
        <f>B56*2.2</f>
        <v>0</v>
      </c>
      <c r="H56" s="13" t="s">
        <v>8</v>
      </c>
      <c r="I56" s="44"/>
      <c r="J56" s="45">
        <f>E56-G56</f>
        <v>0</v>
      </c>
    </row>
    <row r="57" spans="1:10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</row>
    <row r="59" spans="1:10" x14ac:dyDescent="0.25">
      <c r="F59" s="112" t="s">
        <v>61</v>
      </c>
      <c r="G59" s="112">
        <v>2.2000000000000002</v>
      </c>
    </row>
  </sheetData>
  <protectedRanges>
    <protectedRange password="CCE1" sqref="C6:C54 G6:G54 E6:E54 I6:I29" name="Диапазон1_3_1_7_2_1_1_1_1_1_1_1"/>
  </protectedRanges>
  <mergeCells count="2">
    <mergeCell ref="A1:J1"/>
    <mergeCell ref="I4:J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topLeftCell="A37" workbookViewId="0">
      <selection activeCell="K49" sqref="K49"/>
    </sheetView>
  </sheetViews>
  <sheetFormatPr defaultRowHeight="15" x14ac:dyDescent="0.25"/>
  <sheetData>
    <row r="1" spans="1:10" ht="18.75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</row>
    <row r="2" spans="1:10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</row>
    <row r="3" spans="1:10" ht="15.75" x14ac:dyDescent="0.25">
      <c r="A3" s="25" t="s">
        <v>2</v>
      </c>
      <c r="B3" s="27">
        <v>235</v>
      </c>
      <c r="C3" s="14"/>
      <c r="D3" s="15"/>
      <c r="E3" s="16"/>
      <c r="F3" s="16"/>
      <c r="G3" s="16"/>
      <c r="H3" s="16"/>
      <c r="I3" s="16" t="s">
        <v>33</v>
      </c>
      <c r="J3" s="16"/>
    </row>
    <row r="4" spans="1:10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</row>
    <row r="5" spans="1:10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</row>
    <row r="6" spans="1:10" ht="15.75" x14ac:dyDescent="0.25">
      <c r="A6" s="22">
        <v>1</v>
      </c>
      <c r="B6" s="19">
        <v>189.6</v>
      </c>
      <c r="C6" s="22">
        <v>50</v>
      </c>
      <c r="D6" s="19">
        <v>207.5</v>
      </c>
      <c r="E6" s="22">
        <v>99</v>
      </c>
      <c r="F6" s="19">
        <v>199.7</v>
      </c>
      <c r="G6" s="33">
        <v>148</v>
      </c>
      <c r="H6" s="19">
        <v>191.2</v>
      </c>
      <c r="I6" s="34">
        <v>197</v>
      </c>
      <c r="J6" s="19"/>
    </row>
    <row r="7" spans="1:10" ht="15.75" x14ac:dyDescent="0.25">
      <c r="A7" s="22">
        <v>2</v>
      </c>
      <c r="B7" s="19">
        <v>204.8</v>
      </c>
      <c r="C7" s="22">
        <v>51</v>
      </c>
      <c r="D7" s="19">
        <v>207.8</v>
      </c>
      <c r="E7" s="22">
        <v>100</v>
      </c>
      <c r="F7" s="19">
        <v>199.1</v>
      </c>
      <c r="G7" s="33">
        <v>149</v>
      </c>
      <c r="H7" s="19">
        <v>211.9</v>
      </c>
      <c r="I7" s="33">
        <v>198</v>
      </c>
      <c r="J7" s="19"/>
    </row>
    <row r="8" spans="1:10" ht="15.75" x14ac:dyDescent="0.25">
      <c r="A8" s="22">
        <v>3</v>
      </c>
      <c r="B8" s="19">
        <v>200.4</v>
      </c>
      <c r="C8" s="22">
        <v>52</v>
      </c>
      <c r="D8" s="19">
        <v>212.7</v>
      </c>
      <c r="E8" s="22">
        <f t="shared" ref="E8:E54" si="0">+E7+1</f>
        <v>101</v>
      </c>
      <c r="F8" s="19">
        <v>195.7</v>
      </c>
      <c r="G8" s="33">
        <v>150</v>
      </c>
      <c r="H8" s="19">
        <v>180.4</v>
      </c>
      <c r="I8" s="33">
        <v>199</v>
      </c>
      <c r="J8" s="19"/>
    </row>
    <row r="9" spans="1:10" ht="15.75" x14ac:dyDescent="0.25">
      <c r="A9" s="22">
        <v>4</v>
      </c>
      <c r="B9" s="19">
        <v>205.2</v>
      </c>
      <c r="C9" s="22">
        <v>53</v>
      </c>
      <c r="D9" s="19">
        <v>208.1</v>
      </c>
      <c r="E9" s="22">
        <f t="shared" si="0"/>
        <v>102</v>
      </c>
      <c r="F9" s="19">
        <v>203.8</v>
      </c>
      <c r="G9" s="33">
        <v>151</v>
      </c>
      <c r="H9" s="19">
        <v>213.9</v>
      </c>
      <c r="I9" s="33">
        <v>200</v>
      </c>
      <c r="J9" s="19"/>
    </row>
    <row r="10" spans="1:10" ht="15.75" x14ac:dyDescent="0.25">
      <c r="A10" s="22">
        <v>5</v>
      </c>
      <c r="B10" s="19">
        <v>200.7</v>
      </c>
      <c r="C10" s="22">
        <v>54</v>
      </c>
      <c r="D10" s="19">
        <v>208.7</v>
      </c>
      <c r="E10" s="22">
        <f t="shared" si="0"/>
        <v>103</v>
      </c>
      <c r="F10" s="19">
        <v>187.9</v>
      </c>
      <c r="G10" s="33">
        <v>152</v>
      </c>
      <c r="H10" s="19">
        <v>174.2</v>
      </c>
      <c r="I10" s="33">
        <v>201</v>
      </c>
      <c r="J10" s="19"/>
    </row>
    <row r="11" spans="1:10" ht="15.75" x14ac:dyDescent="0.25">
      <c r="A11" s="22">
        <v>6</v>
      </c>
      <c r="B11" s="19">
        <v>206</v>
      </c>
      <c r="C11" s="22">
        <v>55</v>
      </c>
      <c r="D11" s="19">
        <v>209.5</v>
      </c>
      <c r="E11" s="22">
        <f t="shared" si="0"/>
        <v>104</v>
      </c>
      <c r="F11" s="19">
        <v>212</v>
      </c>
      <c r="G11" s="33">
        <v>153</v>
      </c>
      <c r="H11" s="19">
        <v>216.4</v>
      </c>
      <c r="I11" s="33">
        <v>202</v>
      </c>
      <c r="J11" s="19"/>
    </row>
    <row r="12" spans="1:10" ht="15.75" x14ac:dyDescent="0.25">
      <c r="A12" s="22">
        <v>7</v>
      </c>
      <c r="B12" s="19">
        <v>203.3</v>
      </c>
      <c r="C12" s="22">
        <v>56</v>
      </c>
      <c r="D12" s="19">
        <v>209.8</v>
      </c>
      <c r="E12" s="22">
        <f t="shared" si="0"/>
        <v>105</v>
      </c>
      <c r="F12" s="19">
        <v>192.5</v>
      </c>
      <c r="G12" s="33">
        <v>154</v>
      </c>
      <c r="H12" s="19"/>
      <c r="I12" s="33">
        <v>203</v>
      </c>
      <c r="J12" s="19"/>
    </row>
    <row r="13" spans="1:10" ht="15.75" x14ac:dyDescent="0.25">
      <c r="A13" s="22">
        <v>8</v>
      </c>
      <c r="B13" s="19">
        <v>205.5</v>
      </c>
      <c r="C13" s="22">
        <v>57</v>
      </c>
      <c r="D13" s="19">
        <v>210.5</v>
      </c>
      <c r="E13" s="22">
        <f t="shared" si="0"/>
        <v>106</v>
      </c>
      <c r="F13" s="19">
        <v>207.8</v>
      </c>
      <c r="G13" s="33">
        <v>155</v>
      </c>
      <c r="H13" s="19"/>
      <c r="I13" s="33">
        <v>204</v>
      </c>
      <c r="J13" s="19"/>
    </row>
    <row r="14" spans="1:10" ht="15.75" x14ac:dyDescent="0.25">
      <c r="A14" s="22">
        <v>9</v>
      </c>
      <c r="B14" s="19">
        <v>202.6</v>
      </c>
      <c r="C14" s="22">
        <v>58</v>
      </c>
      <c r="D14" s="19">
        <v>206.4</v>
      </c>
      <c r="E14" s="22">
        <f t="shared" si="0"/>
        <v>107</v>
      </c>
      <c r="F14" s="19">
        <v>195</v>
      </c>
      <c r="G14" s="33">
        <v>156</v>
      </c>
      <c r="H14" s="19"/>
      <c r="I14" s="33">
        <v>205</v>
      </c>
      <c r="J14" s="19"/>
    </row>
    <row r="15" spans="1:10" ht="15.75" x14ac:dyDescent="0.25">
      <c r="A15" s="22">
        <v>10</v>
      </c>
      <c r="B15" s="19">
        <v>199.7</v>
      </c>
      <c r="C15" s="22">
        <v>59</v>
      </c>
      <c r="D15" s="19">
        <v>209.1</v>
      </c>
      <c r="E15" s="22">
        <f t="shared" si="0"/>
        <v>108</v>
      </c>
      <c r="F15" s="19">
        <v>178.2</v>
      </c>
      <c r="G15" s="33">
        <v>157</v>
      </c>
      <c r="H15" s="19"/>
      <c r="I15" s="33">
        <v>206</v>
      </c>
      <c r="J15" s="19"/>
    </row>
    <row r="16" spans="1:10" ht="15.75" x14ac:dyDescent="0.25">
      <c r="A16" s="22">
        <v>11</v>
      </c>
      <c r="B16" s="19">
        <v>200.2</v>
      </c>
      <c r="C16" s="22">
        <v>60</v>
      </c>
      <c r="D16" s="19">
        <v>207.4</v>
      </c>
      <c r="E16" s="22">
        <f t="shared" si="0"/>
        <v>109</v>
      </c>
      <c r="F16" s="19">
        <v>212.5</v>
      </c>
      <c r="G16" s="33">
        <v>158</v>
      </c>
      <c r="H16" s="19"/>
      <c r="I16" s="33">
        <v>207</v>
      </c>
      <c r="J16" s="19"/>
    </row>
    <row r="17" spans="1:10" ht="15.75" x14ac:dyDescent="0.25">
      <c r="A17" s="22">
        <v>12</v>
      </c>
      <c r="B17" s="19">
        <v>205.4</v>
      </c>
      <c r="C17" s="22">
        <v>61</v>
      </c>
      <c r="D17" s="19">
        <v>209.6</v>
      </c>
      <c r="E17" s="22">
        <f t="shared" si="0"/>
        <v>110</v>
      </c>
      <c r="F17" s="19">
        <v>190.2</v>
      </c>
      <c r="G17" s="33">
        <v>159</v>
      </c>
      <c r="H17" s="19"/>
      <c r="I17" s="33">
        <v>208</v>
      </c>
      <c r="J17" s="19"/>
    </row>
    <row r="18" spans="1:10" ht="15.75" x14ac:dyDescent="0.25">
      <c r="A18" s="22">
        <v>13</v>
      </c>
      <c r="B18" s="19">
        <v>198.3</v>
      </c>
      <c r="C18" s="22">
        <v>62</v>
      </c>
      <c r="D18" s="19">
        <v>210</v>
      </c>
      <c r="E18" s="22">
        <f t="shared" si="0"/>
        <v>111</v>
      </c>
      <c r="F18" s="19">
        <v>206.8</v>
      </c>
      <c r="G18" s="33">
        <v>160</v>
      </c>
      <c r="H18" s="19"/>
      <c r="I18" s="33">
        <v>209</v>
      </c>
      <c r="J18" s="19"/>
    </row>
    <row r="19" spans="1:10" ht="15.75" x14ac:dyDescent="0.25">
      <c r="A19" s="22">
        <v>14</v>
      </c>
      <c r="B19" s="19">
        <v>188.6</v>
      </c>
      <c r="C19" s="22">
        <v>63</v>
      </c>
      <c r="D19" s="19">
        <v>204.7</v>
      </c>
      <c r="E19" s="22">
        <f t="shared" si="0"/>
        <v>112</v>
      </c>
      <c r="F19" s="19">
        <v>188.5</v>
      </c>
      <c r="G19" s="33">
        <v>161</v>
      </c>
      <c r="H19" s="19"/>
      <c r="I19" s="33">
        <v>210</v>
      </c>
      <c r="J19" s="19"/>
    </row>
    <row r="20" spans="1:10" ht="15.75" x14ac:dyDescent="0.25">
      <c r="A20" s="22">
        <v>15</v>
      </c>
      <c r="B20" s="19">
        <v>199</v>
      </c>
      <c r="C20" s="22">
        <v>64</v>
      </c>
      <c r="D20" s="19">
        <v>203.4</v>
      </c>
      <c r="E20" s="22">
        <f t="shared" si="0"/>
        <v>113</v>
      </c>
      <c r="F20" s="19">
        <v>209.5</v>
      </c>
      <c r="G20" s="35">
        <v>162</v>
      </c>
      <c r="H20" s="19"/>
      <c r="I20" s="33">
        <v>211</v>
      </c>
      <c r="J20" s="19"/>
    </row>
    <row r="21" spans="1:10" ht="15.75" x14ac:dyDescent="0.25">
      <c r="A21" s="22">
        <v>16</v>
      </c>
      <c r="B21" s="19">
        <v>201.8</v>
      </c>
      <c r="C21" s="22">
        <v>65</v>
      </c>
      <c r="D21" s="19">
        <v>210.7</v>
      </c>
      <c r="E21" s="22">
        <f t="shared" si="0"/>
        <v>114</v>
      </c>
      <c r="F21" s="19">
        <v>209.2</v>
      </c>
      <c r="G21" s="35">
        <v>163</v>
      </c>
      <c r="H21" s="19"/>
      <c r="I21" s="33">
        <v>212</v>
      </c>
      <c r="J21" s="19"/>
    </row>
    <row r="22" spans="1:10" ht="15.75" x14ac:dyDescent="0.25">
      <c r="A22" s="22">
        <v>17</v>
      </c>
      <c r="B22" s="19">
        <v>194.4</v>
      </c>
      <c r="C22" s="22">
        <v>66</v>
      </c>
      <c r="D22" s="19">
        <v>201.8</v>
      </c>
      <c r="E22" s="22">
        <f t="shared" si="0"/>
        <v>115</v>
      </c>
      <c r="F22" s="19">
        <v>172</v>
      </c>
      <c r="G22" s="35">
        <v>164</v>
      </c>
      <c r="H22" s="19"/>
      <c r="I22" s="33">
        <v>213</v>
      </c>
      <c r="J22" s="19"/>
    </row>
    <row r="23" spans="1:10" ht="15.75" x14ac:dyDescent="0.25">
      <c r="A23" s="22">
        <v>18</v>
      </c>
      <c r="B23" s="19">
        <v>208.3</v>
      </c>
      <c r="C23" s="22">
        <v>67</v>
      </c>
      <c r="D23" s="19">
        <v>204.6</v>
      </c>
      <c r="E23" s="22">
        <f t="shared" si="0"/>
        <v>116</v>
      </c>
      <c r="F23" s="19">
        <v>186.7</v>
      </c>
      <c r="G23" s="35">
        <v>165</v>
      </c>
      <c r="H23" s="19"/>
      <c r="I23" s="33">
        <v>214</v>
      </c>
      <c r="J23" s="19"/>
    </row>
    <row r="24" spans="1:10" ht="15.75" x14ac:dyDescent="0.25">
      <c r="A24" s="22">
        <v>19</v>
      </c>
      <c r="B24" s="19">
        <v>210.1</v>
      </c>
      <c r="C24" s="22">
        <v>68</v>
      </c>
      <c r="D24" s="19">
        <v>201.1</v>
      </c>
      <c r="E24" s="22">
        <f t="shared" si="0"/>
        <v>117</v>
      </c>
      <c r="F24" s="19">
        <v>190.5</v>
      </c>
      <c r="G24" s="35">
        <v>166</v>
      </c>
      <c r="H24" s="19"/>
      <c r="I24" s="33">
        <v>215</v>
      </c>
      <c r="J24" s="19"/>
    </row>
    <row r="25" spans="1:10" ht="15.75" x14ac:dyDescent="0.25">
      <c r="A25" s="22">
        <v>20</v>
      </c>
      <c r="B25" s="19">
        <v>202.7</v>
      </c>
      <c r="C25" s="22">
        <v>69</v>
      </c>
      <c r="D25" s="19">
        <v>202.5</v>
      </c>
      <c r="E25" s="22">
        <f t="shared" si="0"/>
        <v>118</v>
      </c>
      <c r="F25" s="19">
        <v>210</v>
      </c>
      <c r="G25" s="35">
        <v>167</v>
      </c>
      <c r="H25" s="19"/>
      <c r="I25" s="33">
        <v>216</v>
      </c>
      <c r="J25" s="19"/>
    </row>
    <row r="26" spans="1:10" ht="15.75" x14ac:dyDescent="0.25">
      <c r="A26" s="22">
        <v>21</v>
      </c>
      <c r="B26" s="19">
        <v>197</v>
      </c>
      <c r="C26" s="22">
        <v>70</v>
      </c>
      <c r="D26" s="19">
        <v>208.2</v>
      </c>
      <c r="E26" s="22">
        <f t="shared" si="0"/>
        <v>119</v>
      </c>
      <c r="F26" s="19">
        <v>167.8</v>
      </c>
      <c r="G26" s="35">
        <v>168</v>
      </c>
      <c r="H26" s="19"/>
      <c r="I26" s="33">
        <v>217</v>
      </c>
      <c r="J26" s="19"/>
    </row>
    <row r="27" spans="1:10" ht="15.75" x14ac:dyDescent="0.25">
      <c r="A27" s="22">
        <v>22</v>
      </c>
      <c r="B27" s="19">
        <v>208.5</v>
      </c>
      <c r="C27" s="22">
        <v>71</v>
      </c>
      <c r="D27" s="19">
        <v>206.5</v>
      </c>
      <c r="E27" s="22">
        <f t="shared" si="0"/>
        <v>120</v>
      </c>
      <c r="F27" s="19">
        <v>211.6</v>
      </c>
      <c r="G27" s="35">
        <v>169</v>
      </c>
      <c r="H27" s="19"/>
      <c r="I27" s="33">
        <v>218</v>
      </c>
      <c r="J27" s="19"/>
    </row>
    <row r="28" spans="1:10" ht="15.75" x14ac:dyDescent="0.25">
      <c r="A28" s="22">
        <v>23</v>
      </c>
      <c r="B28" s="19">
        <v>204.6</v>
      </c>
      <c r="C28" s="22">
        <v>72</v>
      </c>
      <c r="D28" s="19">
        <v>203.3</v>
      </c>
      <c r="E28" s="22">
        <f t="shared" si="0"/>
        <v>121</v>
      </c>
      <c r="F28" s="19">
        <v>170.6</v>
      </c>
      <c r="G28" s="35">
        <v>170</v>
      </c>
      <c r="H28" s="19"/>
      <c r="I28" s="33">
        <v>219</v>
      </c>
      <c r="J28" s="19"/>
    </row>
    <row r="29" spans="1:10" ht="15.75" x14ac:dyDescent="0.25">
      <c r="A29" s="22">
        <v>24</v>
      </c>
      <c r="B29" s="19">
        <v>200.7</v>
      </c>
      <c r="C29" s="22">
        <v>73</v>
      </c>
      <c r="D29" s="19">
        <v>205.3</v>
      </c>
      <c r="E29" s="22">
        <f t="shared" si="0"/>
        <v>122</v>
      </c>
      <c r="F29" s="19">
        <v>208.4</v>
      </c>
      <c r="G29" s="35">
        <v>171</v>
      </c>
      <c r="H29" s="19"/>
      <c r="I29" s="33">
        <v>220</v>
      </c>
      <c r="J29" s="19"/>
    </row>
    <row r="30" spans="1:10" ht="15.75" x14ac:dyDescent="0.25">
      <c r="A30" s="22">
        <v>25</v>
      </c>
      <c r="B30" s="19">
        <v>203.5</v>
      </c>
      <c r="C30" s="22">
        <v>74</v>
      </c>
      <c r="D30" s="19">
        <v>206.9</v>
      </c>
      <c r="E30" s="22">
        <f t="shared" si="0"/>
        <v>123</v>
      </c>
      <c r="F30" s="19">
        <v>179.1</v>
      </c>
      <c r="G30" s="35">
        <v>172</v>
      </c>
      <c r="H30" s="19"/>
      <c r="I30" s="20"/>
      <c r="J30" s="36"/>
    </row>
    <row r="31" spans="1:10" ht="15.75" x14ac:dyDescent="0.25">
      <c r="A31" s="22">
        <v>26</v>
      </c>
      <c r="B31" s="19">
        <v>195.7</v>
      </c>
      <c r="C31" s="22">
        <v>75</v>
      </c>
      <c r="D31" s="19">
        <v>200.6</v>
      </c>
      <c r="E31" s="22">
        <f t="shared" si="0"/>
        <v>124</v>
      </c>
      <c r="F31" s="19">
        <v>160.6</v>
      </c>
      <c r="G31" s="35">
        <v>173</v>
      </c>
      <c r="H31" s="19"/>
      <c r="I31" s="20"/>
      <c r="J31" s="36"/>
    </row>
    <row r="32" spans="1:10" ht="15.75" x14ac:dyDescent="0.25">
      <c r="A32" s="22">
        <v>27</v>
      </c>
      <c r="B32" s="19">
        <v>202.3</v>
      </c>
      <c r="C32" s="22">
        <v>76</v>
      </c>
      <c r="D32" s="19">
        <v>204</v>
      </c>
      <c r="E32" s="22">
        <f t="shared" si="0"/>
        <v>125</v>
      </c>
      <c r="F32" s="19">
        <v>208.2</v>
      </c>
      <c r="G32" s="33">
        <v>174</v>
      </c>
      <c r="H32" s="19"/>
      <c r="I32" s="21"/>
      <c r="J32" s="36"/>
    </row>
    <row r="33" spans="1:10" ht="15.75" x14ac:dyDescent="0.25">
      <c r="A33" s="22">
        <v>28</v>
      </c>
      <c r="B33" s="19">
        <v>209.8</v>
      </c>
      <c r="C33" s="22">
        <v>77</v>
      </c>
      <c r="D33" s="19">
        <v>208.6</v>
      </c>
      <c r="E33" s="22">
        <f t="shared" si="0"/>
        <v>126</v>
      </c>
      <c r="F33" s="19">
        <v>198.7</v>
      </c>
      <c r="G33" s="33">
        <v>175</v>
      </c>
      <c r="H33" s="19"/>
      <c r="I33" s="20"/>
      <c r="J33" s="36"/>
    </row>
    <row r="34" spans="1:10" ht="15.75" x14ac:dyDescent="0.25">
      <c r="A34" s="22">
        <v>29</v>
      </c>
      <c r="B34" s="19">
        <v>207.7</v>
      </c>
      <c r="C34" s="22">
        <v>78</v>
      </c>
      <c r="D34" s="19">
        <v>205.6</v>
      </c>
      <c r="E34" s="22">
        <f t="shared" si="0"/>
        <v>127</v>
      </c>
      <c r="F34" s="19">
        <v>207.1</v>
      </c>
      <c r="G34" s="33">
        <v>176</v>
      </c>
      <c r="H34" s="19"/>
      <c r="I34" s="20"/>
      <c r="J34" s="36"/>
    </row>
    <row r="35" spans="1:10" ht="15.75" x14ac:dyDescent="0.25">
      <c r="A35" s="22">
        <v>30</v>
      </c>
      <c r="B35" s="19">
        <v>205.2</v>
      </c>
      <c r="C35" s="22">
        <v>79</v>
      </c>
      <c r="D35" s="19">
        <v>203.6</v>
      </c>
      <c r="E35" s="22">
        <f t="shared" si="0"/>
        <v>128</v>
      </c>
      <c r="F35" s="19">
        <v>206.9</v>
      </c>
      <c r="G35" s="33">
        <v>177</v>
      </c>
      <c r="H35" s="19"/>
      <c r="I35" s="21"/>
      <c r="J35" s="36"/>
    </row>
    <row r="36" spans="1:10" ht="15.75" x14ac:dyDescent="0.25">
      <c r="A36" s="22">
        <v>31</v>
      </c>
      <c r="B36" s="19">
        <v>205.7</v>
      </c>
      <c r="C36" s="22">
        <v>80</v>
      </c>
      <c r="D36" s="19">
        <v>203</v>
      </c>
      <c r="E36" s="22">
        <f t="shared" si="0"/>
        <v>129</v>
      </c>
      <c r="F36" s="19">
        <v>179.9</v>
      </c>
      <c r="G36" s="33">
        <v>178</v>
      </c>
      <c r="H36" s="19"/>
      <c r="I36" s="20"/>
      <c r="J36" s="36"/>
    </row>
    <row r="37" spans="1:10" ht="15.75" x14ac:dyDescent="0.25">
      <c r="A37" s="22">
        <v>32</v>
      </c>
      <c r="B37" s="19">
        <v>197.7</v>
      </c>
      <c r="C37" s="22">
        <v>81</v>
      </c>
      <c r="D37" s="19">
        <v>205.2</v>
      </c>
      <c r="E37" s="22">
        <f t="shared" si="0"/>
        <v>130</v>
      </c>
      <c r="F37" s="19">
        <v>210.1</v>
      </c>
      <c r="G37" s="33">
        <v>179</v>
      </c>
      <c r="H37" s="19"/>
      <c r="I37" s="20"/>
      <c r="J37" s="36"/>
    </row>
    <row r="38" spans="1:10" ht="15.75" x14ac:dyDescent="0.25">
      <c r="A38" s="22">
        <v>33</v>
      </c>
      <c r="B38" s="19">
        <v>202.6</v>
      </c>
      <c r="C38" s="22">
        <v>82</v>
      </c>
      <c r="D38" s="19">
        <v>206.5</v>
      </c>
      <c r="E38" s="22">
        <f t="shared" si="0"/>
        <v>131</v>
      </c>
      <c r="F38" s="19">
        <v>185.6</v>
      </c>
      <c r="G38" s="33">
        <v>180</v>
      </c>
      <c r="H38" s="19"/>
      <c r="I38" s="21"/>
      <c r="J38" s="36"/>
    </row>
    <row r="39" spans="1:10" ht="15.75" x14ac:dyDescent="0.25">
      <c r="A39" s="22">
        <v>34</v>
      </c>
      <c r="B39" s="19">
        <v>205.8</v>
      </c>
      <c r="C39" s="22">
        <v>83</v>
      </c>
      <c r="D39" s="19">
        <v>177.8</v>
      </c>
      <c r="E39" s="22">
        <f t="shared" si="0"/>
        <v>132</v>
      </c>
      <c r="F39" s="19">
        <v>209.6</v>
      </c>
      <c r="G39" s="33">
        <v>181</v>
      </c>
      <c r="H39" s="19"/>
      <c r="I39" s="21"/>
      <c r="J39" s="36"/>
    </row>
    <row r="40" spans="1:10" ht="15.75" x14ac:dyDescent="0.25">
      <c r="A40" s="22">
        <v>35</v>
      </c>
      <c r="B40" s="19">
        <v>198.3</v>
      </c>
      <c r="C40" s="22">
        <v>84</v>
      </c>
      <c r="D40" s="19">
        <v>195.8</v>
      </c>
      <c r="E40" s="22">
        <f t="shared" si="0"/>
        <v>133</v>
      </c>
      <c r="F40" s="19">
        <v>206.8</v>
      </c>
      <c r="G40" s="33">
        <v>182</v>
      </c>
      <c r="H40" s="19"/>
      <c r="I40" s="20"/>
      <c r="J40" s="36"/>
    </row>
    <row r="41" spans="1:10" ht="15.75" x14ac:dyDescent="0.25">
      <c r="A41" s="22">
        <v>36</v>
      </c>
      <c r="B41" s="19">
        <v>199.2</v>
      </c>
      <c r="C41" s="22">
        <v>85</v>
      </c>
      <c r="D41" s="19">
        <v>158.1</v>
      </c>
      <c r="E41" s="22">
        <f t="shared" si="0"/>
        <v>134</v>
      </c>
      <c r="F41" s="19">
        <v>217.5</v>
      </c>
      <c r="G41" s="33">
        <v>183</v>
      </c>
      <c r="H41" s="19"/>
      <c r="I41" s="20"/>
      <c r="J41" s="36"/>
    </row>
    <row r="42" spans="1:10" ht="15.75" x14ac:dyDescent="0.25">
      <c r="A42" s="22">
        <v>37</v>
      </c>
      <c r="B42" s="19">
        <v>199.1</v>
      </c>
      <c r="C42" s="22">
        <v>86</v>
      </c>
      <c r="D42" s="19">
        <v>201.3</v>
      </c>
      <c r="E42" s="22">
        <f t="shared" si="0"/>
        <v>135</v>
      </c>
      <c r="F42" s="19">
        <v>211.8</v>
      </c>
      <c r="G42" s="33">
        <v>184</v>
      </c>
      <c r="H42" s="19"/>
      <c r="I42" s="21"/>
      <c r="J42" s="36"/>
    </row>
    <row r="43" spans="1:10" ht="15.75" x14ac:dyDescent="0.25">
      <c r="A43" s="22">
        <v>38</v>
      </c>
      <c r="B43" s="19">
        <v>210.9</v>
      </c>
      <c r="C43" s="22">
        <v>87</v>
      </c>
      <c r="D43" s="19">
        <v>208.3</v>
      </c>
      <c r="E43" s="22">
        <f t="shared" si="0"/>
        <v>136</v>
      </c>
      <c r="F43" s="19">
        <v>218.1</v>
      </c>
      <c r="G43" s="33">
        <v>185</v>
      </c>
      <c r="H43" s="19"/>
      <c r="I43" s="20"/>
      <c r="J43" s="36"/>
    </row>
    <row r="44" spans="1:10" ht="15.75" x14ac:dyDescent="0.25">
      <c r="A44" s="22">
        <v>39</v>
      </c>
      <c r="B44" s="19">
        <v>205.3</v>
      </c>
      <c r="C44" s="22">
        <v>88</v>
      </c>
      <c r="D44" s="19">
        <v>174.3</v>
      </c>
      <c r="E44" s="22">
        <f t="shared" si="0"/>
        <v>137</v>
      </c>
      <c r="F44" s="19">
        <v>208.6</v>
      </c>
      <c r="G44" s="33">
        <v>186</v>
      </c>
      <c r="H44" s="19"/>
      <c r="I44" s="20"/>
      <c r="J44" s="36"/>
    </row>
    <row r="45" spans="1:10" ht="15.75" x14ac:dyDescent="0.25">
      <c r="A45" s="22">
        <v>40</v>
      </c>
      <c r="B45" s="19">
        <v>209.8</v>
      </c>
      <c r="C45" s="22">
        <v>89</v>
      </c>
      <c r="D45" s="19">
        <v>214.7</v>
      </c>
      <c r="E45" s="22">
        <f t="shared" si="0"/>
        <v>138</v>
      </c>
      <c r="F45" s="19">
        <v>216.9</v>
      </c>
      <c r="G45" s="33">
        <v>187</v>
      </c>
      <c r="H45" s="19"/>
      <c r="I45" s="21"/>
      <c r="J45" s="36"/>
    </row>
    <row r="46" spans="1:10" ht="15.75" x14ac:dyDescent="0.25">
      <c r="A46" s="22">
        <v>41</v>
      </c>
      <c r="B46" s="19">
        <v>211.9</v>
      </c>
      <c r="C46" s="22">
        <v>90</v>
      </c>
      <c r="D46" s="19">
        <v>196.9</v>
      </c>
      <c r="E46" s="22">
        <f t="shared" si="0"/>
        <v>139</v>
      </c>
      <c r="F46" s="19">
        <v>178.5</v>
      </c>
      <c r="G46" s="33">
        <v>188</v>
      </c>
      <c r="H46" s="19"/>
      <c r="I46" s="20"/>
      <c r="J46" s="36"/>
    </row>
    <row r="47" spans="1:10" ht="15.75" x14ac:dyDescent="0.25">
      <c r="A47" s="22">
        <v>42</v>
      </c>
      <c r="B47" s="19">
        <v>211.5</v>
      </c>
      <c r="C47" s="22">
        <v>91</v>
      </c>
      <c r="D47" s="19">
        <v>170.8</v>
      </c>
      <c r="E47" s="22">
        <f t="shared" si="0"/>
        <v>140</v>
      </c>
      <c r="F47" s="19">
        <v>221.9</v>
      </c>
      <c r="G47" s="33">
        <v>189</v>
      </c>
      <c r="H47" s="19"/>
      <c r="I47" s="20"/>
      <c r="J47" s="36"/>
    </row>
    <row r="48" spans="1:10" ht="15.75" x14ac:dyDescent="0.25">
      <c r="A48" s="22">
        <v>43</v>
      </c>
      <c r="B48" s="19">
        <v>213.1</v>
      </c>
      <c r="C48" s="22">
        <v>92</v>
      </c>
      <c r="D48" s="19">
        <v>214.3</v>
      </c>
      <c r="E48" s="22">
        <f t="shared" si="0"/>
        <v>141</v>
      </c>
      <c r="F48" s="19">
        <v>212.6</v>
      </c>
      <c r="G48" s="33">
        <v>190</v>
      </c>
      <c r="H48" s="19"/>
      <c r="I48" s="21"/>
      <c r="J48" s="36"/>
    </row>
    <row r="49" spans="1:10" ht="15.75" x14ac:dyDescent="0.25">
      <c r="A49" s="22">
        <v>44</v>
      </c>
      <c r="B49" s="19">
        <v>212.1</v>
      </c>
      <c r="C49" s="22">
        <v>93</v>
      </c>
      <c r="D49" s="19">
        <v>204.3</v>
      </c>
      <c r="E49" s="22">
        <f t="shared" si="0"/>
        <v>142</v>
      </c>
      <c r="F49" s="19">
        <v>216.4</v>
      </c>
      <c r="G49" s="33">
        <v>191</v>
      </c>
      <c r="H49" s="19"/>
      <c r="I49" s="21"/>
      <c r="J49" s="36"/>
    </row>
    <row r="50" spans="1:10" ht="15.75" x14ac:dyDescent="0.25">
      <c r="A50" s="22">
        <v>45</v>
      </c>
      <c r="B50" s="19">
        <v>212.8</v>
      </c>
      <c r="C50" s="22">
        <v>94</v>
      </c>
      <c r="D50" s="19">
        <v>171.1</v>
      </c>
      <c r="E50" s="22">
        <f t="shared" si="0"/>
        <v>143</v>
      </c>
      <c r="F50" s="19">
        <v>186</v>
      </c>
      <c r="G50" s="33">
        <v>192</v>
      </c>
      <c r="H50" s="19"/>
      <c r="I50" s="20"/>
      <c r="J50" s="36"/>
    </row>
    <row r="51" spans="1:10" ht="15.75" x14ac:dyDescent="0.25">
      <c r="A51" s="22">
        <v>46</v>
      </c>
      <c r="B51" s="19">
        <v>207.3</v>
      </c>
      <c r="C51" s="22">
        <v>95</v>
      </c>
      <c r="D51" s="19">
        <v>212.6</v>
      </c>
      <c r="E51" s="22">
        <f t="shared" si="0"/>
        <v>144</v>
      </c>
      <c r="F51" s="19">
        <v>196</v>
      </c>
      <c r="G51" s="33">
        <v>193</v>
      </c>
      <c r="H51" s="19"/>
      <c r="I51" s="20"/>
      <c r="J51" s="36"/>
    </row>
    <row r="52" spans="1:10" ht="15.75" x14ac:dyDescent="0.25">
      <c r="A52" s="22">
        <v>47</v>
      </c>
      <c r="B52" s="19">
        <v>213.3</v>
      </c>
      <c r="C52" s="22">
        <v>96</v>
      </c>
      <c r="D52" s="19">
        <v>185.5</v>
      </c>
      <c r="E52" s="22">
        <f t="shared" si="0"/>
        <v>145</v>
      </c>
      <c r="F52" s="19">
        <v>214.3</v>
      </c>
      <c r="G52" s="33">
        <v>194</v>
      </c>
      <c r="H52" s="19"/>
      <c r="I52" s="21"/>
      <c r="J52" s="36"/>
    </row>
    <row r="53" spans="1:10" ht="15.75" x14ac:dyDescent="0.25">
      <c r="A53" s="22">
        <v>48</v>
      </c>
      <c r="B53" s="19">
        <v>208.7</v>
      </c>
      <c r="C53" s="22">
        <v>97</v>
      </c>
      <c r="D53" s="19">
        <v>184.5</v>
      </c>
      <c r="E53" s="22">
        <f t="shared" si="0"/>
        <v>146</v>
      </c>
      <c r="F53" s="19">
        <v>187.3</v>
      </c>
      <c r="G53" s="33">
        <v>195</v>
      </c>
      <c r="H53" s="19"/>
      <c r="I53" s="20"/>
      <c r="J53" s="36"/>
    </row>
    <row r="54" spans="1:10" ht="15.75" x14ac:dyDescent="0.25">
      <c r="A54" s="37">
        <v>49</v>
      </c>
      <c r="B54" s="19">
        <v>200.6</v>
      </c>
      <c r="C54" s="37">
        <v>98</v>
      </c>
      <c r="D54" s="19">
        <v>200.1</v>
      </c>
      <c r="E54" s="22">
        <f t="shared" si="0"/>
        <v>147</v>
      </c>
      <c r="F54" s="19">
        <v>211.9</v>
      </c>
      <c r="G54" s="38">
        <v>196</v>
      </c>
      <c r="H54" s="19"/>
      <c r="I54" s="39"/>
      <c r="J54" s="40"/>
    </row>
    <row r="55" spans="1:10" ht="15.75" x14ac:dyDescent="0.25">
      <c r="A55" s="41"/>
      <c r="B55" s="23">
        <f>SUM(B6:B54)</f>
        <v>9987.3000000000011</v>
      </c>
      <c r="C55" s="23"/>
      <c r="D55" s="23">
        <f>SUM(D6:D54)</f>
        <v>9883.6</v>
      </c>
      <c r="E55" s="23"/>
      <c r="F55" s="23">
        <f>SUM(F6:F54)</f>
        <v>9756.4</v>
      </c>
      <c r="G55" s="23"/>
      <c r="H55" s="23">
        <f>SUM(H6:H54)</f>
        <v>1188</v>
      </c>
      <c r="I55" s="41"/>
      <c r="J55" s="41">
        <f>SUM(J6:J54)</f>
        <v>0</v>
      </c>
    </row>
    <row r="56" spans="1:10" ht="15.75" x14ac:dyDescent="0.25">
      <c r="A56" s="42" t="s">
        <v>5</v>
      </c>
      <c r="B56" s="43">
        <f>COUNT(B6:B54,D6:D54,F6:F54,H6:H54,J6:J54)</f>
        <v>153</v>
      </c>
      <c r="C56" s="13" t="s">
        <v>6</v>
      </c>
      <c r="D56" s="44"/>
      <c r="E56" s="45">
        <f>B55+D55+F55+H55+J55</f>
        <v>30815.300000000003</v>
      </c>
      <c r="F56" s="24" t="s">
        <v>7</v>
      </c>
      <c r="G56" s="1">
        <f>B56*2.2</f>
        <v>336.6</v>
      </c>
      <c r="H56" s="13" t="s">
        <v>8</v>
      </c>
      <c r="I56" s="44"/>
      <c r="J56" s="45">
        <f>E56-G56</f>
        <v>30478.700000000004</v>
      </c>
    </row>
    <row r="57" spans="1:10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</row>
    <row r="59" spans="1:10" x14ac:dyDescent="0.25">
      <c r="F59" s="112" t="s">
        <v>61</v>
      </c>
      <c r="G59" s="112">
        <v>2.2000000000000002</v>
      </c>
    </row>
  </sheetData>
  <protectedRanges>
    <protectedRange password="CCE1" sqref="C6:C54 G6:G54 E6:E54 I6:I29" name="Диапазон1_3_1_7_2_1_1_1_1_1_1_1"/>
  </protectedRanges>
  <mergeCells count="2">
    <mergeCell ref="A1:J1"/>
    <mergeCell ref="I4:J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topLeftCell="A16" workbookViewId="0">
      <selection activeCell="L33" sqref="L33"/>
    </sheetView>
  </sheetViews>
  <sheetFormatPr defaultRowHeight="15" x14ac:dyDescent="0.25"/>
  <sheetData>
    <row r="1" spans="1:10" ht="18.75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</row>
    <row r="2" spans="1:10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</row>
    <row r="3" spans="1:10" ht="15.75" x14ac:dyDescent="0.25">
      <c r="A3" s="25" t="s">
        <v>2</v>
      </c>
      <c r="B3" s="27">
        <v>234</v>
      </c>
      <c r="C3" s="14"/>
      <c r="D3" s="15"/>
      <c r="E3" s="16"/>
      <c r="F3" s="16"/>
      <c r="G3" s="16"/>
      <c r="H3" s="16"/>
      <c r="I3" s="16" t="s">
        <v>33</v>
      </c>
      <c r="J3" s="16"/>
    </row>
    <row r="4" spans="1:10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</row>
    <row r="5" spans="1:10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</row>
    <row r="6" spans="1:10" ht="15.75" x14ac:dyDescent="0.25">
      <c r="A6" s="22">
        <v>1</v>
      </c>
      <c r="B6" s="19">
        <v>202.1</v>
      </c>
      <c r="C6" s="22">
        <v>50</v>
      </c>
      <c r="D6" s="19">
        <v>216.4</v>
      </c>
      <c r="E6" s="22">
        <v>99</v>
      </c>
      <c r="F6" s="19">
        <v>205.8</v>
      </c>
      <c r="G6" s="33">
        <v>148</v>
      </c>
      <c r="H6" s="19">
        <v>209.7</v>
      </c>
      <c r="I6" s="34">
        <v>197</v>
      </c>
      <c r="J6" s="19">
        <v>185.2</v>
      </c>
    </row>
    <row r="7" spans="1:10" ht="15.75" x14ac:dyDescent="0.25">
      <c r="A7" s="22">
        <v>2</v>
      </c>
      <c r="B7" s="19">
        <v>200.5</v>
      </c>
      <c r="C7" s="22">
        <v>51</v>
      </c>
      <c r="D7" s="19">
        <v>211.9</v>
      </c>
      <c r="E7" s="22">
        <v>100</v>
      </c>
      <c r="F7" s="19">
        <v>205.4</v>
      </c>
      <c r="G7" s="33">
        <v>149</v>
      </c>
      <c r="H7" s="19">
        <v>202.5</v>
      </c>
      <c r="I7" s="33">
        <v>198</v>
      </c>
      <c r="J7" s="19">
        <v>189</v>
      </c>
    </row>
    <row r="8" spans="1:10" ht="15.75" x14ac:dyDescent="0.25">
      <c r="A8" s="22">
        <v>3</v>
      </c>
      <c r="B8" s="19">
        <v>204.7</v>
      </c>
      <c r="C8" s="22">
        <v>52</v>
      </c>
      <c r="D8" s="19">
        <v>206.7</v>
      </c>
      <c r="E8" s="22">
        <f t="shared" ref="E8:E54" si="0">+E7+1</f>
        <v>101</v>
      </c>
      <c r="F8" s="19">
        <v>207.8</v>
      </c>
      <c r="G8" s="33">
        <v>150</v>
      </c>
      <c r="H8" s="19">
        <v>202.3</v>
      </c>
      <c r="I8" s="33">
        <v>199</v>
      </c>
      <c r="J8" s="19">
        <v>181.1</v>
      </c>
    </row>
    <row r="9" spans="1:10" ht="15.75" x14ac:dyDescent="0.25">
      <c r="A9" s="22">
        <v>4</v>
      </c>
      <c r="B9" s="19">
        <v>197.8</v>
      </c>
      <c r="C9" s="22">
        <v>53</v>
      </c>
      <c r="D9" s="19">
        <v>208.8</v>
      </c>
      <c r="E9" s="22">
        <f t="shared" si="0"/>
        <v>102</v>
      </c>
      <c r="F9" s="19">
        <v>201.1</v>
      </c>
      <c r="G9" s="33">
        <v>151</v>
      </c>
      <c r="H9" s="19">
        <v>210.3</v>
      </c>
      <c r="I9" s="33">
        <v>200</v>
      </c>
      <c r="J9" s="19">
        <v>192.1</v>
      </c>
    </row>
    <row r="10" spans="1:10" ht="15.75" x14ac:dyDescent="0.25">
      <c r="A10" s="22">
        <v>5</v>
      </c>
      <c r="B10" s="19">
        <v>205.41</v>
      </c>
      <c r="C10" s="22">
        <v>54</v>
      </c>
      <c r="D10" s="19">
        <v>204.8</v>
      </c>
      <c r="E10" s="22">
        <f t="shared" si="0"/>
        <v>103</v>
      </c>
      <c r="F10" s="19">
        <v>204.2</v>
      </c>
      <c r="G10" s="33">
        <v>152</v>
      </c>
      <c r="H10" s="19">
        <v>211.5</v>
      </c>
      <c r="I10" s="33">
        <v>201</v>
      </c>
      <c r="J10" s="19">
        <v>201.1</v>
      </c>
    </row>
    <row r="11" spans="1:10" ht="15.75" x14ac:dyDescent="0.25">
      <c r="A11" s="22">
        <v>6</v>
      </c>
      <c r="B11" s="19">
        <v>206</v>
      </c>
      <c r="C11" s="22">
        <v>55</v>
      </c>
      <c r="D11" s="19">
        <v>201.9</v>
      </c>
      <c r="E11" s="22">
        <f t="shared" si="0"/>
        <v>104</v>
      </c>
      <c r="F11" s="19">
        <v>197.7</v>
      </c>
      <c r="G11" s="33">
        <v>153</v>
      </c>
      <c r="H11" s="19">
        <v>207.6</v>
      </c>
      <c r="I11" s="33">
        <v>202</v>
      </c>
      <c r="J11" s="19">
        <v>193.6</v>
      </c>
    </row>
    <row r="12" spans="1:10" ht="15.75" x14ac:dyDescent="0.25">
      <c r="A12" s="22">
        <v>7</v>
      </c>
      <c r="B12" s="19">
        <v>197.7</v>
      </c>
      <c r="C12" s="22">
        <v>56</v>
      </c>
      <c r="D12" s="19">
        <v>211.2</v>
      </c>
      <c r="E12" s="22">
        <f t="shared" si="0"/>
        <v>105</v>
      </c>
      <c r="F12" s="19">
        <v>202.8</v>
      </c>
      <c r="G12" s="33">
        <v>154</v>
      </c>
      <c r="H12" s="19">
        <v>214.4</v>
      </c>
      <c r="I12" s="33">
        <v>203</v>
      </c>
      <c r="J12" s="19">
        <v>189.2</v>
      </c>
    </row>
    <row r="13" spans="1:10" ht="15.75" x14ac:dyDescent="0.25">
      <c r="A13" s="22">
        <v>8</v>
      </c>
      <c r="B13" s="19">
        <v>202.4</v>
      </c>
      <c r="C13" s="22">
        <v>57</v>
      </c>
      <c r="D13" s="19">
        <v>207.2</v>
      </c>
      <c r="E13" s="22">
        <f t="shared" si="0"/>
        <v>106</v>
      </c>
      <c r="F13" s="19">
        <v>209.7</v>
      </c>
      <c r="G13" s="33">
        <v>155</v>
      </c>
      <c r="H13" s="19">
        <v>217.9</v>
      </c>
      <c r="I13" s="33">
        <v>204</v>
      </c>
      <c r="J13" s="19">
        <v>179.7</v>
      </c>
    </row>
    <row r="14" spans="1:10" ht="15.75" x14ac:dyDescent="0.25">
      <c r="A14" s="22">
        <v>9</v>
      </c>
      <c r="B14" s="19">
        <v>199.2</v>
      </c>
      <c r="C14" s="22">
        <v>58</v>
      </c>
      <c r="D14" s="19">
        <v>204.4</v>
      </c>
      <c r="E14" s="22">
        <f t="shared" si="0"/>
        <v>107</v>
      </c>
      <c r="F14" s="19">
        <v>205.5</v>
      </c>
      <c r="G14" s="33">
        <v>156</v>
      </c>
      <c r="H14" s="19">
        <v>210</v>
      </c>
      <c r="I14" s="33">
        <v>205</v>
      </c>
      <c r="J14" s="19">
        <v>188.9</v>
      </c>
    </row>
    <row r="15" spans="1:10" ht="15.75" x14ac:dyDescent="0.25">
      <c r="A15" s="22">
        <v>10</v>
      </c>
      <c r="B15" s="19">
        <v>205.3</v>
      </c>
      <c r="C15" s="22">
        <v>59</v>
      </c>
      <c r="D15" s="19">
        <v>204.1</v>
      </c>
      <c r="E15" s="22">
        <f t="shared" si="0"/>
        <v>108</v>
      </c>
      <c r="F15" s="19">
        <v>198.1</v>
      </c>
      <c r="G15" s="33">
        <v>157</v>
      </c>
      <c r="H15" s="19">
        <v>229.2</v>
      </c>
      <c r="I15" s="33">
        <v>206</v>
      </c>
      <c r="J15" s="19">
        <v>185</v>
      </c>
    </row>
    <row r="16" spans="1:10" ht="15.75" x14ac:dyDescent="0.25">
      <c r="A16" s="22">
        <v>11</v>
      </c>
      <c r="B16" s="19">
        <v>211</v>
      </c>
      <c r="C16" s="22">
        <v>60</v>
      </c>
      <c r="D16" s="19">
        <v>202.5</v>
      </c>
      <c r="E16" s="22">
        <f t="shared" si="0"/>
        <v>109</v>
      </c>
      <c r="F16" s="19">
        <v>214.7</v>
      </c>
      <c r="G16" s="33">
        <v>158</v>
      </c>
      <c r="H16" s="19">
        <v>192.3</v>
      </c>
      <c r="I16" s="33">
        <v>207</v>
      </c>
      <c r="J16" s="19">
        <v>182.6</v>
      </c>
    </row>
    <row r="17" spans="1:10" ht="15.75" x14ac:dyDescent="0.25">
      <c r="A17" s="22">
        <v>12</v>
      </c>
      <c r="B17" s="19">
        <v>201.7</v>
      </c>
      <c r="C17" s="22">
        <v>61</v>
      </c>
      <c r="D17" s="19">
        <v>209.8</v>
      </c>
      <c r="E17" s="22">
        <f t="shared" si="0"/>
        <v>110</v>
      </c>
      <c r="F17" s="19">
        <v>207.1</v>
      </c>
      <c r="G17" s="33">
        <v>159</v>
      </c>
      <c r="H17" s="19">
        <v>203.3</v>
      </c>
      <c r="I17" s="33">
        <v>208</v>
      </c>
      <c r="J17" s="19">
        <v>180.4</v>
      </c>
    </row>
    <row r="18" spans="1:10" ht="15.75" x14ac:dyDescent="0.25">
      <c r="A18" s="22">
        <v>13</v>
      </c>
      <c r="B18" s="19">
        <v>198.3</v>
      </c>
      <c r="C18" s="22">
        <v>62</v>
      </c>
      <c r="D18" s="19">
        <v>211.4</v>
      </c>
      <c r="E18" s="22">
        <f t="shared" si="0"/>
        <v>111</v>
      </c>
      <c r="F18" s="19">
        <v>212.5</v>
      </c>
      <c r="G18" s="33">
        <v>160</v>
      </c>
      <c r="H18" s="19">
        <v>213.3</v>
      </c>
      <c r="I18" s="33">
        <v>209</v>
      </c>
      <c r="J18" s="19">
        <v>197.1</v>
      </c>
    </row>
    <row r="19" spans="1:10" ht="15.75" x14ac:dyDescent="0.25">
      <c r="A19" s="22">
        <v>14</v>
      </c>
      <c r="B19" s="19">
        <v>200.7</v>
      </c>
      <c r="C19" s="22">
        <v>63</v>
      </c>
      <c r="D19" s="19">
        <v>206</v>
      </c>
      <c r="E19" s="22">
        <f t="shared" si="0"/>
        <v>112</v>
      </c>
      <c r="F19" s="19">
        <v>202.5</v>
      </c>
      <c r="G19" s="33">
        <v>161</v>
      </c>
      <c r="H19" s="19">
        <v>187.4</v>
      </c>
      <c r="I19" s="33">
        <v>210</v>
      </c>
      <c r="J19" s="19">
        <v>193.7</v>
      </c>
    </row>
    <row r="20" spans="1:10" ht="15.75" x14ac:dyDescent="0.25">
      <c r="A20" s="22">
        <v>15</v>
      </c>
      <c r="B20" s="19">
        <v>200.2</v>
      </c>
      <c r="C20" s="22">
        <v>64</v>
      </c>
      <c r="D20" s="19">
        <v>211</v>
      </c>
      <c r="E20" s="22">
        <f t="shared" si="0"/>
        <v>113</v>
      </c>
      <c r="F20" s="19">
        <v>207.9</v>
      </c>
      <c r="G20" s="35">
        <v>162</v>
      </c>
      <c r="H20" s="19">
        <v>174.9</v>
      </c>
      <c r="I20" s="33">
        <v>211</v>
      </c>
      <c r="J20" s="19">
        <v>191.4</v>
      </c>
    </row>
    <row r="21" spans="1:10" ht="15.75" x14ac:dyDescent="0.25">
      <c r="A21" s="22">
        <v>16</v>
      </c>
      <c r="B21" s="19">
        <v>204.7</v>
      </c>
      <c r="C21" s="22">
        <v>65</v>
      </c>
      <c r="D21" s="19">
        <v>208.1</v>
      </c>
      <c r="E21" s="22">
        <f t="shared" si="0"/>
        <v>114</v>
      </c>
      <c r="F21" s="19">
        <v>206.6</v>
      </c>
      <c r="G21" s="35">
        <v>163</v>
      </c>
      <c r="H21" s="19">
        <v>186</v>
      </c>
      <c r="I21" s="33">
        <v>212</v>
      </c>
      <c r="J21" s="19">
        <v>186.1</v>
      </c>
    </row>
    <row r="22" spans="1:10" ht="15.75" x14ac:dyDescent="0.25">
      <c r="A22" s="22">
        <v>17</v>
      </c>
      <c r="B22" s="19">
        <v>203.4</v>
      </c>
      <c r="C22" s="22">
        <v>66</v>
      </c>
      <c r="D22" s="19">
        <v>205.9</v>
      </c>
      <c r="E22" s="22">
        <f t="shared" si="0"/>
        <v>115</v>
      </c>
      <c r="F22" s="19">
        <v>211.2</v>
      </c>
      <c r="G22" s="35">
        <v>164</v>
      </c>
      <c r="H22" s="19">
        <v>200.2</v>
      </c>
      <c r="I22" s="33">
        <v>213</v>
      </c>
      <c r="J22" s="19">
        <v>188.7</v>
      </c>
    </row>
    <row r="23" spans="1:10" ht="15.75" x14ac:dyDescent="0.25">
      <c r="A23" s="22">
        <v>18</v>
      </c>
      <c r="B23" s="19">
        <v>205</v>
      </c>
      <c r="C23" s="22">
        <v>67</v>
      </c>
      <c r="D23" s="19">
        <v>205</v>
      </c>
      <c r="E23" s="22">
        <f t="shared" si="0"/>
        <v>116</v>
      </c>
      <c r="F23" s="19">
        <v>210.1</v>
      </c>
      <c r="G23" s="35">
        <v>165</v>
      </c>
      <c r="H23" s="19">
        <v>186.5</v>
      </c>
      <c r="I23" s="33">
        <v>214</v>
      </c>
      <c r="J23" s="19">
        <v>195.4</v>
      </c>
    </row>
    <row r="24" spans="1:10" ht="15.75" x14ac:dyDescent="0.25">
      <c r="A24" s="22">
        <v>19</v>
      </c>
      <c r="B24" s="19">
        <v>199.4</v>
      </c>
      <c r="C24" s="22">
        <v>68</v>
      </c>
      <c r="D24" s="19">
        <v>207.7</v>
      </c>
      <c r="E24" s="22">
        <f t="shared" si="0"/>
        <v>117</v>
      </c>
      <c r="F24" s="19">
        <v>202.7</v>
      </c>
      <c r="G24" s="35">
        <v>166</v>
      </c>
      <c r="H24" s="19">
        <v>182.4</v>
      </c>
      <c r="I24" s="33">
        <v>215</v>
      </c>
      <c r="J24" s="19">
        <v>196.6</v>
      </c>
    </row>
    <row r="25" spans="1:10" ht="15.75" x14ac:dyDescent="0.25">
      <c r="A25" s="22">
        <v>20</v>
      </c>
      <c r="B25" s="19">
        <v>209.1</v>
      </c>
      <c r="C25" s="22">
        <v>69</v>
      </c>
      <c r="D25" s="19">
        <v>208.5</v>
      </c>
      <c r="E25" s="22">
        <f t="shared" si="0"/>
        <v>118</v>
      </c>
      <c r="F25" s="19">
        <v>212.1</v>
      </c>
      <c r="G25" s="35">
        <v>167</v>
      </c>
      <c r="H25" s="19">
        <v>197.5</v>
      </c>
      <c r="I25" s="33">
        <v>216</v>
      </c>
      <c r="J25" s="19">
        <v>193.6</v>
      </c>
    </row>
    <row r="26" spans="1:10" ht="15.75" x14ac:dyDescent="0.25">
      <c r="A26" s="22">
        <v>21</v>
      </c>
      <c r="B26" s="19">
        <v>206.6</v>
      </c>
      <c r="C26" s="22">
        <v>70</v>
      </c>
      <c r="D26" s="19">
        <v>211.2</v>
      </c>
      <c r="E26" s="22">
        <f t="shared" si="0"/>
        <v>119</v>
      </c>
      <c r="F26" s="19">
        <v>208.2</v>
      </c>
      <c r="G26" s="35">
        <v>168</v>
      </c>
      <c r="H26" s="19">
        <v>181.3</v>
      </c>
      <c r="I26" s="33">
        <v>217</v>
      </c>
      <c r="J26" s="19">
        <v>181.9</v>
      </c>
    </row>
    <row r="27" spans="1:10" ht="15.75" x14ac:dyDescent="0.25">
      <c r="A27" s="22">
        <v>22</v>
      </c>
      <c r="B27" s="19">
        <v>206.5</v>
      </c>
      <c r="C27" s="22">
        <v>71</v>
      </c>
      <c r="D27" s="19">
        <v>206.5</v>
      </c>
      <c r="E27" s="22">
        <f t="shared" si="0"/>
        <v>120</v>
      </c>
      <c r="F27" s="19">
        <v>204.9</v>
      </c>
      <c r="G27" s="35">
        <v>169</v>
      </c>
      <c r="H27" s="19">
        <v>157.69999999999999</v>
      </c>
      <c r="I27" s="33">
        <v>218</v>
      </c>
      <c r="J27" s="19">
        <v>180</v>
      </c>
    </row>
    <row r="28" spans="1:10" ht="15.75" x14ac:dyDescent="0.25">
      <c r="A28" s="22">
        <v>23</v>
      </c>
      <c r="B28" s="19">
        <v>205.4</v>
      </c>
      <c r="C28" s="22">
        <v>72</v>
      </c>
      <c r="D28" s="19">
        <v>207.8</v>
      </c>
      <c r="E28" s="22">
        <f t="shared" si="0"/>
        <v>121</v>
      </c>
      <c r="F28" s="19">
        <v>201.7</v>
      </c>
      <c r="G28" s="35">
        <v>170</v>
      </c>
      <c r="H28" s="19">
        <v>202.3</v>
      </c>
      <c r="I28" s="33">
        <v>219</v>
      </c>
      <c r="J28" s="19">
        <v>187.5</v>
      </c>
    </row>
    <row r="29" spans="1:10" ht="15.75" x14ac:dyDescent="0.25">
      <c r="A29" s="22">
        <v>24</v>
      </c>
      <c r="B29" s="19">
        <v>206.8</v>
      </c>
      <c r="C29" s="22">
        <v>73</v>
      </c>
      <c r="D29" s="19">
        <v>210.4</v>
      </c>
      <c r="E29" s="22">
        <f t="shared" si="0"/>
        <v>122</v>
      </c>
      <c r="F29" s="19">
        <v>213.3</v>
      </c>
      <c r="G29" s="35">
        <v>171</v>
      </c>
      <c r="H29" s="19">
        <v>193.6</v>
      </c>
      <c r="I29" s="33">
        <v>220</v>
      </c>
      <c r="J29" s="19">
        <v>198.7</v>
      </c>
    </row>
    <row r="30" spans="1:10" ht="15.75" x14ac:dyDescent="0.25">
      <c r="A30" s="22">
        <v>25</v>
      </c>
      <c r="B30" s="19">
        <v>201.9</v>
      </c>
      <c r="C30" s="22">
        <v>74</v>
      </c>
      <c r="D30" s="19">
        <v>215.1</v>
      </c>
      <c r="E30" s="22">
        <f t="shared" si="0"/>
        <v>123</v>
      </c>
      <c r="F30" s="19">
        <v>211.7</v>
      </c>
      <c r="G30" s="35">
        <v>172</v>
      </c>
      <c r="H30" s="19">
        <v>208.3</v>
      </c>
      <c r="I30" s="20"/>
      <c r="J30" s="36"/>
    </row>
    <row r="31" spans="1:10" ht="15.75" x14ac:dyDescent="0.25">
      <c r="A31" s="22">
        <v>26</v>
      </c>
      <c r="B31" s="19">
        <v>211.2</v>
      </c>
      <c r="C31" s="22">
        <v>75</v>
      </c>
      <c r="D31" s="19">
        <v>210.6</v>
      </c>
      <c r="E31" s="22">
        <f t="shared" si="0"/>
        <v>124</v>
      </c>
      <c r="F31" s="19">
        <v>205.3</v>
      </c>
      <c r="G31" s="35">
        <v>173</v>
      </c>
      <c r="H31" s="19">
        <v>179.9</v>
      </c>
      <c r="I31" s="20"/>
      <c r="J31" s="36"/>
    </row>
    <row r="32" spans="1:10" ht="15.75" x14ac:dyDescent="0.25">
      <c r="A32" s="22">
        <v>27</v>
      </c>
      <c r="B32" s="19">
        <v>200.5</v>
      </c>
      <c r="C32" s="22">
        <v>76</v>
      </c>
      <c r="D32" s="19">
        <v>204.8</v>
      </c>
      <c r="E32" s="22">
        <f t="shared" si="0"/>
        <v>125</v>
      </c>
      <c r="F32" s="19">
        <v>200.4</v>
      </c>
      <c r="G32" s="33">
        <v>174</v>
      </c>
      <c r="H32" s="19">
        <v>208.2</v>
      </c>
      <c r="I32" s="21"/>
      <c r="J32" s="36"/>
    </row>
    <row r="33" spans="1:10" ht="15.75" x14ac:dyDescent="0.25">
      <c r="A33" s="22">
        <v>28</v>
      </c>
      <c r="B33" s="19">
        <v>202.9</v>
      </c>
      <c r="C33" s="22">
        <v>77</v>
      </c>
      <c r="D33" s="19">
        <v>205</v>
      </c>
      <c r="E33" s="22">
        <f t="shared" si="0"/>
        <v>126</v>
      </c>
      <c r="F33" s="19">
        <v>206.8</v>
      </c>
      <c r="G33" s="33">
        <v>175</v>
      </c>
      <c r="H33" s="19">
        <v>205.6</v>
      </c>
      <c r="I33" s="20"/>
      <c r="J33" s="36"/>
    </row>
    <row r="34" spans="1:10" ht="15.75" x14ac:dyDescent="0.25">
      <c r="A34" s="22">
        <v>29</v>
      </c>
      <c r="B34" s="19">
        <v>203</v>
      </c>
      <c r="C34" s="22">
        <v>78</v>
      </c>
      <c r="D34" s="19">
        <v>208.2</v>
      </c>
      <c r="E34" s="22">
        <f t="shared" si="0"/>
        <v>127</v>
      </c>
      <c r="F34" s="19">
        <v>211.5</v>
      </c>
      <c r="G34" s="33">
        <v>176</v>
      </c>
      <c r="H34" s="19">
        <v>192.9</v>
      </c>
      <c r="I34" s="20"/>
      <c r="J34" s="36"/>
    </row>
    <row r="35" spans="1:10" ht="15.75" x14ac:dyDescent="0.25">
      <c r="A35" s="22">
        <v>30</v>
      </c>
      <c r="B35" s="19">
        <v>207.9</v>
      </c>
      <c r="C35" s="22">
        <v>79</v>
      </c>
      <c r="D35" s="19">
        <v>209.1</v>
      </c>
      <c r="E35" s="22">
        <f t="shared" si="0"/>
        <v>128</v>
      </c>
      <c r="F35" s="19">
        <v>210.9</v>
      </c>
      <c r="G35" s="33">
        <v>177</v>
      </c>
      <c r="H35" s="19">
        <v>174.9</v>
      </c>
      <c r="I35" s="21"/>
      <c r="J35" s="36"/>
    </row>
    <row r="36" spans="1:10" ht="15.75" x14ac:dyDescent="0.25">
      <c r="A36" s="22">
        <v>31</v>
      </c>
      <c r="B36" s="19">
        <v>208.7</v>
      </c>
      <c r="C36" s="22">
        <v>80</v>
      </c>
      <c r="D36" s="19">
        <v>208.9</v>
      </c>
      <c r="E36" s="22">
        <f t="shared" si="0"/>
        <v>129</v>
      </c>
      <c r="F36" s="19">
        <v>217.4</v>
      </c>
      <c r="G36" s="33">
        <v>178</v>
      </c>
      <c r="H36" s="19">
        <v>193.9</v>
      </c>
      <c r="I36" s="20"/>
      <c r="J36" s="36"/>
    </row>
    <row r="37" spans="1:10" ht="15.75" x14ac:dyDescent="0.25">
      <c r="A37" s="22">
        <v>32</v>
      </c>
      <c r="B37" s="19">
        <v>205.7</v>
      </c>
      <c r="C37" s="22">
        <v>81</v>
      </c>
      <c r="D37" s="19">
        <v>210.2</v>
      </c>
      <c r="E37" s="22">
        <f t="shared" si="0"/>
        <v>130</v>
      </c>
      <c r="F37" s="19">
        <v>205.7</v>
      </c>
      <c r="G37" s="33">
        <v>179</v>
      </c>
      <c r="H37" s="19">
        <v>209.7</v>
      </c>
      <c r="I37" s="20"/>
      <c r="J37" s="36"/>
    </row>
    <row r="38" spans="1:10" ht="15.75" x14ac:dyDescent="0.25">
      <c r="A38" s="22">
        <v>33</v>
      </c>
      <c r="B38" s="19">
        <v>202.2</v>
      </c>
      <c r="C38" s="22">
        <v>82</v>
      </c>
      <c r="D38" s="19">
        <v>213.7</v>
      </c>
      <c r="E38" s="22">
        <f t="shared" si="0"/>
        <v>131</v>
      </c>
      <c r="F38" s="19">
        <v>206.6</v>
      </c>
      <c r="G38" s="33">
        <v>180</v>
      </c>
      <c r="H38" s="19">
        <v>181.8</v>
      </c>
      <c r="I38" s="21"/>
      <c r="J38" s="36"/>
    </row>
    <row r="39" spans="1:10" ht="15.75" x14ac:dyDescent="0.25">
      <c r="A39" s="22">
        <v>34</v>
      </c>
      <c r="B39" s="19">
        <v>206.2</v>
      </c>
      <c r="C39" s="22">
        <v>83</v>
      </c>
      <c r="D39" s="19">
        <v>203.9</v>
      </c>
      <c r="E39" s="22">
        <f t="shared" si="0"/>
        <v>132</v>
      </c>
      <c r="F39" s="19">
        <v>204.9</v>
      </c>
      <c r="G39" s="33">
        <v>181</v>
      </c>
      <c r="H39" s="19">
        <v>196.4</v>
      </c>
      <c r="I39" s="21"/>
      <c r="J39" s="36"/>
    </row>
    <row r="40" spans="1:10" ht="15.75" x14ac:dyDescent="0.25">
      <c r="A40" s="22">
        <v>35</v>
      </c>
      <c r="B40" s="19">
        <v>203.5</v>
      </c>
      <c r="C40" s="22">
        <v>84</v>
      </c>
      <c r="D40" s="19">
        <v>208.4</v>
      </c>
      <c r="E40" s="22">
        <f t="shared" si="0"/>
        <v>133</v>
      </c>
      <c r="F40" s="19">
        <v>197.8</v>
      </c>
      <c r="G40" s="33">
        <v>182</v>
      </c>
      <c r="H40" s="19">
        <v>191.5</v>
      </c>
      <c r="I40" s="20"/>
      <c r="J40" s="36"/>
    </row>
    <row r="41" spans="1:10" ht="15.75" x14ac:dyDescent="0.25">
      <c r="A41" s="22">
        <v>36</v>
      </c>
      <c r="B41" s="19">
        <v>201.3</v>
      </c>
      <c r="C41" s="22">
        <v>85</v>
      </c>
      <c r="D41" s="19">
        <v>209.1</v>
      </c>
      <c r="E41" s="22">
        <f t="shared" si="0"/>
        <v>134</v>
      </c>
      <c r="F41" s="19">
        <v>205</v>
      </c>
      <c r="G41" s="33">
        <v>183</v>
      </c>
      <c r="H41" s="19">
        <v>196.3</v>
      </c>
      <c r="I41" s="20"/>
      <c r="J41" s="36"/>
    </row>
    <row r="42" spans="1:10" ht="15.75" x14ac:dyDescent="0.25">
      <c r="A42" s="22">
        <v>37</v>
      </c>
      <c r="B42" s="19">
        <v>210.7</v>
      </c>
      <c r="C42" s="22">
        <v>86</v>
      </c>
      <c r="D42" s="19">
        <v>208.9</v>
      </c>
      <c r="E42" s="22">
        <f t="shared" si="0"/>
        <v>135</v>
      </c>
      <c r="F42" s="19">
        <v>209.7</v>
      </c>
      <c r="G42" s="33">
        <v>184</v>
      </c>
      <c r="H42" s="19">
        <v>209.5</v>
      </c>
      <c r="I42" s="21"/>
      <c r="J42" s="36"/>
    </row>
    <row r="43" spans="1:10" ht="15.75" x14ac:dyDescent="0.25">
      <c r="A43" s="22">
        <v>38</v>
      </c>
      <c r="B43" s="19">
        <v>207.4</v>
      </c>
      <c r="C43" s="22">
        <v>87</v>
      </c>
      <c r="D43" s="19">
        <v>209.6</v>
      </c>
      <c r="E43" s="22">
        <f t="shared" si="0"/>
        <v>136</v>
      </c>
      <c r="F43" s="19">
        <v>211.7</v>
      </c>
      <c r="G43" s="33">
        <v>185</v>
      </c>
      <c r="H43" s="19">
        <v>198.4</v>
      </c>
      <c r="I43" s="20"/>
      <c r="J43" s="36"/>
    </row>
    <row r="44" spans="1:10" ht="15.75" x14ac:dyDescent="0.25">
      <c r="A44" s="22">
        <v>39</v>
      </c>
      <c r="B44" s="19">
        <v>211.8</v>
      </c>
      <c r="C44" s="22">
        <v>88</v>
      </c>
      <c r="D44" s="19">
        <v>209.9</v>
      </c>
      <c r="E44" s="22">
        <f t="shared" si="0"/>
        <v>137</v>
      </c>
      <c r="F44" s="19">
        <v>205.4</v>
      </c>
      <c r="G44" s="33">
        <v>186</v>
      </c>
      <c r="H44" s="19">
        <v>207</v>
      </c>
      <c r="I44" s="20"/>
      <c r="J44" s="36"/>
    </row>
    <row r="45" spans="1:10" ht="15.75" x14ac:dyDescent="0.25">
      <c r="A45" s="22">
        <v>40</v>
      </c>
      <c r="B45" s="19">
        <v>209.5</v>
      </c>
      <c r="C45" s="22">
        <v>89</v>
      </c>
      <c r="D45" s="19">
        <v>203.7</v>
      </c>
      <c r="E45" s="22">
        <f t="shared" si="0"/>
        <v>138</v>
      </c>
      <c r="F45" s="19">
        <v>205.3</v>
      </c>
      <c r="G45" s="33">
        <v>187</v>
      </c>
      <c r="H45" s="19">
        <v>188.1</v>
      </c>
      <c r="I45" s="21"/>
      <c r="J45" s="36"/>
    </row>
    <row r="46" spans="1:10" ht="15.75" x14ac:dyDescent="0.25">
      <c r="A46" s="22">
        <v>41</v>
      </c>
      <c r="B46" s="19">
        <v>210.7</v>
      </c>
      <c r="C46" s="22">
        <v>90</v>
      </c>
      <c r="D46" s="19">
        <v>211.9</v>
      </c>
      <c r="E46" s="22">
        <f t="shared" si="0"/>
        <v>139</v>
      </c>
      <c r="F46" s="19">
        <v>199.2</v>
      </c>
      <c r="G46" s="33">
        <v>188</v>
      </c>
      <c r="H46" s="19">
        <v>162</v>
      </c>
      <c r="I46" s="20"/>
      <c r="J46" s="36"/>
    </row>
    <row r="47" spans="1:10" ht="15.75" x14ac:dyDescent="0.25">
      <c r="A47" s="22">
        <v>42</v>
      </c>
      <c r="B47" s="19">
        <v>207.1</v>
      </c>
      <c r="C47" s="22">
        <v>91</v>
      </c>
      <c r="D47" s="19">
        <v>210.6</v>
      </c>
      <c r="E47" s="22">
        <f t="shared" si="0"/>
        <v>140</v>
      </c>
      <c r="F47" s="19">
        <v>208.4</v>
      </c>
      <c r="G47" s="33">
        <v>189</v>
      </c>
      <c r="H47" s="19">
        <v>178.1</v>
      </c>
      <c r="I47" s="20"/>
      <c r="J47" s="36"/>
    </row>
    <row r="48" spans="1:10" ht="15.75" x14ac:dyDescent="0.25">
      <c r="A48" s="22">
        <v>43</v>
      </c>
      <c r="B48" s="19">
        <v>199.4</v>
      </c>
      <c r="C48" s="22">
        <v>92</v>
      </c>
      <c r="D48" s="19">
        <v>208</v>
      </c>
      <c r="E48" s="22">
        <f t="shared" si="0"/>
        <v>141</v>
      </c>
      <c r="F48" s="19">
        <v>210.8</v>
      </c>
      <c r="G48" s="33">
        <v>190</v>
      </c>
      <c r="H48" s="19">
        <v>168.2</v>
      </c>
      <c r="I48" s="21"/>
      <c r="J48" s="36"/>
    </row>
    <row r="49" spans="1:10" ht="15.75" x14ac:dyDescent="0.25">
      <c r="A49" s="22">
        <v>44</v>
      </c>
      <c r="B49" s="19">
        <v>204.1</v>
      </c>
      <c r="C49" s="22">
        <v>93</v>
      </c>
      <c r="D49" s="19">
        <v>206.8</v>
      </c>
      <c r="E49" s="22">
        <f t="shared" si="0"/>
        <v>142</v>
      </c>
      <c r="F49" s="19">
        <v>212.3</v>
      </c>
      <c r="G49" s="33">
        <v>191</v>
      </c>
      <c r="H49" s="19">
        <v>178.3</v>
      </c>
      <c r="I49" s="21"/>
      <c r="J49" s="36"/>
    </row>
    <row r="50" spans="1:10" ht="15.75" x14ac:dyDescent="0.25">
      <c r="A50" s="22">
        <v>45</v>
      </c>
      <c r="B50" s="19">
        <v>204.7</v>
      </c>
      <c r="C50" s="22">
        <v>94</v>
      </c>
      <c r="D50" s="19">
        <v>215.9</v>
      </c>
      <c r="E50" s="22">
        <f t="shared" si="0"/>
        <v>143</v>
      </c>
      <c r="F50" s="19">
        <v>201.6</v>
      </c>
      <c r="G50" s="33">
        <v>192</v>
      </c>
      <c r="H50" s="19">
        <v>181.6</v>
      </c>
      <c r="I50" s="20"/>
      <c r="J50" s="36"/>
    </row>
    <row r="51" spans="1:10" ht="15.75" x14ac:dyDescent="0.25">
      <c r="A51" s="22">
        <v>46</v>
      </c>
      <c r="B51" s="19">
        <v>209.4</v>
      </c>
      <c r="C51" s="22">
        <v>95</v>
      </c>
      <c r="D51" s="19">
        <v>212.3</v>
      </c>
      <c r="E51" s="22">
        <f t="shared" si="0"/>
        <v>144</v>
      </c>
      <c r="F51" s="19">
        <v>204.7</v>
      </c>
      <c r="G51" s="33">
        <v>193</v>
      </c>
      <c r="H51" s="19">
        <v>164.1</v>
      </c>
      <c r="I51" s="20"/>
      <c r="J51" s="36"/>
    </row>
    <row r="52" spans="1:10" ht="15.75" x14ac:dyDescent="0.25">
      <c r="A52" s="22">
        <v>47</v>
      </c>
      <c r="B52" s="19">
        <v>211.3</v>
      </c>
      <c r="C52" s="22">
        <v>96</v>
      </c>
      <c r="D52" s="19">
        <v>202.1</v>
      </c>
      <c r="E52" s="22">
        <f t="shared" si="0"/>
        <v>145</v>
      </c>
      <c r="F52" s="19">
        <v>210.3</v>
      </c>
      <c r="G52" s="33">
        <v>194</v>
      </c>
      <c r="H52" s="19">
        <v>181.6</v>
      </c>
      <c r="I52" s="21"/>
      <c r="J52" s="36"/>
    </row>
    <row r="53" spans="1:10" ht="15.75" x14ac:dyDescent="0.25">
      <c r="A53" s="22">
        <v>48</v>
      </c>
      <c r="B53" s="19">
        <v>211</v>
      </c>
      <c r="C53" s="22">
        <v>97</v>
      </c>
      <c r="D53" s="19">
        <v>204.6</v>
      </c>
      <c r="E53" s="22">
        <f t="shared" si="0"/>
        <v>146</v>
      </c>
      <c r="F53" s="19">
        <v>204.6</v>
      </c>
      <c r="G53" s="33">
        <v>195</v>
      </c>
      <c r="H53" s="19">
        <v>185.7</v>
      </c>
      <c r="I53" s="20"/>
      <c r="J53" s="36"/>
    </row>
    <row r="54" spans="1:10" ht="15.75" x14ac:dyDescent="0.25">
      <c r="A54" s="37">
        <v>49</v>
      </c>
      <c r="B54" s="19">
        <v>208.6</v>
      </c>
      <c r="C54" s="37">
        <v>98</v>
      </c>
      <c r="D54" s="19">
        <v>207.2</v>
      </c>
      <c r="E54" s="22">
        <f t="shared" si="0"/>
        <v>147</v>
      </c>
      <c r="F54" s="19">
        <v>196.2</v>
      </c>
      <c r="G54" s="38">
        <v>196</v>
      </c>
      <c r="H54" s="19">
        <v>178.8</v>
      </c>
      <c r="I54" s="39"/>
      <c r="J54" s="40"/>
    </row>
    <row r="55" spans="1:10" ht="15.75" x14ac:dyDescent="0.25">
      <c r="A55" s="41"/>
      <c r="B55" s="23">
        <f>SUM(B6:B54)</f>
        <v>10040.609999999997</v>
      </c>
      <c r="C55" s="23"/>
      <c r="D55" s="23">
        <f>SUM(D6:D54)</f>
        <v>10207.699999999999</v>
      </c>
      <c r="E55" s="23"/>
      <c r="F55" s="23">
        <f>SUM(F6:F54)</f>
        <v>10117.799999999997</v>
      </c>
      <c r="G55" s="23"/>
      <c r="H55" s="23">
        <f>SUM(H6:H54)</f>
        <v>9494.9000000000015</v>
      </c>
      <c r="I55" s="41"/>
      <c r="J55" s="41">
        <f>SUM(J6:J54)</f>
        <v>4538.5999999999995</v>
      </c>
    </row>
    <row r="56" spans="1:10" ht="15.75" x14ac:dyDescent="0.25">
      <c r="A56" s="42" t="s">
        <v>5</v>
      </c>
      <c r="B56" s="43">
        <f>COUNT(B6:B54,D6:D54,F6:F54,H6:H54,J6:J54)</f>
        <v>220</v>
      </c>
      <c r="C56" s="13" t="s">
        <v>6</v>
      </c>
      <c r="D56" s="44"/>
      <c r="E56" s="45">
        <f>B55+D55+F55+H55+J55</f>
        <v>44399.609999999993</v>
      </c>
      <c r="F56" s="24" t="s">
        <v>7</v>
      </c>
      <c r="G56" s="1">
        <f>B56*2.2</f>
        <v>484.00000000000006</v>
      </c>
      <c r="H56" s="13" t="s">
        <v>8</v>
      </c>
      <c r="I56" s="44"/>
      <c r="J56" s="45">
        <f>E56-G56</f>
        <v>43915.609999999993</v>
      </c>
    </row>
    <row r="57" spans="1:10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</row>
    <row r="59" spans="1:10" x14ac:dyDescent="0.25">
      <c r="F59" s="112" t="s">
        <v>61</v>
      </c>
      <c r="G59" s="112">
        <v>2.2000000000000002</v>
      </c>
    </row>
  </sheetData>
  <protectedRanges>
    <protectedRange password="CCE1" sqref="C6:C54 G6:G54 E6:E54 I6:I29" name="Диапазон1_3_1_7_2_1_1_1_1_1_1_1"/>
  </protectedRanges>
  <mergeCells count="2">
    <mergeCell ref="A1:J1"/>
    <mergeCell ref="I4:J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9"/>
  <sheetViews>
    <sheetView topLeftCell="L49" zoomScaleNormal="100" workbookViewId="0">
      <selection activeCell="J59" sqref="J59"/>
    </sheetView>
  </sheetViews>
  <sheetFormatPr defaultRowHeight="15" x14ac:dyDescent="0.25"/>
  <cols>
    <col min="11" max="11" width="2.7109375" customWidth="1"/>
    <col min="22" max="22" width="1.85546875" customWidth="1"/>
  </cols>
  <sheetData>
    <row r="1" spans="1:32" ht="18.75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L1" s="204" t="s">
        <v>0</v>
      </c>
      <c r="M1" s="204"/>
      <c r="N1" s="204"/>
      <c r="O1" s="204"/>
      <c r="P1" s="204"/>
      <c r="Q1" s="204"/>
      <c r="R1" s="204"/>
      <c r="S1" s="204"/>
      <c r="T1" s="204"/>
      <c r="U1" s="204"/>
      <c r="W1" s="204" t="s">
        <v>0</v>
      </c>
      <c r="X1" s="204"/>
      <c r="Y1" s="204"/>
      <c r="Z1" s="204"/>
      <c r="AA1" s="204"/>
      <c r="AB1" s="204"/>
      <c r="AC1" s="204"/>
      <c r="AD1" s="204"/>
      <c r="AE1" s="204"/>
      <c r="AF1" s="204"/>
    </row>
    <row r="2" spans="1:32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  <c r="L2" s="13" t="s">
        <v>1</v>
      </c>
      <c r="M2" s="13"/>
      <c r="N2" s="13"/>
      <c r="O2" s="13"/>
      <c r="P2" s="13"/>
      <c r="Q2" s="13"/>
      <c r="R2" s="27"/>
      <c r="S2" s="13"/>
      <c r="T2" s="13"/>
      <c r="U2" s="13"/>
      <c r="W2" s="13" t="s">
        <v>1</v>
      </c>
      <c r="X2" s="13"/>
      <c r="Y2" s="13"/>
      <c r="Z2" s="13"/>
      <c r="AA2" s="13"/>
      <c r="AB2" s="13"/>
      <c r="AC2" s="27"/>
      <c r="AD2" s="13"/>
      <c r="AE2" s="13"/>
      <c r="AF2" s="13"/>
    </row>
    <row r="3" spans="1:32" ht="15.75" x14ac:dyDescent="0.25">
      <c r="A3" s="25" t="s">
        <v>2</v>
      </c>
      <c r="B3" s="27">
        <v>233</v>
      </c>
      <c r="C3" s="14"/>
      <c r="D3" s="15"/>
      <c r="E3" s="16"/>
      <c r="F3" s="16"/>
      <c r="G3" s="16"/>
      <c r="H3" s="16"/>
      <c r="I3" s="16" t="s">
        <v>33</v>
      </c>
      <c r="J3" s="16"/>
      <c r="L3" s="25" t="s">
        <v>2</v>
      </c>
      <c r="M3" s="27">
        <v>233</v>
      </c>
      <c r="N3" s="14"/>
      <c r="O3" s="15"/>
      <c r="P3" s="16"/>
      <c r="Q3" s="16"/>
      <c r="R3" s="16"/>
      <c r="S3" s="16"/>
      <c r="T3" s="16" t="s">
        <v>33</v>
      </c>
      <c r="U3" s="16"/>
      <c r="W3" s="25" t="s">
        <v>2</v>
      </c>
      <c r="X3" s="27">
        <v>233</v>
      </c>
      <c r="Y3" s="14"/>
      <c r="Z3" s="15"/>
      <c r="AA3" s="16"/>
      <c r="AB3" s="16"/>
      <c r="AC3" s="16"/>
      <c r="AD3" s="16"/>
      <c r="AE3" s="16" t="s">
        <v>33</v>
      </c>
      <c r="AF3" s="16"/>
    </row>
    <row r="4" spans="1:32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  <c r="L4" s="17"/>
      <c r="M4" s="17"/>
      <c r="N4" s="17"/>
      <c r="O4" s="17"/>
      <c r="P4" s="17"/>
      <c r="Q4" s="17"/>
      <c r="R4" s="17"/>
      <c r="S4" s="28"/>
      <c r="T4" s="205" t="s">
        <v>48</v>
      </c>
      <c r="U4" s="206"/>
      <c r="W4" s="17"/>
      <c r="X4" s="17"/>
      <c r="Y4" s="17"/>
      <c r="Z4" s="17"/>
      <c r="AA4" s="17"/>
      <c r="AB4" s="17"/>
      <c r="AC4" s="17"/>
      <c r="AD4" s="28"/>
      <c r="AE4" s="205" t="s">
        <v>50</v>
      </c>
      <c r="AF4" s="206"/>
    </row>
    <row r="5" spans="1:32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  <c r="L5" s="29" t="s">
        <v>3</v>
      </c>
      <c r="M5" s="18" t="s">
        <v>4</v>
      </c>
      <c r="N5" s="29" t="s">
        <v>3</v>
      </c>
      <c r="O5" s="18" t="s">
        <v>4</v>
      </c>
      <c r="P5" s="29" t="s">
        <v>3</v>
      </c>
      <c r="Q5" s="18" t="s">
        <v>4</v>
      </c>
      <c r="R5" s="29" t="s">
        <v>3</v>
      </c>
      <c r="S5" s="30" t="s">
        <v>4</v>
      </c>
      <c r="T5" s="31" t="s">
        <v>3</v>
      </c>
      <c r="U5" s="32" t="s">
        <v>4</v>
      </c>
      <c r="W5" s="29" t="s">
        <v>3</v>
      </c>
      <c r="X5" s="18" t="s">
        <v>4</v>
      </c>
      <c r="Y5" s="29" t="s">
        <v>3</v>
      </c>
      <c r="Z5" s="18" t="s">
        <v>4</v>
      </c>
      <c r="AA5" s="29" t="s">
        <v>3</v>
      </c>
      <c r="AB5" s="18" t="s">
        <v>4</v>
      </c>
      <c r="AC5" s="29" t="s">
        <v>3</v>
      </c>
      <c r="AD5" s="30" t="s">
        <v>4</v>
      </c>
      <c r="AE5" s="31" t="s">
        <v>3</v>
      </c>
      <c r="AF5" s="32" t="s">
        <v>4</v>
      </c>
    </row>
    <row r="6" spans="1:32" ht="15.75" x14ac:dyDescent="0.25">
      <c r="A6" s="22">
        <v>1</v>
      </c>
      <c r="B6" s="19">
        <v>208.5</v>
      </c>
      <c r="C6" s="22">
        <v>50</v>
      </c>
      <c r="D6" s="19">
        <v>209</v>
      </c>
      <c r="E6" s="22">
        <v>99</v>
      </c>
      <c r="F6" s="19">
        <v>203.5</v>
      </c>
      <c r="G6" s="33">
        <v>148</v>
      </c>
      <c r="H6" s="19">
        <v>206.6</v>
      </c>
      <c r="I6" s="34">
        <v>197</v>
      </c>
      <c r="J6" s="19">
        <v>205.8</v>
      </c>
      <c r="L6" s="22">
        <v>1</v>
      </c>
      <c r="M6" s="19"/>
      <c r="N6" s="22">
        <v>50</v>
      </c>
      <c r="O6" s="19">
        <v>209</v>
      </c>
      <c r="P6" s="22">
        <v>99</v>
      </c>
      <c r="Q6" s="19">
        <v>203.5</v>
      </c>
      <c r="R6" s="33">
        <v>148</v>
      </c>
      <c r="S6" s="19">
        <v>206.6</v>
      </c>
      <c r="T6" s="34">
        <v>197</v>
      </c>
      <c r="U6" s="19"/>
      <c r="W6" s="22">
        <v>1</v>
      </c>
      <c r="X6" s="19">
        <v>208.5</v>
      </c>
      <c r="Y6" s="22">
        <v>50</v>
      </c>
      <c r="Z6" s="19"/>
      <c r="AA6" s="22">
        <v>99</v>
      </c>
      <c r="AB6" s="19"/>
      <c r="AC6" s="33">
        <v>148</v>
      </c>
      <c r="AD6" s="19"/>
      <c r="AE6" s="34">
        <v>197</v>
      </c>
      <c r="AF6" s="19">
        <v>205.8</v>
      </c>
    </row>
    <row r="7" spans="1:32" ht="15.75" x14ac:dyDescent="0.25">
      <c r="A7" s="22">
        <v>2</v>
      </c>
      <c r="B7" s="19">
        <v>206.9</v>
      </c>
      <c r="C7" s="22">
        <v>51</v>
      </c>
      <c r="D7" s="19">
        <v>207.3</v>
      </c>
      <c r="E7" s="22">
        <v>100</v>
      </c>
      <c r="F7" s="19">
        <v>206.6</v>
      </c>
      <c r="G7" s="33">
        <v>149</v>
      </c>
      <c r="H7" s="19">
        <v>201.7</v>
      </c>
      <c r="I7" s="33">
        <v>198</v>
      </c>
      <c r="J7" s="19">
        <v>199.7</v>
      </c>
      <c r="L7" s="22">
        <v>2</v>
      </c>
      <c r="M7" s="19"/>
      <c r="N7" s="22">
        <v>51</v>
      </c>
      <c r="O7" s="19">
        <v>207.3</v>
      </c>
      <c r="P7" s="22">
        <v>100</v>
      </c>
      <c r="Q7" s="19">
        <v>206.6</v>
      </c>
      <c r="R7" s="33">
        <v>149</v>
      </c>
      <c r="S7" s="19">
        <v>201.7</v>
      </c>
      <c r="T7" s="33">
        <v>198</v>
      </c>
      <c r="U7" s="19"/>
      <c r="W7" s="22">
        <v>2</v>
      </c>
      <c r="X7" s="19">
        <v>206.9</v>
      </c>
      <c r="Y7" s="22">
        <v>51</v>
      </c>
      <c r="Z7" s="19"/>
      <c r="AA7" s="22">
        <v>100</v>
      </c>
      <c r="AB7" s="19"/>
      <c r="AC7" s="33">
        <v>149</v>
      </c>
      <c r="AD7" s="19"/>
      <c r="AE7" s="33">
        <v>198</v>
      </c>
      <c r="AF7" s="19">
        <v>199.7</v>
      </c>
    </row>
    <row r="8" spans="1:32" ht="15.75" x14ac:dyDescent="0.25">
      <c r="A8" s="22">
        <v>3</v>
      </c>
      <c r="B8" s="19">
        <v>212.1</v>
      </c>
      <c r="C8" s="22">
        <v>52</v>
      </c>
      <c r="D8" s="19">
        <v>214.8</v>
      </c>
      <c r="E8" s="22">
        <f t="shared" ref="E8:E54" si="0">+E7+1</f>
        <v>101</v>
      </c>
      <c r="F8" s="19">
        <v>207.2</v>
      </c>
      <c r="G8" s="33">
        <v>150</v>
      </c>
      <c r="H8" s="19">
        <v>206.3</v>
      </c>
      <c r="I8" s="33">
        <v>199</v>
      </c>
      <c r="J8" s="19">
        <v>201.5</v>
      </c>
      <c r="L8" s="22">
        <v>3</v>
      </c>
      <c r="M8" s="19"/>
      <c r="N8" s="22">
        <v>52</v>
      </c>
      <c r="O8" s="19">
        <v>214.8</v>
      </c>
      <c r="P8" s="22">
        <f t="shared" ref="P8:P54" si="1">+P7+1</f>
        <v>101</v>
      </c>
      <c r="Q8" s="19">
        <v>207.2</v>
      </c>
      <c r="R8" s="33">
        <v>150</v>
      </c>
      <c r="S8" s="19">
        <v>206.3</v>
      </c>
      <c r="T8" s="33">
        <v>199</v>
      </c>
      <c r="U8" s="19"/>
      <c r="W8" s="22">
        <v>3</v>
      </c>
      <c r="X8" s="19">
        <v>212.1</v>
      </c>
      <c r="Y8" s="22">
        <v>52</v>
      </c>
      <c r="Z8" s="19"/>
      <c r="AA8" s="22">
        <f t="shared" ref="AA8:AA54" si="2">+AA7+1</f>
        <v>101</v>
      </c>
      <c r="AB8" s="19"/>
      <c r="AC8" s="33">
        <v>150</v>
      </c>
      <c r="AD8" s="19"/>
      <c r="AE8" s="33">
        <v>199</v>
      </c>
      <c r="AF8" s="19">
        <v>201.5</v>
      </c>
    </row>
    <row r="9" spans="1:32" ht="15.75" x14ac:dyDescent="0.25">
      <c r="A9" s="22">
        <v>4</v>
      </c>
      <c r="B9" s="19">
        <v>209.4</v>
      </c>
      <c r="C9" s="22">
        <v>53</v>
      </c>
      <c r="D9" s="19">
        <v>214.5</v>
      </c>
      <c r="E9" s="22">
        <f t="shared" si="0"/>
        <v>102</v>
      </c>
      <c r="F9" s="19">
        <v>211.3</v>
      </c>
      <c r="G9" s="33">
        <v>151</v>
      </c>
      <c r="H9" s="19">
        <v>204.3</v>
      </c>
      <c r="I9" s="33">
        <v>200</v>
      </c>
      <c r="J9" s="19">
        <v>204.9</v>
      </c>
      <c r="L9" s="22">
        <v>4</v>
      </c>
      <c r="M9" s="19"/>
      <c r="N9" s="22">
        <v>53</v>
      </c>
      <c r="O9" s="19">
        <v>214.5</v>
      </c>
      <c r="P9" s="22">
        <f t="shared" si="1"/>
        <v>102</v>
      </c>
      <c r="Q9" s="19">
        <v>211.3</v>
      </c>
      <c r="R9" s="33">
        <v>151</v>
      </c>
      <c r="S9" s="19">
        <v>204.3</v>
      </c>
      <c r="T9" s="33">
        <v>200</v>
      </c>
      <c r="U9" s="19"/>
      <c r="W9" s="22">
        <v>4</v>
      </c>
      <c r="X9" s="19">
        <v>209.4</v>
      </c>
      <c r="Y9" s="22">
        <v>53</v>
      </c>
      <c r="Z9" s="19"/>
      <c r="AA9" s="22">
        <f t="shared" si="2"/>
        <v>102</v>
      </c>
      <c r="AB9" s="19"/>
      <c r="AC9" s="33">
        <v>151</v>
      </c>
      <c r="AD9" s="19"/>
      <c r="AE9" s="33">
        <v>200</v>
      </c>
      <c r="AF9" s="19">
        <v>204.9</v>
      </c>
    </row>
    <row r="10" spans="1:32" ht="15.75" x14ac:dyDescent="0.25">
      <c r="A10" s="22">
        <v>5</v>
      </c>
      <c r="B10" s="19">
        <v>212.5</v>
      </c>
      <c r="C10" s="22">
        <v>54</v>
      </c>
      <c r="D10" s="19">
        <v>212.4</v>
      </c>
      <c r="E10" s="22">
        <f t="shared" si="0"/>
        <v>103</v>
      </c>
      <c r="F10" s="19">
        <v>209.1</v>
      </c>
      <c r="G10" s="33">
        <v>152</v>
      </c>
      <c r="H10" s="19">
        <v>200.4</v>
      </c>
      <c r="I10" s="33">
        <v>201</v>
      </c>
      <c r="J10" s="19">
        <v>200</v>
      </c>
      <c r="L10" s="22">
        <v>5</v>
      </c>
      <c r="M10" s="19"/>
      <c r="N10" s="22">
        <v>54</v>
      </c>
      <c r="O10" s="19">
        <v>212.4</v>
      </c>
      <c r="P10" s="22">
        <f t="shared" si="1"/>
        <v>103</v>
      </c>
      <c r="Q10" s="19">
        <v>209.1</v>
      </c>
      <c r="R10" s="33">
        <v>152</v>
      </c>
      <c r="S10" s="19">
        <v>200.4</v>
      </c>
      <c r="T10" s="33">
        <v>201</v>
      </c>
      <c r="U10" s="19"/>
      <c r="W10" s="22">
        <v>5</v>
      </c>
      <c r="X10" s="19">
        <v>212.5</v>
      </c>
      <c r="Y10" s="22">
        <v>54</v>
      </c>
      <c r="Z10" s="19"/>
      <c r="AA10" s="22">
        <f t="shared" si="2"/>
        <v>103</v>
      </c>
      <c r="AB10" s="19"/>
      <c r="AC10" s="33">
        <v>152</v>
      </c>
      <c r="AD10" s="19"/>
      <c r="AE10" s="33">
        <v>201</v>
      </c>
      <c r="AF10" s="19">
        <v>200</v>
      </c>
    </row>
    <row r="11" spans="1:32" ht="15.75" x14ac:dyDescent="0.25">
      <c r="A11" s="22">
        <v>6</v>
      </c>
      <c r="B11" s="19">
        <v>209.5</v>
      </c>
      <c r="C11" s="22">
        <v>55</v>
      </c>
      <c r="D11" s="19">
        <v>207.5</v>
      </c>
      <c r="E11" s="22">
        <f t="shared" si="0"/>
        <v>104</v>
      </c>
      <c r="F11" s="19">
        <v>203.5</v>
      </c>
      <c r="G11" s="33">
        <v>153</v>
      </c>
      <c r="H11" s="19">
        <v>200.3</v>
      </c>
      <c r="I11" s="33">
        <v>202</v>
      </c>
      <c r="J11" s="19">
        <v>198.5</v>
      </c>
      <c r="L11" s="22">
        <v>6</v>
      </c>
      <c r="M11" s="19"/>
      <c r="N11" s="22">
        <v>55</v>
      </c>
      <c r="O11" s="19">
        <v>207.5</v>
      </c>
      <c r="P11" s="22">
        <f t="shared" si="1"/>
        <v>104</v>
      </c>
      <c r="Q11" s="19">
        <v>203.5</v>
      </c>
      <c r="R11" s="33">
        <v>153</v>
      </c>
      <c r="S11" s="19">
        <v>200.3</v>
      </c>
      <c r="T11" s="33">
        <v>202</v>
      </c>
      <c r="U11" s="19"/>
      <c r="W11" s="22">
        <v>6</v>
      </c>
      <c r="X11" s="19">
        <v>209.5</v>
      </c>
      <c r="Y11" s="22">
        <v>55</v>
      </c>
      <c r="Z11" s="19"/>
      <c r="AA11" s="22">
        <f t="shared" si="2"/>
        <v>104</v>
      </c>
      <c r="AB11" s="19"/>
      <c r="AC11" s="33">
        <v>153</v>
      </c>
      <c r="AD11" s="19"/>
      <c r="AE11" s="33">
        <v>202</v>
      </c>
      <c r="AF11" s="19">
        <v>198.5</v>
      </c>
    </row>
    <row r="12" spans="1:32" ht="15.75" x14ac:dyDescent="0.25">
      <c r="A12" s="22">
        <v>7</v>
      </c>
      <c r="B12" s="19">
        <v>205.6</v>
      </c>
      <c r="C12" s="22">
        <v>56</v>
      </c>
      <c r="D12" s="19">
        <v>202.1</v>
      </c>
      <c r="E12" s="22">
        <f t="shared" si="0"/>
        <v>105</v>
      </c>
      <c r="F12" s="19">
        <v>212.4</v>
      </c>
      <c r="G12" s="33">
        <v>154</v>
      </c>
      <c r="H12" s="19">
        <v>204.7</v>
      </c>
      <c r="I12" s="33">
        <v>203</v>
      </c>
      <c r="J12" s="19">
        <v>203.9</v>
      </c>
      <c r="L12" s="22">
        <v>7</v>
      </c>
      <c r="M12" s="19"/>
      <c r="N12" s="22">
        <v>56</v>
      </c>
      <c r="O12" s="19">
        <v>202.1</v>
      </c>
      <c r="P12" s="22">
        <f t="shared" si="1"/>
        <v>105</v>
      </c>
      <c r="Q12" s="19">
        <v>212.4</v>
      </c>
      <c r="R12" s="33">
        <v>154</v>
      </c>
      <c r="S12" s="19">
        <v>204.7</v>
      </c>
      <c r="T12" s="33">
        <v>203</v>
      </c>
      <c r="U12" s="19"/>
      <c r="W12" s="22">
        <v>7</v>
      </c>
      <c r="X12" s="19">
        <v>205.6</v>
      </c>
      <c r="Y12" s="22">
        <v>56</v>
      </c>
      <c r="Z12" s="19"/>
      <c r="AA12" s="22">
        <f t="shared" si="2"/>
        <v>105</v>
      </c>
      <c r="AB12" s="19"/>
      <c r="AC12" s="33">
        <v>154</v>
      </c>
      <c r="AD12" s="19"/>
      <c r="AE12" s="33">
        <v>203</v>
      </c>
      <c r="AF12" s="19">
        <v>203.9</v>
      </c>
    </row>
    <row r="13" spans="1:32" ht="15.75" x14ac:dyDescent="0.25">
      <c r="A13" s="22">
        <v>8</v>
      </c>
      <c r="B13" s="19">
        <v>207.6</v>
      </c>
      <c r="C13" s="22">
        <v>57</v>
      </c>
      <c r="D13" s="19">
        <v>202.1</v>
      </c>
      <c r="E13" s="22">
        <f t="shared" si="0"/>
        <v>106</v>
      </c>
      <c r="F13" s="19">
        <v>208.5</v>
      </c>
      <c r="G13" s="33">
        <v>155</v>
      </c>
      <c r="H13" s="19">
        <v>204.2</v>
      </c>
      <c r="I13" s="33">
        <v>204</v>
      </c>
      <c r="J13" s="19">
        <v>201.4</v>
      </c>
      <c r="L13" s="22">
        <v>8</v>
      </c>
      <c r="M13" s="19"/>
      <c r="N13" s="22">
        <v>57</v>
      </c>
      <c r="O13" s="19">
        <v>202.1</v>
      </c>
      <c r="P13" s="22">
        <f t="shared" si="1"/>
        <v>106</v>
      </c>
      <c r="Q13" s="19">
        <v>208.5</v>
      </c>
      <c r="R13" s="33">
        <v>155</v>
      </c>
      <c r="S13" s="19">
        <v>204.2</v>
      </c>
      <c r="T13" s="33">
        <v>204</v>
      </c>
      <c r="U13" s="19"/>
      <c r="W13" s="22">
        <v>8</v>
      </c>
      <c r="X13" s="19">
        <v>207.6</v>
      </c>
      <c r="Y13" s="22">
        <v>57</v>
      </c>
      <c r="Z13" s="19"/>
      <c r="AA13" s="22">
        <f t="shared" si="2"/>
        <v>106</v>
      </c>
      <c r="AB13" s="19"/>
      <c r="AC13" s="33">
        <v>155</v>
      </c>
      <c r="AD13" s="19"/>
      <c r="AE13" s="33">
        <v>204</v>
      </c>
      <c r="AF13" s="19">
        <v>201.4</v>
      </c>
    </row>
    <row r="14" spans="1:32" ht="15.75" x14ac:dyDescent="0.25">
      <c r="A14" s="22">
        <v>9</v>
      </c>
      <c r="B14" s="19">
        <v>204.1</v>
      </c>
      <c r="C14" s="22">
        <v>58</v>
      </c>
      <c r="D14" s="19">
        <v>202.7</v>
      </c>
      <c r="E14" s="22">
        <f t="shared" si="0"/>
        <v>107</v>
      </c>
      <c r="F14" s="19">
        <v>199.3</v>
      </c>
      <c r="G14" s="33">
        <v>156</v>
      </c>
      <c r="H14" s="19">
        <v>198.8</v>
      </c>
      <c r="I14" s="33">
        <v>205</v>
      </c>
      <c r="J14" s="19">
        <v>198.9</v>
      </c>
      <c r="L14" s="22">
        <v>9</v>
      </c>
      <c r="M14" s="19"/>
      <c r="N14" s="22">
        <v>58</v>
      </c>
      <c r="O14" s="19">
        <v>202.7</v>
      </c>
      <c r="P14" s="22">
        <f t="shared" si="1"/>
        <v>107</v>
      </c>
      <c r="Q14" s="19">
        <v>199.3</v>
      </c>
      <c r="R14" s="33">
        <v>156</v>
      </c>
      <c r="S14" s="19">
        <v>198.8</v>
      </c>
      <c r="T14" s="33">
        <v>205</v>
      </c>
      <c r="U14" s="19"/>
      <c r="W14" s="22">
        <v>9</v>
      </c>
      <c r="X14" s="19">
        <v>204.1</v>
      </c>
      <c r="Y14" s="22">
        <v>58</v>
      </c>
      <c r="Z14" s="19"/>
      <c r="AA14" s="22">
        <f t="shared" si="2"/>
        <v>107</v>
      </c>
      <c r="AB14" s="19"/>
      <c r="AC14" s="33">
        <v>156</v>
      </c>
      <c r="AD14" s="19"/>
      <c r="AE14" s="33">
        <v>205</v>
      </c>
      <c r="AF14" s="19">
        <v>198.9</v>
      </c>
    </row>
    <row r="15" spans="1:32" ht="15.75" x14ac:dyDescent="0.25">
      <c r="A15" s="22">
        <v>10</v>
      </c>
      <c r="B15" s="19">
        <v>206.5</v>
      </c>
      <c r="C15" s="22">
        <v>59</v>
      </c>
      <c r="D15" s="19">
        <v>195.8</v>
      </c>
      <c r="E15" s="22">
        <f t="shared" si="0"/>
        <v>108</v>
      </c>
      <c r="F15" s="19">
        <v>197.4</v>
      </c>
      <c r="G15" s="33">
        <v>157</v>
      </c>
      <c r="H15" s="19">
        <v>193.7</v>
      </c>
      <c r="I15" s="33">
        <v>206</v>
      </c>
      <c r="J15" s="19">
        <v>205.2</v>
      </c>
      <c r="L15" s="22">
        <v>10</v>
      </c>
      <c r="M15" s="19"/>
      <c r="N15" s="22">
        <v>59</v>
      </c>
      <c r="O15" s="19">
        <v>195.8</v>
      </c>
      <c r="P15" s="22">
        <f t="shared" si="1"/>
        <v>108</v>
      </c>
      <c r="Q15" s="19">
        <v>197.4</v>
      </c>
      <c r="R15" s="33">
        <v>157</v>
      </c>
      <c r="S15" s="19">
        <v>193.7</v>
      </c>
      <c r="T15" s="33">
        <v>206</v>
      </c>
      <c r="U15" s="19"/>
      <c r="W15" s="22">
        <v>10</v>
      </c>
      <c r="X15" s="19">
        <v>206.5</v>
      </c>
      <c r="Y15" s="22">
        <v>59</v>
      </c>
      <c r="Z15" s="19"/>
      <c r="AA15" s="22">
        <f t="shared" si="2"/>
        <v>108</v>
      </c>
      <c r="AB15" s="19"/>
      <c r="AC15" s="33">
        <v>157</v>
      </c>
      <c r="AD15" s="19"/>
      <c r="AE15" s="33">
        <v>206</v>
      </c>
      <c r="AF15" s="19">
        <v>205.2</v>
      </c>
    </row>
    <row r="16" spans="1:32" ht="15.75" x14ac:dyDescent="0.25">
      <c r="A16" s="22">
        <v>11</v>
      </c>
      <c r="B16" s="19">
        <v>211.6</v>
      </c>
      <c r="C16" s="22">
        <v>60</v>
      </c>
      <c r="D16" s="19">
        <v>214</v>
      </c>
      <c r="E16" s="22">
        <f t="shared" si="0"/>
        <v>109</v>
      </c>
      <c r="F16" s="19">
        <v>190.1</v>
      </c>
      <c r="G16" s="33">
        <v>158</v>
      </c>
      <c r="H16" s="19">
        <v>209.3</v>
      </c>
      <c r="I16" s="33">
        <v>207</v>
      </c>
      <c r="J16" s="19">
        <v>195.4</v>
      </c>
      <c r="L16" s="22">
        <v>11</v>
      </c>
      <c r="M16" s="19"/>
      <c r="N16" s="22">
        <v>60</v>
      </c>
      <c r="O16" s="19">
        <v>214</v>
      </c>
      <c r="P16" s="22">
        <f t="shared" si="1"/>
        <v>109</v>
      </c>
      <c r="Q16" s="19">
        <v>190.1</v>
      </c>
      <c r="R16" s="33">
        <v>158</v>
      </c>
      <c r="S16" s="19">
        <v>209.3</v>
      </c>
      <c r="T16" s="33">
        <v>207</v>
      </c>
      <c r="U16" s="19"/>
      <c r="W16" s="22">
        <v>11</v>
      </c>
      <c r="X16" s="19">
        <v>211.6</v>
      </c>
      <c r="Y16" s="22">
        <v>60</v>
      </c>
      <c r="Z16" s="19"/>
      <c r="AA16" s="22">
        <f t="shared" si="2"/>
        <v>109</v>
      </c>
      <c r="AB16" s="19"/>
      <c r="AC16" s="33">
        <v>158</v>
      </c>
      <c r="AD16" s="19"/>
      <c r="AE16" s="33">
        <v>207</v>
      </c>
      <c r="AF16" s="19">
        <v>195.4</v>
      </c>
    </row>
    <row r="17" spans="1:32" ht="15.75" x14ac:dyDescent="0.25">
      <c r="A17" s="22">
        <v>12</v>
      </c>
      <c r="B17" s="19">
        <v>204.4</v>
      </c>
      <c r="C17" s="22">
        <v>61</v>
      </c>
      <c r="D17" s="19">
        <v>208.7</v>
      </c>
      <c r="E17" s="22">
        <f t="shared" si="0"/>
        <v>110</v>
      </c>
      <c r="F17" s="19">
        <v>205.6</v>
      </c>
      <c r="G17" s="33">
        <v>159</v>
      </c>
      <c r="H17" s="19">
        <v>196.5</v>
      </c>
      <c r="I17" s="33">
        <v>208</v>
      </c>
      <c r="J17" s="19">
        <v>197.3</v>
      </c>
      <c r="L17" s="22">
        <v>12</v>
      </c>
      <c r="M17" s="19"/>
      <c r="N17" s="22">
        <v>61</v>
      </c>
      <c r="O17" s="19">
        <v>208.7</v>
      </c>
      <c r="P17" s="22">
        <f t="shared" si="1"/>
        <v>110</v>
      </c>
      <c r="Q17" s="19">
        <v>205.6</v>
      </c>
      <c r="R17" s="33">
        <v>159</v>
      </c>
      <c r="S17" s="19">
        <v>196.5</v>
      </c>
      <c r="T17" s="33">
        <v>208</v>
      </c>
      <c r="U17" s="19"/>
      <c r="W17" s="22">
        <v>12</v>
      </c>
      <c r="X17" s="19">
        <v>204.4</v>
      </c>
      <c r="Y17" s="22">
        <v>61</v>
      </c>
      <c r="Z17" s="19"/>
      <c r="AA17" s="22">
        <f t="shared" si="2"/>
        <v>110</v>
      </c>
      <c r="AB17" s="19"/>
      <c r="AC17" s="33">
        <v>159</v>
      </c>
      <c r="AD17" s="19"/>
      <c r="AE17" s="33">
        <v>208</v>
      </c>
      <c r="AF17" s="19">
        <v>197.3</v>
      </c>
    </row>
    <row r="18" spans="1:32" ht="15.75" x14ac:dyDescent="0.25">
      <c r="A18" s="22">
        <v>13</v>
      </c>
      <c r="B18" s="19">
        <v>205.1</v>
      </c>
      <c r="C18" s="22">
        <v>62</v>
      </c>
      <c r="D18" s="19">
        <v>211.8</v>
      </c>
      <c r="E18" s="22">
        <f t="shared" si="0"/>
        <v>111</v>
      </c>
      <c r="F18" s="19">
        <v>209.6</v>
      </c>
      <c r="G18" s="33">
        <v>160</v>
      </c>
      <c r="H18" s="19">
        <v>204.6</v>
      </c>
      <c r="I18" s="33">
        <v>209</v>
      </c>
      <c r="J18" s="19">
        <v>192.5</v>
      </c>
      <c r="L18" s="22">
        <v>13</v>
      </c>
      <c r="M18" s="19"/>
      <c r="N18" s="22">
        <v>62</v>
      </c>
      <c r="O18" s="19">
        <v>211.8</v>
      </c>
      <c r="P18" s="22">
        <f t="shared" si="1"/>
        <v>111</v>
      </c>
      <c r="Q18" s="19">
        <v>209.6</v>
      </c>
      <c r="R18" s="33">
        <v>160</v>
      </c>
      <c r="S18" s="19">
        <v>204.6</v>
      </c>
      <c r="T18" s="33">
        <v>209</v>
      </c>
      <c r="U18" s="19"/>
      <c r="W18" s="22">
        <v>13</v>
      </c>
      <c r="X18" s="19">
        <v>205.1</v>
      </c>
      <c r="Y18" s="22">
        <v>62</v>
      </c>
      <c r="Z18" s="19"/>
      <c r="AA18" s="22">
        <f t="shared" si="2"/>
        <v>111</v>
      </c>
      <c r="AB18" s="19"/>
      <c r="AC18" s="33">
        <v>160</v>
      </c>
      <c r="AD18" s="19"/>
      <c r="AE18" s="33">
        <v>209</v>
      </c>
      <c r="AF18" s="19">
        <v>192.5</v>
      </c>
    </row>
    <row r="19" spans="1:32" ht="15.75" x14ac:dyDescent="0.25">
      <c r="A19" s="22">
        <v>14</v>
      </c>
      <c r="B19" s="19">
        <v>210.8</v>
      </c>
      <c r="C19" s="22">
        <v>63</v>
      </c>
      <c r="D19" s="19">
        <v>209.4</v>
      </c>
      <c r="E19" s="22">
        <f t="shared" si="0"/>
        <v>112</v>
      </c>
      <c r="F19" s="19">
        <v>202.9</v>
      </c>
      <c r="G19" s="33">
        <v>161</v>
      </c>
      <c r="H19" s="19">
        <v>205.2</v>
      </c>
      <c r="I19" s="33">
        <v>210</v>
      </c>
      <c r="J19" s="19">
        <v>200.9</v>
      </c>
      <c r="L19" s="22">
        <v>14</v>
      </c>
      <c r="M19" s="19"/>
      <c r="N19" s="22">
        <v>63</v>
      </c>
      <c r="O19" s="19">
        <v>209.4</v>
      </c>
      <c r="P19" s="22">
        <f t="shared" si="1"/>
        <v>112</v>
      </c>
      <c r="Q19" s="19">
        <v>202.9</v>
      </c>
      <c r="R19" s="33">
        <v>161</v>
      </c>
      <c r="S19" s="19">
        <v>205.2</v>
      </c>
      <c r="T19" s="33">
        <v>210</v>
      </c>
      <c r="U19" s="19"/>
      <c r="W19" s="22">
        <v>14</v>
      </c>
      <c r="X19" s="19">
        <v>210.8</v>
      </c>
      <c r="Y19" s="22">
        <v>63</v>
      </c>
      <c r="Z19" s="19"/>
      <c r="AA19" s="22">
        <f t="shared" si="2"/>
        <v>112</v>
      </c>
      <c r="AB19" s="19"/>
      <c r="AC19" s="33">
        <v>161</v>
      </c>
      <c r="AD19" s="19"/>
      <c r="AE19" s="33">
        <v>210</v>
      </c>
      <c r="AF19" s="19">
        <v>200.9</v>
      </c>
    </row>
    <row r="20" spans="1:32" ht="15.75" x14ac:dyDescent="0.25">
      <c r="A20" s="22">
        <v>15</v>
      </c>
      <c r="B20" s="19">
        <v>206.1</v>
      </c>
      <c r="C20" s="22">
        <v>64</v>
      </c>
      <c r="D20" s="19">
        <v>206.9</v>
      </c>
      <c r="E20" s="22">
        <f t="shared" si="0"/>
        <v>113</v>
      </c>
      <c r="F20" s="19">
        <v>201.7</v>
      </c>
      <c r="G20" s="35">
        <v>162</v>
      </c>
      <c r="H20" s="19">
        <v>200.5</v>
      </c>
      <c r="I20" s="33">
        <v>211</v>
      </c>
      <c r="J20" s="19">
        <v>196.6</v>
      </c>
      <c r="L20" s="22">
        <v>15</v>
      </c>
      <c r="M20" s="19"/>
      <c r="N20" s="22">
        <v>64</v>
      </c>
      <c r="O20" s="19">
        <v>206.9</v>
      </c>
      <c r="P20" s="22">
        <f t="shared" si="1"/>
        <v>113</v>
      </c>
      <c r="Q20" s="19">
        <v>201.7</v>
      </c>
      <c r="R20" s="35">
        <v>162</v>
      </c>
      <c r="S20" s="19">
        <v>200.5</v>
      </c>
      <c r="T20" s="33">
        <v>211</v>
      </c>
      <c r="U20" s="19"/>
      <c r="W20" s="22">
        <v>15</v>
      </c>
      <c r="X20" s="19">
        <v>206.1</v>
      </c>
      <c r="Y20" s="22">
        <v>64</v>
      </c>
      <c r="Z20" s="19"/>
      <c r="AA20" s="22">
        <f t="shared" si="2"/>
        <v>113</v>
      </c>
      <c r="AB20" s="19"/>
      <c r="AC20" s="35">
        <v>162</v>
      </c>
      <c r="AD20" s="19"/>
      <c r="AE20" s="33">
        <v>211</v>
      </c>
      <c r="AF20" s="19">
        <v>196.6</v>
      </c>
    </row>
    <row r="21" spans="1:32" ht="15.75" x14ac:dyDescent="0.25">
      <c r="A21" s="22">
        <v>16</v>
      </c>
      <c r="B21" s="19">
        <v>204.5</v>
      </c>
      <c r="C21" s="22">
        <v>65</v>
      </c>
      <c r="D21" s="19">
        <v>206</v>
      </c>
      <c r="E21" s="22">
        <f t="shared" si="0"/>
        <v>114</v>
      </c>
      <c r="F21" s="19">
        <v>191.9</v>
      </c>
      <c r="G21" s="35">
        <v>163</v>
      </c>
      <c r="H21" s="19">
        <v>194.1</v>
      </c>
      <c r="I21" s="33">
        <v>212</v>
      </c>
      <c r="J21" s="19">
        <v>202.5</v>
      </c>
      <c r="L21" s="22">
        <v>16</v>
      </c>
      <c r="M21" s="19"/>
      <c r="N21" s="22">
        <v>65</v>
      </c>
      <c r="O21" s="19">
        <v>206</v>
      </c>
      <c r="P21" s="22">
        <f t="shared" si="1"/>
        <v>114</v>
      </c>
      <c r="Q21" s="19">
        <v>191.9</v>
      </c>
      <c r="R21" s="35">
        <v>163</v>
      </c>
      <c r="S21" s="19">
        <v>194.1</v>
      </c>
      <c r="T21" s="33">
        <v>212</v>
      </c>
      <c r="U21" s="19"/>
      <c r="W21" s="22">
        <v>16</v>
      </c>
      <c r="X21" s="19">
        <v>204.5</v>
      </c>
      <c r="Y21" s="22">
        <v>65</v>
      </c>
      <c r="Z21" s="19"/>
      <c r="AA21" s="22">
        <f t="shared" si="2"/>
        <v>114</v>
      </c>
      <c r="AB21" s="19"/>
      <c r="AC21" s="35">
        <v>163</v>
      </c>
      <c r="AD21" s="19"/>
      <c r="AE21" s="33">
        <v>212</v>
      </c>
      <c r="AF21" s="19">
        <v>202.5</v>
      </c>
    </row>
    <row r="22" spans="1:32" ht="15.75" x14ac:dyDescent="0.25">
      <c r="A22" s="22">
        <v>17</v>
      </c>
      <c r="B22" s="19">
        <v>204.1</v>
      </c>
      <c r="C22" s="22">
        <v>66</v>
      </c>
      <c r="D22" s="19">
        <v>204.7</v>
      </c>
      <c r="E22" s="22">
        <f t="shared" si="0"/>
        <v>115</v>
      </c>
      <c r="F22" s="19">
        <v>202.8</v>
      </c>
      <c r="G22" s="35">
        <v>164</v>
      </c>
      <c r="H22" s="19">
        <v>194.5</v>
      </c>
      <c r="I22" s="33">
        <v>213</v>
      </c>
      <c r="J22" s="19">
        <v>199.5</v>
      </c>
      <c r="L22" s="22">
        <v>17</v>
      </c>
      <c r="M22" s="19"/>
      <c r="N22" s="22">
        <v>66</v>
      </c>
      <c r="O22" s="19">
        <v>204.7</v>
      </c>
      <c r="P22" s="22">
        <f t="shared" si="1"/>
        <v>115</v>
      </c>
      <c r="Q22" s="19">
        <v>202.8</v>
      </c>
      <c r="R22" s="35">
        <v>164</v>
      </c>
      <c r="S22" s="19">
        <v>194.5</v>
      </c>
      <c r="T22" s="33">
        <v>213</v>
      </c>
      <c r="U22" s="19"/>
      <c r="W22" s="22">
        <v>17</v>
      </c>
      <c r="X22" s="19">
        <v>204.1</v>
      </c>
      <c r="Y22" s="22">
        <v>66</v>
      </c>
      <c r="Z22" s="19"/>
      <c r="AA22" s="22">
        <f t="shared" si="2"/>
        <v>115</v>
      </c>
      <c r="AB22" s="19"/>
      <c r="AC22" s="35">
        <v>164</v>
      </c>
      <c r="AD22" s="19"/>
      <c r="AE22" s="33">
        <v>213</v>
      </c>
      <c r="AF22" s="19">
        <v>199.5</v>
      </c>
    </row>
    <row r="23" spans="1:32" ht="15.75" x14ac:dyDescent="0.25">
      <c r="A23" s="22">
        <v>18</v>
      </c>
      <c r="B23" s="19">
        <v>200.9</v>
      </c>
      <c r="C23" s="22">
        <v>67</v>
      </c>
      <c r="D23" s="19">
        <v>195.5</v>
      </c>
      <c r="E23" s="22">
        <f t="shared" si="0"/>
        <v>116</v>
      </c>
      <c r="F23" s="19">
        <v>213.2</v>
      </c>
      <c r="G23" s="35">
        <v>165</v>
      </c>
      <c r="H23" s="19">
        <v>207.9</v>
      </c>
      <c r="I23" s="33">
        <v>214</v>
      </c>
      <c r="J23" s="19">
        <v>195.3</v>
      </c>
      <c r="L23" s="22">
        <v>18</v>
      </c>
      <c r="M23" s="19"/>
      <c r="N23" s="22">
        <v>67</v>
      </c>
      <c r="O23" s="19">
        <v>195.5</v>
      </c>
      <c r="P23" s="22">
        <f t="shared" si="1"/>
        <v>116</v>
      </c>
      <c r="Q23" s="19">
        <v>213.2</v>
      </c>
      <c r="R23" s="35">
        <v>165</v>
      </c>
      <c r="S23" s="19">
        <v>207.9</v>
      </c>
      <c r="T23" s="33">
        <v>214</v>
      </c>
      <c r="U23" s="19"/>
      <c r="W23" s="22">
        <v>18</v>
      </c>
      <c r="X23" s="19">
        <v>200.9</v>
      </c>
      <c r="Y23" s="22">
        <v>67</v>
      </c>
      <c r="Z23" s="19"/>
      <c r="AA23" s="22">
        <f t="shared" si="2"/>
        <v>116</v>
      </c>
      <c r="AB23" s="19"/>
      <c r="AC23" s="35">
        <v>165</v>
      </c>
      <c r="AD23" s="19"/>
      <c r="AE23" s="33">
        <v>214</v>
      </c>
      <c r="AF23" s="19">
        <v>195.3</v>
      </c>
    </row>
    <row r="24" spans="1:32" ht="15.75" x14ac:dyDescent="0.25">
      <c r="A24" s="22">
        <v>19</v>
      </c>
      <c r="B24" s="19">
        <v>207.2</v>
      </c>
      <c r="C24" s="22">
        <v>68</v>
      </c>
      <c r="D24" s="19">
        <v>196.7</v>
      </c>
      <c r="E24" s="22">
        <f t="shared" si="0"/>
        <v>117</v>
      </c>
      <c r="F24" s="19">
        <v>209.4</v>
      </c>
      <c r="G24" s="35">
        <v>166</v>
      </c>
      <c r="H24" s="19">
        <v>207.9</v>
      </c>
      <c r="I24" s="33">
        <v>215</v>
      </c>
      <c r="J24" s="19">
        <v>199.6</v>
      </c>
      <c r="L24" s="22">
        <v>19</v>
      </c>
      <c r="M24" s="19"/>
      <c r="N24" s="22">
        <v>68</v>
      </c>
      <c r="O24" s="19">
        <v>196.7</v>
      </c>
      <c r="P24" s="22">
        <f t="shared" si="1"/>
        <v>117</v>
      </c>
      <c r="Q24" s="19">
        <v>209.4</v>
      </c>
      <c r="R24" s="35">
        <v>166</v>
      </c>
      <c r="S24" s="19">
        <v>207.9</v>
      </c>
      <c r="T24" s="33">
        <v>215</v>
      </c>
      <c r="U24" s="19"/>
      <c r="W24" s="22">
        <v>19</v>
      </c>
      <c r="X24" s="19">
        <v>207.2</v>
      </c>
      <c r="Y24" s="22">
        <v>68</v>
      </c>
      <c r="Z24" s="19"/>
      <c r="AA24" s="22">
        <f t="shared" si="2"/>
        <v>117</v>
      </c>
      <c r="AB24" s="19"/>
      <c r="AC24" s="35">
        <v>166</v>
      </c>
      <c r="AD24" s="19"/>
      <c r="AE24" s="33">
        <v>215</v>
      </c>
      <c r="AF24" s="19">
        <v>199.6</v>
      </c>
    </row>
    <row r="25" spans="1:32" ht="15.75" x14ac:dyDescent="0.25">
      <c r="A25" s="22">
        <v>20</v>
      </c>
      <c r="B25" s="19">
        <v>209.8</v>
      </c>
      <c r="C25" s="22">
        <v>69</v>
      </c>
      <c r="D25" s="19">
        <v>204.7</v>
      </c>
      <c r="E25" s="22">
        <f t="shared" si="0"/>
        <v>118</v>
      </c>
      <c r="F25" s="19">
        <v>207</v>
      </c>
      <c r="G25" s="35">
        <v>167</v>
      </c>
      <c r="H25" s="19">
        <v>198.7</v>
      </c>
      <c r="I25" s="33">
        <v>216</v>
      </c>
      <c r="J25" s="19">
        <v>202.2</v>
      </c>
      <c r="L25" s="22">
        <v>20</v>
      </c>
      <c r="M25" s="19"/>
      <c r="N25" s="22">
        <v>69</v>
      </c>
      <c r="O25" s="19">
        <v>204.7</v>
      </c>
      <c r="P25" s="22">
        <f t="shared" si="1"/>
        <v>118</v>
      </c>
      <c r="Q25" s="19">
        <v>207</v>
      </c>
      <c r="R25" s="35">
        <v>167</v>
      </c>
      <c r="S25" s="19">
        <v>198.7</v>
      </c>
      <c r="T25" s="33">
        <v>216</v>
      </c>
      <c r="U25" s="19"/>
      <c r="W25" s="22">
        <v>20</v>
      </c>
      <c r="X25" s="19">
        <v>209.8</v>
      </c>
      <c r="Y25" s="22">
        <v>69</v>
      </c>
      <c r="Z25" s="19"/>
      <c r="AA25" s="22">
        <f t="shared" si="2"/>
        <v>118</v>
      </c>
      <c r="AB25" s="19"/>
      <c r="AC25" s="35">
        <v>167</v>
      </c>
      <c r="AD25" s="19"/>
      <c r="AE25" s="33">
        <v>216</v>
      </c>
      <c r="AF25" s="19">
        <v>202.2</v>
      </c>
    </row>
    <row r="26" spans="1:32" ht="15.75" x14ac:dyDescent="0.25">
      <c r="A26" s="22">
        <v>21</v>
      </c>
      <c r="B26" s="19">
        <v>202.8</v>
      </c>
      <c r="C26" s="22">
        <v>70</v>
      </c>
      <c r="D26" s="19">
        <v>205.6</v>
      </c>
      <c r="E26" s="22">
        <f t="shared" si="0"/>
        <v>119</v>
      </c>
      <c r="F26" s="19">
        <v>209.7</v>
      </c>
      <c r="G26" s="35">
        <v>168</v>
      </c>
      <c r="H26" s="19">
        <v>205.1</v>
      </c>
      <c r="I26" s="33">
        <v>217</v>
      </c>
      <c r="J26" s="19">
        <v>203.7</v>
      </c>
      <c r="L26" s="22">
        <v>21</v>
      </c>
      <c r="M26" s="19"/>
      <c r="N26" s="22">
        <v>70</v>
      </c>
      <c r="O26" s="19">
        <v>205.6</v>
      </c>
      <c r="P26" s="22">
        <f t="shared" si="1"/>
        <v>119</v>
      </c>
      <c r="Q26" s="19">
        <v>209.7</v>
      </c>
      <c r="R26" s="35">
        <v>168</v>
      </c>
      <c r="S26" s="19">
        <v>205.1</v>
      </c>
      <c r="T26" s="33">
        <v>217</v>
      </c>
      <c r="U26" s="19"/>
      <c r="W26" s="22">
        <v>21</v>
      </c>
      <c r="X26" s="19">
        <v>202.8</v>
      </c>
      <c r="Y26" s="22">
        <v>70</v>
      </c>
      <c r="Z26" s="19"/>
      <c r="AA26" s="22">
        <f t="shared" si="2"/>
        <v>119</v>
      </c>
      <c r="AB26" s="19"/>
      <c r="AC26" s="35">
        <v>168</v>
      </c>
      <c r="AD26" s="19"/>
      <c r="AE26" s="33">
        <v>217</v>
      </c>
      <c r="AF26" s="19">
        <v>203.7</v>
      </c>
    </row>
    <row r="27" spans="1:32" ht="15.75" x14ac:dyDescent="0.25">
      <c r="A27" s="22">
        <v>22</v>
      </c>
      <c r="B27" s="19">
        <v>211.1</v>
      </c>
      <c r="C27" s="22">
        <v>71</v>
      </c>
      <c r="D27" s="19">
        <v>201.1</v>
      </c>
      <c r="E27" s="22">
        <f t="shared" si="0"/>
        <v>120</v>
      </c>
      <c r="F27" s="19">
        <v>209.2</v>
      </c>
      <c r="G27" s="35">
        <v>169</v>
      </c>
      <c r="H27" s="19">
        <v>207.1</v>
      </c>
      <c r="I27" s="33">
        <v>218</v>
      </c>
      <c r="J27" s="19">
        <v>202.6</v>
      </c>
      <c r="L27" s="22">
        <v>22</v>
      </c>
      <c r="M27" s="19"/>
      <c r="N27" s="22">
        <v>71</v>
      </c>
      <c r="O27" s="19">
        <v>201.1</v>
      </c>
      <c r="P27" s="22">
        <f t="shared" si="1"/>
        <v>120</v>
      </c>
      <c r="Q27" s="19">
        <v>209.2</v>
      </c>
      <c r="R27" s="35">
        <v>169</v>
      </c>
      <c r="S27" s="19">
        <v>207.1</v>
      </c>
      <c r="T27" s="33">
        <v>218</v>
      </c>
      <c r="U27" s="19"/>
      <c r="W27" s="22">
        <v>22</v>
      </c>
      <c r="X27" s="19">
        <v>211.1</v>
      </c>
      <c r="Y27" s="22">
        <v>71</v>
      </c>
      <c r="Z27" s="19"/>
      <c r="AA27" s="22">
        <f t="shared" si="2"/>
        <v>120</v>
      </c>
      <c r="AB27" s="19"/>
      <c r="AC27" s="35">
        <v>169</v>
      </c>
      <c r="AD27" s="19"/>
      <c r="AE27" s="33">
        <v>218</v>
      </c>
      <c r="AF27" s="19">
        <v>202.6</v>
      </c>
    </row>
    <row r="28" spans="1:32" ht="15.75" x14ac:dyDescent="0.25">
      <c r="A28" s="22">
        <v>23</v>
      </c>
      <c r="B28" s="19">
        <v>205.7</v>
      </c>
      <c r="C28" s="22">
        <v>72</v>
      </c>
      <c r="D28" s="19">
        <v>210</v>
      </c>
      <c r="E28" s="22">
        <f t="shared" si="0"/>
        <v>121</v>
      </c>
      <c r="F28" s="19">
        <v>200.9</v>
      </c>
      <c r="G28" s="35">
        <v>170</v>
      </c>
      <c r="H28" s="19">
        <v>207.9</v>
      </c>
      <c r="I28" s="33">
        <v>219</v>
      </c>
      <c r="J28" s="19">
        <v>203.1</v>
      </c>
      <c r="L28" s="22">
        <v>23</v>
      </c>
      <c r="M28" s="19"/>
      <c r="N28" s="22">
        <v>72</v>
      </c>
      <c r="O28" s="19">
        <v>210</v>
      </c>
      <c r="P28" s="22">
        <f t="shared" si="1"/>
        <v>121</v>
      </c>
      <c r="Q28" s="19">
        <v>200.9</v>
      </c>
      <c r="R28" s="35">
        <v>170</v>
      </c>
      <c r="S28" s="19">
        <v>207.9</v>
      </c>
      <c r="T28" s="33">
        <v>219</v>
      </c>
      <c r="U28" s="19"/>
      <c r="W28" s="22">
        <v>23</v>
      </c>
      <c r="X28" s="19">
        <v>205.7</v>
      </c>
      <c r="Y28" s="22">
        <v>72</v>
      </c>
      <c r="Z28" s="19"/>
      <c r="AA28" s="22">
        <f t="shared" si="2"/>
        <v>121</v>
      </c>
      <c r="AB28" s="19"/>
      <c r="AC28" s="35">
        <v>170</v>
      </c>
      <c r="AD28" s="19"/>
      <c r="AE28" s="33">
        <v>219</v>
      </c>
      <c r="AF28" s="19">
        <v>203.1</v>
      </c>
    </row>
    <row r="29" spans="1:32" ht="15.75" x14ac:dyDescent="0.25">
      <c r="A29" s="22">
        <v>24</v>
      </c>
      <c r="B29" s="19">
        <v>201.7</v>
      </c>
      <c r="C29" s="22">
        <v>73</v>
      </c>
      <c r="D29" s="19">
        <v>203</v>
      </c>
      <c r="E29" s="22">
        <f t="shared" si="0"/>
        <v>122</v>
      </c>
      <c r="F29" s="19">
        <v>204.9</v>
      </c>
      <c r="G29" s="35">
        <v>171</v>
      </c>
      <c r="H29" s="19">
        <v>197.2</v>
      </c>
      <c r="I29" s="33">
        <v>220</v>
      </c>
      <c r="J29" s="19">
        <v>200.6</v>
      </c>
      <c r="L29" s="22">
        <v>24</v>
      </c>
      <c r="M29" s="19"/>
      <c r="N29" s="22">
        <v>73</v>
      </c>
      <c r="O29" s="19">
        <v>203</v>
      </c>
      <c r="P29" s="22">
        <f t="shared" si="1"/>
        <v>122</v>
      </c>
      <c r="Q29" s="19">
        <v>204.9</v>
      </c>
      <c r="R29" s="35">
        <v>171</v>
      </c>
      <c r="S29" s="19"/>
      <c r="T29" s="33">
        <v>220</v>
      </c>
      <c r="U29" s="19"/>
      <c r="W29" s="22">
        <v>24</v>
      </c>
      <c r="X29" s="19">
        <v>201.7</v>
      </c>
      <c r="Y29" s="22">
        <v>73</v>
      </c>
      <c r="Z29" s="19"/>
      <c r="AA29" s="22">
        <f t="shared" si="2"/>
        <v>122</v>
      </c>
      <c r="AB29" s="19"/>
      <c r="AC29" s="35">
        <v>171</v>
      </c>
      <c r="AD29" s="19">
        <v>197.2</v>
      </c>
      <c r="AE29" s="33">
        <v>220</v>
      </c>
      <c r="AF29" s="19">
        <v>200.6</v>
      </c>
    </row>
    <row r="30" spans="1:32" ht="15.75" x14ac:dyDescent="0.25">
      <c r="A30" s="22">
        <v>25</v>
      </c>
      <c r="B30" s="19">
        <v>213.8</v>
      </c>
      <c r="C30" s="22">
        <v>74</v>
      </c>
      <c r="D30" s="19">
        <v>198.8</v>
      </c>
      <c r="E30" s="22">
        <f t="shared" si="0"/>
        <v>123</v>
      </c>
      <c r="F30" s="19">
        <v>202.9</v>
      </c>
      <c r="G30" s="35">
        <v>172</v>
      </c>
      <c r="H30" s="19">
        <v>201.1</v>
      </c>
      <c r="I30" s="20"/>
      <c r="J30" s="36"/>
      <c r="L30" s="22">
        <v>25</v>
      </c>
      <c r="M30" s="19"/>
      <c r="N30" s="22">
        <v>74</v>
      </c>
      <c r="O30" s="19">
        <v>198.8</v>
      </c>
      <c r="P30" s="22">
        <f t="shared" si="1"/>
        <v>123</v>
      </c>
      <c r="Q30" s="19">
        <v>202.9</v>
      </c>
      <c r="R30" s="35">
        <v>172</v>
      </c>
      <c r="S30" s="19"/>
      <c r="T30" s="20"/>
      <c r="U30" s="36"/>
      <c r="W30" s="22">
        <v>25</v>
      </c>
      <c r="X30" s="19">
        <v>213.8</v>
      </c>
      <c r="Y30" s="22">
        <v>74</v>
      </c>
      <c r="Z30" s="19"/>
      <c r="AA30" s="22">
        <f t="shared" si="2"/>
        <v>123</v>
      </c>
      <c r="AB30" s="19"/>
      <c r="AC30" s="35">
        <v>172</v>
      </c>
      <c r="AD30" s="19">
        <v>201.1</v>
      </c>
      <c r="AE30" s="20"/>
      <c r="AF30" s="36"/>
    </row>
    <row r="31" spans="1:32" ht="15.75" x14ac:dyDescent="0.25">
      <c r="A31" s="22">
        <v>26</v>
      </c>
      <c r="B31" s="19">
        <v>205</v>
      </c>
      <c r="C31" s="22">
        <v>75</v>
      </c>
      <c r="D31" s="19">
        <v>204.7</v>
      </c>
      <c r="E31" s="22">
        <f t="shared" si="0"/>
        <v>124</v>
      </c>
      <c r="F31" s="19">
        <v>205.5</v>
      </c>
      <c r="G31" s="35">
        <v>173</v>
      </c>
      <c r="H31" s="19">
        <v>208.9</v>
      </c>
      <c r="I31" s="20"/>
      <c r="J31" s="36"/>
      <c r="L31" s="22">
        <v>26</v>
      </c>
      <c r="M31" s="19"/>
      <c r="N31" s="22">
        <v>75</v>
      </c>
      <c r="O31" s="19">
        <v>204.7</v>
      </c>
      <c r="P31" s="22">
        <f t="shared" si="1"/>
        <v>124</v>
      </c>
      <c r="Q31" s="19">
        <v>205.5</v>
      </c>
      <c r="R31" s="35">
        <v>173</v>
      </c>
      <c r="S31" s="19"/>
      <c r="T31" s="20"/>
      <c r="U31" s="36"/>
      <c r="W31" s="22">
        <v>26</v>
      </c>
      <c r="X31" s="19">
        <v>205</v>
      </c>
      <c r="Y31" s="22">
        <v>75</v>
      </c>
      <c r="Z31" s="19"/>
      <c r="AA31" s="22">
        <f t="shared" si="2"/>
        <v>124</v>
      </c>
      <c r="AB31" s="19"/>
      <c r="AC31" s="35">
        <v>173</v>
      </c>
      <c r="AD31" s="19">
        <v>208.9</v>
      </c>
      <c r="AE31" s="20"/>
      <c r="AF31" s="36"/>
    </row>
    <row r="32" spans="1:32" ht="15.75" x14ac:dyDescent="0.25">
      <c r="A32" s="22">
        <v>27</v>
      </c>
      <c r="B32" s="19">
        <v>206.7</v>
      </c>
      <c r="C32" s="22">
        <v>76</v>
      </c>
      <c r="D32" s="19">
        <v>212.5</v>
      </c>
      <c r="E32" s="22">
        <f t="shared" si="0"/>
        <v>125</v>
      </c>
      <c r="F32" s="19">
        <v>206.1</v>
      </c>
      <c r="G32" s="33">
        <v>174</v>
      </c>
      <c r="H32" s="19">
        <v>203.8</v>
      </c>
      <c r="I32" s="21"/>
      <c r="J32" s="36"/>
      <c r="L32" s="22">
        <v>27</v>
      </c>
      <c r="M32" s="19"/>
      <c r="N32" s="22">
        <v>76</v>
      </c>
      <c r="O32" s="19">
        <v>212.5</v>
      </c>
      <c r="P32" s="22">
        <f t="shared" si="1"/>
        <v>125</v>
      </c>
      <c r="Q32" s="19">
        <v>206.1</v>
      </c>
      <c r="R32" s="33">
        <v>174</v>
      </c>
      <c r="S32" s="19"/>
      <c r="T32" s="21"/>
      <c r="U32" s="36"/>
      <c r="W32" s="22">
        <v>27</v>
      </c>
      <c r="X32" s="19">
        <v>206.7</v>
      </c>
      <c r="Y32" s="22">
        <v>76</v>
      </c>
      <c r="Z32" s="19"/>
      <c r="AA32" s="22">
        <f t="shared" si="2"/>
        <v>125</v>
      </c>
      <c r="AB32" s="19"/>
      <c r="AC32" s="33">
        <v>174</v>
      </c>
      <c r="AD32" s="19">
        <v>203.8</v>
      </c>
      <c r="AE32" s="21"/>
      <c r="AF32" s="36"/>
    </row>
    <row r="33" spans="1:32" ht="15.75" x14ac:dyDescent="0.25">
      <c r="A33" s="22">
        <v>28</v>
      </c>
      <c r="B33" s="19">
        <v>212.8</v>
      </c>
      <c r="C33" s="22">
        <v>77</v>
      </c>
      <c r="D33" s="19">
        <v>204.2</v>
      </c>
      <c r="E33" s="22">
        <f t="shared" si="0"/>
        <v>126</v>
      </c>
      <c r="F33" s="19">
        <v>213.2</v>
      </c>
      <c r="G33" s="33">
        <v>175</v>
      </c>
      <c r="H33" s="19">
        <v>206.9</v>
      </c>
      <c r="I33" s="20"/>
      <c r="J33" s="36"/>
      <c r="L33" s="22">
        <v>28</v>
      </c>
      <c r="M33" s="19"/>
      <c r="N33" s="22">
        <v>77</v>
      </c>
      <c r="O33" s="19">
        <v>204.2</v>
      </c>
      <c r="P33" s="22">
        <f t="shared" si="1"/>
        <v>126</v>
      </c>
      <c r="Q33" s="19">
        <v>213.2</v>
      </c>
      <c r="R33" s="33">
        <v>175</v>
      </c>
      <c r="S33" s="19"/>
      <c r="T33" s="20"/>
      <c r="U33" s="36"/>
      <c r="W33" s="22">
        <v>28</v>
      </c>
      <c r="X33" s="19">
        <v>212.8</v>
      </c>
      <c r="Y33" s="22">
        <v>77</v>
      </c>
      <c r="Z33" s="19"/>
      <c r="AA33" s="22">
        <f t="shared" si="2"/>
        <v>126</v>
      </c>
      <c r="AB33" s="19"/>
      <c r="AC33" s="33">
        <v>175</v>
      </c>
      <c r="AD33" s="19">
        <v>206.9</v>
      </c>
      <c r="AE33" s="20"/>
      <c r="AF33" s="36"/>
    </row>
    <row r="34" spans="1:32" ht="15.75" x14ac:dyDescent="0.25">
      <c r="A34" s="22">
        <v>29</v>
      </c>
      <c r="B34" s="19">
        <v>209</v>
      </c>
      <c r="C34" s="22">
        <v>78</v>
      </c>
      <c r="D34" s="19">
        <v>206.5</v>
      </c>
      <c r="E34" s="22">
        <f t="shared" si="0"/>
        <v>127</v>
      </c>
      <c r="F34" s="19">
        <v>209.4</v>
      </c>
      <c r="G34" s="33">
        <v>176</v>
      </c>
      <c r="H34" s="19">
        <v>203.6</v>
      </c>
      <c r="I34" s="20"/>
      <c r="J34" s="36"/>
      <c r="L34" s="22">
        <v>29</v>
      </c>
      <c r="M34" s="19"/>
      <c r="N34" s="22">
        <v>78</v>
      </c>
      <c r="O34" s="19">
        <v>206.5</v>
      </c>
      <c r="P34" s="22">
        <f t="shared" si="1"/>
        <v>127</v>
      </c>
      <c r="Q34" s="19">
        <v>209.4</v>
      </c>
      <c r="R34" s="33">
        <v>176</v>
      </c>
      <c r="S34" s="19"/>
      <c r="T34" s="20"/>
      <c r="U34" s="36"/>
      <c r="W34" s="22">
        <v>29</v>
      </c>
      <c r="X34" s="19">
        <v>209</v>
      </c>
      <c r="Y34" s="22">
        <v>78</v>
      </c>
      <c r="Z34" s="19"/>
      <c r="AA34" s="22">
        <f t="shared" si="2"/>
        <v>127</v>
      </c>
      <c r="AB34" s="19"/>
      <c r="AC34" s="33">
        <v>176</v>
      </c>
      <c r="AD34" s="19">
        <v>203.6</v>
      </c>
      <c r="AE34" s="20"/>
      <c r="AF34" s="36"/>
    </row>
    <row r="35" spans="1:32" ht="15.75" x14ac:dyDescent="0.25">
      <c r="A35" s="22">
        <v>30</v>
      </c>
      <c r="B35" s="19">
        <v>208.2</v>
      </c>
      <c r="C35" s="22">
        <v>79</v>
      </c>
      <c r="D35" s="19">
        <v>208.5</v>
      </c>
      <c r="E35" s="22">
        <f t="shared" si="0"/>
        <v>128</v>
      </c>
      <c r="F35" s="19">
        <v>205.9</v>
      </c>
      <c r="G35" s="33">
        <v>177</v>
      </c>
      <c r="H35" s="19">
        <v>207.5</v>
      </c>
      <c r="I35" s="21"/>
      <c r="J35" s="36"/>
      <c r="L35" s="22">
        <v>30</v>
      </c>
      <c r="M35" s="19"/>
      <c r="N35" s="22">
        <v>79</v>
      </c>
      <c r="O35" s="19">
        <v>208.5</v>
      </c>
      <c r="P35" s="22">
        <f t="shared" si="1"/>
        <v>128</v>
      </c>
      <c r="Q35" s="19">
        <v>205.9</v>
      </c>
      <c r="R35" s="33">
        <v>177</v>
      </c>
      <c r="S35" s="19"/>
      <c r="T35" s="21"/>
      <c r="U35" s="36"/>
      <c r="W35" s="22">
        <v>30</v>
      </c>
      <c r="X35" s="19">
        <v>208.2</v>
      </c>
      <c r="Y35" s="22">
        <v>79</v>
      </c>
      <c r="Z35" s="19"/>
      <c r="AA35" s="22">
        <f t="shared" si="2"/>
        <v>128</v>
      </c>
      <c r="AB35" s="19"/>
      <c r="AC35" s="33">
        <v>177</v>
      </c>
      <c r="AD35" s="19">
        <v>207.5</v>
      </c>
      <c r="AE35" s="21"/>
      <c r="AF35" s="36"/>
    </row>
    <row r="36" spans="1:32" ht="15.75" x14ac:dyDescent="0.25">
      <c r="A36" s="22">
        <v>31</v>
      </c>
      <c r="B36" s="19">
        <v>203.8</v>
      </c>
      <c r="C36" s="22">
        <v>80</v>
      </c>
      <c r="D36" s="19">
        <v>211.5</v>
      </c>
      <c r="E36" s="22">
        <f t="shared" si="0"/>
        <v>129</v>
      </c>
      <c r="F36" s="19">
        <v>203.4</v>
      </c>
      <c r="G36" s="33">
        <v>178</v>
      </c>
      <c r="H36" s="19">
        <v>202.4</v>
      </c>
      <c r="I36" s="20"/>
      <c r="J36" s="36"/>
      <c r="L36" s="22">
        <v>31</v>
      </c>
      <c r="M36" s="19"/>
      <c r="N36" s="22">
        <v>80</v>
      </c>
      <c r="O36" s="19">
        <v>211.5</v>
      </c>
      <c r="P36" s="22">
        <f t="shared" si="1"/>
        <v>129</v>
      </c>
      <c r="Q36" s="19">
        <v>203.4</v>
      </c>
      <c r="R36" s="33">
        <v>178</v>
      </c>
      <c r="S36" s="19"/>
      <c r="T36" s="20"/>
      <c r="U36" s="36"/>
      <c r="W36" s="22">
        <v>31</v>
      </c>
      <c r="X36" s="19">
        <v>203.8</v>
      </c>
      <c r="Y36" s="22">
        <v>80</v>
      </c>
      <c r="Z36" s="19"/>
      <c r="AA36" s="22">
        <f t="shared" si="2"/>
        <v>129</v>
      </c>
      <c r="AB36" s="19"/>
      <c r="AC36" s="33">
        <v>178</v>
      </c>
      <c r="AD36" s="19">
        <v>202.4</v>
      </c>
      <c r="AE36" s="20"/>
      <c r="AF36" s="36"/>
    </row>
    <row r="37" spans="1:32" ht="15.75" x14ac:dyDescent="0.25">
      <c r="A37" s="22">
        <v>32</v>
      </c>
      <c r="B37" s="19">
        <v>201.9</v>
      </c>
      <c r="C37" s="22">
        <v>81</v>
      </c>
      <c r="D37" s="19">
        <v>204.9</v>
      </c>
      <c r="E37" s="22">
        <f t="shared" si="0"/>
        <v>130</v>
      </c>
      <c r="F37" s="19">
        <v>206.7</v>
      </c>
      <c r="G37" s="33">
        <v>179</v>
      </c>
      <c r="H37" s="19">
        <v>203.6</v>
      </c>
      <c r="I37" s="20"/>
      <c r="J37" s="36"/>
      <c r="L37" s="22">
        <v>32</v>
      </c>
      <c r="M37" s="19"/>
      <c r="N37" s="22">
        <v>81</v>
      </c>
      <c r="O37" s="19">
        <v>204.9</v>
      </c>
      <c r="P37" s="22">
        <f t="shared" si="1"/>
        <v>130</v>
      </c>
      <c r="Q37" s="19">
        <v>206.7</v>
      </c>
      <c r="R37" s="33">
        <v>179</v>
      </c>
      <c r="S37" s="19"/>
      <c r="T37" s="20"/>
      <c r="U37" s="36"/>
      <c r="W37" s="22">
        <v>32</v>
      </c>
      <c r="X37" s="19">
        <v>201.9</v>
      </c>
      <c r="Y37" s="22">
        <v>81</v>
      </c>
      <c r="Z37" s="19"/>
      <c r="AA37" s="22">
        <f t="shared" si="2"/>
        <v>130</v>
      </c>
      <c r="AB37" s="19"/>
      <c r="AC37" s="33">
        <v>179</v>
      </c>
      <c r="AD37" s="19">
        <v>203.6</v>
      </c>
      <c r="AE37" s="20"/>
      <c r="AF37" s="36"/>
    </row>
    <row r="38" spans="1:32" ht="15.75" x14ac:dyDescent="0.25">
      <c r="A38" s="22">
        <v>33</v>
      </c>
      <c r="B38" s="19">
        <v>206.4</v>
      </c>
      <c r="C38" s="22">
        <v>82</v>
      </c>
      <c r="D38" s="19">
        <v>214.2</v>
      </c>
      <c r="E38" s="22">
        <f t="shared" si="0"/>
        <v>131</v>
      </c>
      <c r="F38" s="19">
        <v>208.8</v>
      </c>
      <c r="G38" s="33">
        <v>180</v>
      </c>
      <c r="H38" s="19">
        <v>201.2</v>
      </c>
      <c r="I38" s="21"/>
      <c r="J38" s="36"/>
      <c r="L38" s="22">
        <v>33</v>
      </c>
      <c r="M38" s="19"/>
      <c r="N38" s="22">
        <v>82</v>
      </c>
      <c r="O38" s="19">
        <v>214.2</v>
      </c>
      <c r="P38" s="22">
        <f t="shared" si="1"/>
        <v>131</v>
      </c>
      <c r="Q38" s="19">
        <v>208.8</v>
      </c>
      <c r="R38" s="33">
        <v>180</v>
      </c>
      <c r="S38" s="19"/>
      <c r="T38" s="21"/>
      <c r="U38" s="36"/>
      <c r="W38" s="22">
        <v>33</v>
      </c>
      <c r="X38" s="19">
        <v>206.4</v>
      </c>
      <c r="Y38" s="22">
        <v>82</v>
      </c>
      <c r="Z38" s="19"/>
      <c r="AA38" s="22">
        <f t="shared" si="2"/>
        <v>131</v>
      </c>
      <c r="AB38" s="19"/>
      <c r="AC38" s="33">
        <v>180</v>
      </c>
      <c r="AD38" s="19">
        <v>201.2</v>
      </c>
      <c r="AE38" s="21"/>
      <c r="AF38" s="36"/>
    </row>
    <row r="39" spans="1:32" ht="15.75" x14ac:dyDescent="0.25">
      <c r="A39" s="22">
        <v>34</v>
      </c>
      <c r="B39" s="19">
        <v>212</v>
      </c>
      <c r="C39" s="22">
        <v>83</v>
      </c>
      <c r="D39" s="19">
        <v>210.3</v>
      </c>
      <c r="E39" s="22">
        <f t="shared" si="0"/>
        <v>132</v>
      </c>
      <c r="F39" s="19">
        <v>207.8</v>
      </c>
      <c r="G39" s="33">
        <v>181</v>
      </c>
      <c r="H39" s="19">
        <v>205.2</v>
      </c>
      <c r="I39" s="21"/>
      <c r="J39" s="36"/>
      <c r="L39" s="22">
        <v>34</v>
      </c>
      <c r="M39" s="19"/>
      <c r="N39" s="22">
        <v>83</v>
      </c>
      <c r="O39" s="19">
        <v>210.3</v>
      </c>
      <c r="P39" s="22">
        <f t="shared" si="1"/>
        <v>132</v>
      </c>
      <c r="Q39" s="19">
        <v>207.8</v>
      </c>
      <c r="R39" s="33">
        <v>181</v>
      </c>
      <c r="S39" s="19"/>
      <c r="T39" s="21"/>
      <c r="U39" s="36"/>
      <c r="W39" s="22">
        <v>34</v>
      </c>
      <c r="X39" s="19">
        <v>212</v>
      </c>
      <c r="Y39" s="22">
        <v>83</v>
      </c>
      <c r="Z39" s="19"/>
      <c r="AA39" s="22">
        <f t="shared" si="2"/>
        <v>132</v>
      </c>
      <c r="AB39" s="19"/>
      <c r="AC39" s="33">
        <v>181</v>
      </c>
      <c r="AD39" s="19">
        <v>205.2</v>
      </c>
      <c r="AE39" s="21"/>
      <c r="AF39" s="36"/>
    </row>
    <row r="40" spans="1:32" ht="15.75" x14ac:dyDescent="0.25">
      <c r="A40" s="22">
        <v>35</v>
      </c>
      <c r="B40" s="19">
        <v>204</v>
      </c>
      <c r="C40" s="22">
        <v>84</v>
      </c>
      <c r="D40" s="19">
        <v>208.6</v>
      </c>
      <c r="E40" s="22">
        <f t="shared" si="0"/>
        <v>133</v>
      </c>
      <c r="F40" s="19">
        <v>208.3</v>
      </c>
      <c r="G40" s="33">
        <v>182</v>
      </c>
      <c r="H40" s="19">
        <v>199.6</v>
      </c>
      <c r="I40" s="20"/>
      <c r="J40" s="36"/>
      <c r="L40" s="22">
        <v>35</v>
      </c>
      <c r="M40" s="19"/>
      <c r="N40" s="22">
        <v>84</v>
      </c>
      <c r="O40" s="19">
        <v>208.6</v>
      </c>
      <c r="P40" s="22">
        <f t="shared" si="1"/>
        <v>133</v>
      </c>
      <c r="Q40" s="19">
        <v>208.3</v>
      </c>
      <c r="R40" s="33">
        <v>182</v>
      </c>
      <c r="S40" s="19"/>
      <c r="T40" s="20"/>
      <c r="U40" s="36"/>
      <c r="W40" s="22">
        <v>35</v>
      </c>
      <c r="X40" s="19">
        <v>204</v>
      </c>
      <c r="Y40" s="22">
        <v>84</v>
      </c>
      <c r="Z40" s="19"/>
      <c r="AA40" s="22">
        <f t="shared" si="2"/>
        <v>133</v>
      </c>
      <c r="AB40" s="19"/>
      <c r="AC40" s="33">
        <v>182</v>
      </c>
      <c r="AD40" s="19">
        <v>199.6</v>
      </c>
      <c r="AE40" s="20"/>
      <c r="AF40" s="36"/>
    </row>
    <row r="41" spans="1:32" ht="15.75" x14ac:dyDescent="0.25">
      <c r="A41" s="22">
        <v>36</v>
      </c>
      <c r="B41" s="19">
        <v>210</v>
      </c>
      <c r="C41" s="22">
        <v>85</v>
      </c>
      <c r="D41" s="19">
        <v>204.6</v>
      </c>
      <c r="E41" s="22">
        <f t="shared" si="0"/>
        <v>134</v>
      </c>
      <c r="F41" s="19">
        <v>209</v>
      </c>
      <c r="G41" s="33">
        <v>183</v>
      </c>
      <c r="H41" s="19">
        <v>196.2</v>
      </c>
      <c r="I41" s="20"/>
      <c r="J41" s="36"/>
      <c r="L41" s="22">
        <v>36</v>
      </c>
      <c r="M41" s="19"/>
      <c r="N41" s="22">
        <v>85</v>
      </c>
      <c r="O41" s="19">
        <v>204.6</v>
      </c>
      <c r="P41" s="22">
        <f t="shared" si="1"/>
        <v>134</v>
      </c>
      <c r="Q41" s="19">
        <v>209</v>
      </c>
      <c r="R41" s="33">
        <v>183</v>
      </c>
      <c r="S41" s="19"/>
      <c r="T41" s="20"/>
      <c r="U41" s="36"/>
      <c r="W41" s="22">
        <v>36</v>
      </c>
      <c r="X41" s="19">
        <v>210</v>
      </c>
      <c r="Y41" s="22">
        <v>85</v>
      </c>
      <c r="Z41" s="19"/>
      <c r="AA41" s="22">
        <f t="shared" si="2"/>
        <v>134</v>
      </c>
      <c r="AB41" s="19"/>
      <c r="AC41" s="33">
        <v>183</v>
      </c>
      <c r="AD41" s="19">
        <v>196.2</v>
      </c>
      <c r="AE41" s="20"/>
      <c r="AF41" s="36"/>
    </row>
    <row r="42" spans="1:32" ht="15.75" x14ac:dyDescent="0.25">
      <c r="A42" s="22">
        <v>37</v>
      </c>
      <c r="B42" s="19">
        <v>211.9</v>
      </c>
      <c r="C42" s="22">
        <v>86</v>
      </c>
      <c r="D42" s="19">
        <v>206.1</v>
      </c>
      <c r="E42" s="22">
        <f t="shared" si="0"/>
        <v>135</v>
      </c>
      <c r="F42" s="19">
        <v>204.9</v>
      </c>
      <c r="G42" s="33">
        <v>184</v>
      </c>
      <c r="H42" s="19">
        <v>199.9</v>
      </c>
      <c r="I42" s="21"/>
      <c r="J42" s="36"/>
      <c r="L42" s="22">
        <v>37</v>
      </c>
      <c r="M42" s="19"/>
      <c r="N42" s="22">
        <v>86</v>
      </c>
      <c r="O42" s="19">
        <v>206.1</v>
      </c>
      <c r="P42" s="22">
        <f t="shared" si="1"/>
        <v>135</v>
      </c>
      <c r="Q42" s="19">
        <v>204.9</v>
      </c>
      <c r="R42" s="33">
        <v>184</v>
      </c>
      <c r="S42" s="19"/>
      <c r="T42" s="21"/>
      <c r="U42" s="36"/>
      <c r="W42" s="22">
        <v>37</v>
      </c>
      <c r="X42" s="19">
        <v>211.9</v>
      </c>
      <c r="Y42" s="22">
        <v>86</v>
      </c>
      <c r="Z42" s="19"/>
      <c r="AA42" s="22">
        <f t="shared" si="2"/>
        <v>135</v>
      </c>
      <c r="AB42" s="19"/>
      <c r="AC42" s="33">
        <v>184</v>
      </c>
      <c r="AD42" s="19">
        <v>199.9</v>
      </c>
      <c r="AE42" s="21"/>
      <c r="AF42" s="36"/>
    </row>
    <row r="43" spans="1:32" ht="15.75" x14ac:dyDescent="0.25">
      <c r="A43" s="22">
        <v>38</v>
      </c>
      <c r="B43" s="19">
        <v>208.1</v>
      </c>
      <c r="C43" s="22">
        <v>87</v>
      </c>
      <c r="D43" s="19">
        <v>200.2</v>
      </c>
      <c r="E43" s="22">
        <f t="shared" si="0"/>
        <v>136</v>
      </c>
      <c r="F43" s="19">
        <v>203.4</v>
      </c>
      <c r="G43" s="33">
        <v>185</v>
      </c>
      <c r="H43" s="19">
        <v>204.4</v>
      </c>
      <c r="I43" s="20"/>
      <c r="J43" s="36"/>
      <c r="L43" s="22">
        <v>38</v>
      </c>
      <c r="M43" s="19"/>
      <c r="N43" s="22">
        <v>87</v>
      </c>
      <c r="O43" s="19">
        <v>200.2</v>
      </c>
      <c r="P43" s="22">
        <f t="shared" si="1"/>
        <v>136</v>
      </c>
      <c r="Q43" s="19">
        <v>203.4</v>
      </c>
      <c r="R43" s="33">
        <v>185</v>
      </c>
      <c r="S43" s="19"/>
      <c r="T43" s="20"/>
      <c r="U43" s="36"/>
      <c r="W43" s="22">
        <v>38</v>
      </c>
      <c r="X43" s="19">
        <v>208.1</v>
      </c>
      <c r="Y43" s="22">
        <v>87</v>
      </c>
      <c r="Z43" s="19"/>
      <c r="AA43" s="22">
        <f t="shared" si="2"/>
        <v>136</v>
      </c>
      <c r="AB43" s="19"/>
      <c r="AC43" s="33">
        <v>185</v>
      </c>
      <c r="AD43" s="19">
        <v>204.4</v>
      </c>
      <c r="AE43" s="20"/>
      <c r="AF43" s="36"/>
    </row>
    <row r="44" spans="1:32" ht="15.75" x14ac:dyDescent="0.25">
      <c r="A44" s="22">
        <v>39</v>
      </c>
      <c r="B44" s="19">
        <v>198.9</v>
      </c>
      <c r="C44" s="22">
        <v>88</v>
      </c>
      <c r="D44" s="19">
        <v>197.6</v>
      </c>
      <c r="E44" s="22">
        <f t="shared" si="0"/>
        <v>137</v>
      </c>
      <c r="F44" s="19">
        <v>208.2</v>
      </c>
      <c r="G44" s="33">
        <v>186</v>
      </c>
      <c r="H44" s="19">
        <v>198.2</v>
      </c>
      <c r="I44" s="20"/>
      <c r="J44" s="36"/>
      <c r="L44" s="22">
        <v>39</v>
      </c>
      <c r="M44" s="19"/>
      <c r="N44" s="22">
        <v>88</v>
      </c>
      <c r="O44" s="19">
        <v>197.6</v>
      </c>
      <c r="P44" s="22">
        <f t="shared" si="1"/>
        <v>137</v>
      </c>
      <c r="Q44" s="19">
        <v>208.2</v>
      </c>
      <c r="R44" s="33">
        <v>186</v>
      </c>
      <c r="S44" s="19"/>
      <c r="T44" s="20"/>
      <c r="U44" s="36"/>
      <c r="W44" s="22">
        <v>39</v>
      </c>
      <c r="X44" s="19">
        <v>198.9</v>
      </c>
      <c r="Y44" s="22">
        <v>88</v>
      </c>
      <c r="Z44" s="19"/>
      <c r="AA44" s="22">
        <f t="shared" si="2"/>
        <v>137</v>
      </c>
      <c r="AB44" s="19"/>
      <c r="AC44" s="33">
        <v>186</v>
      </c>
      <c r="AD44" s="19">
        <v>198.2</v>
      </c>
      <c r="AE44" s="20"/>
      <c r="AF44" s="36"/>
    </row>
    <row r="45" spans="1:32" ht="15.75" x14ac:dyDescent="0.25">
      <c r="A45" s="22">
        <v>40</v>
      </c>
      <c r="B45" s="19">
        <v>206.1</v>
      </c>
      <c r="C45" s="22">
        <v>89</v>
      </c>
      <c r="D45" s="19">
        <v>204.9</v>
      </c>
      <c r="E45" s="22">
        <f t="shared" si="0"/>
        <v>138</v>
      </c>
      <c r="F45" s="19">
        <v>214.7</v>
      </c>
      <c r="G45" s="33">
        <v>187</v>
      </c>
      <c r="H45" s="19">
        <v>172.6</v>
      </c>
      <c r="I45" s="21"/>
      <c r="J45" s="36"/>
      <c r="L45" s="22">
        <v>40</v>
      </c>
      <c r="M45" s="19"/>
      <c r="N45" s="22">
        <v>89</v>
      </c>
      <c r="O45" s="19">
        <v>204.9</v>
      </c>
      <c r="P45" s="22">
        <f t="shared" si="1"/>
        <v>138</v>
      </c>
      <c r="Q45" s="19">
        <v>214.7</v>
      </c>
      <c r="R45" s="33">
        <v>187</v>
      </c>
      <c r="S45" s="19"/>
      <c r="T45" s="21"/>
      <c r="U45" s="36"/>
      <c r="W45" s="22">
        <v>40</v>
      </c>
      <c r="X45" s="19">
        <v>206.1</v>
      </c>
      <c r="Y45" s="22">
        <v>89</v>
      </c>
      <c r="Z45" s="19"/>
      <c r="AA45" s="22">
        <f t="shared" si="2"/>
        <v>138</v>
      </c>
      <c r="AB45" s="19"/>
      <c r="AC45" s="33">
        <v>187</v>
      </c>
      <c r="AD45" s="19">
        <v>172.6</v>
      </c>
      <c r="AE45" s="21"/>
      <c r="AF45" s="36"/>
    </row>
    <row r="46" spans="1:32" ht="15.75" x14ac:dyDescent="0.25">
      <c r="A46" s="22">
        <v>41</v>
      </c>
      <c r="B46" s="19">
        <v>209.7</v>
      </c>
      <c r="C46" s="22">
        <v>90</v>
      </c>
      <c r="D46" s="19">
        <v>206.8</v>
      </c>
      <c r="E46" s="22">
        <f t="shared" si="0"/>
        <v>139</v>
      </c>
      <c r="F46" s="19">
        <v>203.9</v>
      </c>
      <c r="G46" s="33">
        <v>188</v>
      </c>
      <c r="H46" s="19">
        <v>205.6</v>
      </c>
      <c r="I46" s="20"/>
      <c r="J46" s="36"/>
      <c r="L46" s="22">
        <v>41</v>
      </c>
      <c r="M46" s="19">
        <v>209.7</v>
      </c>
      <c r="N46" s="22">
        <v>90</v>
      </c>
      <c r="O46" s="19">
        <v>206.8</v>
      </c>
      <c r="P46" s="22">
        <f t="shared" si="1"/>
        <v>139</v>
      </c>
      <c r="Q46" s="19">
        <v>203.9</v>
      </c>
      <c r="R46" s="33">
        <v>188</v>
      </c>
      <c r="S46" s="19"/>
      <c r="T46" s="20"/>
      <c r="U46" s="36"/>
      <c r="W46" s="22">
        <v>41</v>
      </c>
      <c r="X46" s="19"/>
      <c r="Y46" s="22">
        <v>90</v>
      </c>
      <c r="Z46" s="19"/>
      <c r="AA46" s="22">
        <f t="shared" si="2"/>
        <v>139</v>
      </c>
      <c r="AB46" s="19"/>
      <c r="AC46" s="33">
        <v>188</v>
      </c>
      <c r="AD46" s="19">
        <v>205.6</v>
      </c>
      <c r="AE46" s="20"/>
      <c r="AF46" s="36"/>
    </row>
    <row r="47" spans="1:32" ht="15.75" x14ac:dyDescent="0.25">
      <c r="A47" s="22">
        <v>42</v>
      </c>
      <c r="B47" s="19">
        <v>206.5</v>
      </c>
      <c r="C47" s="22">
        <v>91</v>
      </c>
      <c r="D47" s="19">
        <v>208.9</v>
      </c>
      <c r="E47" s="22">
        <f t="shared" si="0"/>
        <v>140</v>
      </c>
      <c r="F47" s="19">
        <v>203.7</v>
      </c>
      <c r="G47" s="33">
        <v>189</v>
      </c>
      <c r="H47" s="19">
        <v>206.6</v>
      </c>
      <c r="I47" s="20"/>
      <c r="J47" s="36"/>
      <c r="L47" s="22">
        <v>42</v>
      </c>
      <c r="M47" s="19">
        <v>206.5</v>
      </c>
      <c r="N47" s="22">
        <v>91</v>
      </c>
      <c r="O47" s="19">
        <v>208.9</v>
      </c>
      <c r="P47" s="22">
        <f t="shared" si="1"/>
        <v>140</v>
      </c>
      <c r="Q47" s="19">
        <v>203.7</v>
      </c>
      <c r="R47" s="33">
        <v>189</v>
      </c>
      <c r="S47" s="19"/>
      <c r="T47" s="20"/>
      <c r="U47" s="36"/>
      <c r="W47" s="22">
        <v>42</v>
      </c>
      <c r="X47" s="19"/>
      <c r="Y47" s="22">
        <v>91</v>
      </c>
      <c r="Z47" s="19"/>
      <c r="AA47" s="22">
        <f t="shared" si="2"/>
        <v>140</v>
      </c>
      <c r="AB47" s="19"/>
      <c r="AC47" s="33">
        <v>189</v>
      </c>
      <c r="AD47" s="19">
        <v>206.6</v>
      </c>
      <c r="AE47" s="20"/>
      <c r="AF47" s="36"/>
    </row>
    <row r="48" spans="1:32" ht="15.75" x14ac:dyDescent="0.25">
      <c r="A48" s="22">
        <v>43</v>
      </c>
      <c r="B48" s="19">
        <v>212.8</v>
      </c>
      <c r="C48" s="22">
        <v>92</v>
      </c>
      <c r="D48" s="19">
        <v>211.9</v>
      </c>
      <c r="E48" s="22">
        <f t="shared" si="0"/>
        <v>141</v>
      </c>
      <c r="F48" s="19">
        <v>203.9</v>
      </c>
      <c r="G48" s="33">
        <v>190</v>
      </c>
      <c r="H48" s="19">
        <v>199.6</v>
      </c>
      <c r="I48" s="21"/>
      <c r="J48" s="36"/>
      <c r="L48" s="22">
        <v>43</v>
      </c>
      <c r="M48" s="19">
        <v>212.8</v>
      </c>
      <c r="N48" s="22">
        <v>92</v>
      </c>
      <c r="O48" s="19">
        <v>211.9</v>
      </c>
      <c r="P48" s="22">
        <f t="shared" si="1"/>
        <v>141</v>
      </c>
      <c r="Q48" s="19">
        <v>203.9</v>
      </c>
      <c r="R48" s="33">
        <v>190</v>
      </c>
      <c r="S48" s="19"/>
      <c r="T48" s="21"/>
      <c r="U48" s="36"/>
      <c r="W48" s="22">
        <v>43</v>
      </c>
      <c r="X48" s="19"/>
      <c r="Y48" s="22">
        <v>92</v>
      </c>
      <c r="Z48" s="19"/>
      <c r="AA48" s="22">
        <f t="shared" si="2"/>
        <v>141</v>
      </c>
      <c r="AB48" s="19"/>
      <c r="AC48" s="33">
        <v>190</v>
      </c>
      <c r="AD48" s="19">
        <v>199.6</v>
      </c>
      <c r="AE48" s="21"/>
      <c r="AF48" s="36"/>
    </row>
    <row r="49" spans="1:32" ht="15.75" x14ac:dyDescent="0.25">
      <c r="A49" s="22">
        <v>44</v>
      </c>
      <c r="B49" s="19">
        <v>211.8</v>
      </c>
      <c r="C49" s="22">
        <v>93</v>
      </c>
      <c r="D49" s="19">
        <v>206.4</v>
      </c>
      <c r="E49" s="22">
        <f t="shared" si="0"/>
        <v>142</v>
      </c>
      <c r="F49" s="19">
        <v>204.4</v>
      </c>
      <c r="G49" s="33">
        <v>191</v>
      </c>
      <c r="H49" s="19">
        <v>202.6</v>
      </c>
      <c r="I49" s="21"/>
      <c r="J49" s="36"/>
      <c r="L49" s="22">
        <v>44</v>
      </c>
      <c r="M49" s="19">
        <v>211.8</v>
      </c>
      <c r="N49" s="22">
        <v>93</v>
      </c>
      <c r="O49" s="19">
        <v>206.4</v>
      </c>
      <c r="P49" s="22">
        <f t="shared" si="1"/>
        <v>142</v>
      </c>
      <c r="Q49" s="19">
        <v>204.4</v>
      </c>
      <c r="R49" s="33">
        <v>191</v>
      </c>
      <c r="S49" s="19"/>
      <c r="T49" s="21"/>
      <c r="U49" s="36"/>
      <c r="W49" s="22">
        <v>44</v>
      </c>
      <c r="X49" s="19"/>
      <c r="Y49" s="22">
        <v>93</v>
      </c>
      <c r="Z49" s="19"/>
      <c r="AA49" s="22">
        <f t="shared" si="2"/>
        <v>142</v>
      </c>
      <c r="AB49" s="19"/>
      <c r="AC49" s="33">
        <v>191</v>
      </c>
      <c r="AD49" s="19">
        <v>202.6</v>
      </c>
      <c r="AE49" s="21"/>
      <c r="AF49" s="36"/>
    </row>
    <row r="50" spans="1:32" ht="15.75" x14ac:dyDescent="0.25">
      <c r="A50" s="22">
        <v>45</v>
      </c>
      <c r="B50" s="19">
        <v>208.7</v>
      </c>
      <c r="C50" s="22">
        <v>94</v>
      </c>
      <c r="D50" s="19">
        <v>198.2</v>
      </c>
      <c r="E50" s="22">
        <f t="shared" si="0"/>
        <v>143</v>
      </c>
      <c r="F50" s="19">
        <v>208.1</v>
      </c>
      <c r="G50" s="33">
        <v>192</v>
      </c>
      <c r="H50" s="19">
        <v>201.3</v>
      </c>
      <c r="I50" s="20"/>
      <c r="J50" s="36"/>
      <c r="L50" s="22">
        <v>45</v>
      </c>
      <c r="M50" s="19">
        <v>208.7</v>
      </c>
      <c r="N50" s="22">
        <v>94</v>
      </c>
      <c r="O50" s="19">
        <v>198.2</v>
      </c>
      <c r="P50" s="22">
        <f t="shared" si="1"/>
        <v>143</v>
      </c>
      <c r="Q50" s="19">
        <v>208.1</v>
      </c>
      <c r="R50" s="33">
        <v>192</v>
      </c>
      <c r="S50" s="19"/>
      <c r="T50" s="20"/>
      <c r="U50" s="36"/>
      <c r="W50" s="22">
        <v>45</v>
      </c>
      <c r="X50" s="19"/>
      <c r="Y50" s="22">
        <v>94</v>
      </c>
      <c r="Z50" s="19"/>
      <c r="AA50" s="22">
        <f t="shared" si="2"/>
        <v>143</v>
      </c>
      <c r="AB50" s="19"/>
      <c r="AC50" s="33">
        <v>192</v>
      </c>
      <c r="AD50" s="19">
        <v>201.3</v>
      </c>
      <c r="AE50" s="20"/>
      <c r="AF50" s="36"/>
    </row>
    <row r="51" spans="1:32" ht="15.75" x14ac:dyDescent="0.25">
      <c r="A51" s="22">
        <v>46</v>
      </c>
      <c r="B51" s="19">
        <v>203.6</v>
      </c>
      <c r="C51" s="22">
        <v>95</v>
      </c>
      <c r="D51" s="19">
        <v>194</v>
      </c>
      <c r="E51" s="22">
        <f t="shared" si="0"/>
        <v>144</v>
      </c>
      <c r="F51" s="19">
        <v>208.8</v>
      </c>
      <c r="G51" s="33">
        <v>193</v>
      </c>
      <c r="H51" s="19">
        <v>201.2</v>
      </c>
      <c r="I51" s="20"/>
      <c r="J51" s="36"/>
      <c r="L51" s="22">
        <v>46</v>
      </c>
      <c r="M51" s="19">
        <v>203.6</v>
      </c>
      <c r="N51" s="22">
        <v>95</v>
      </c>
      <c r="O51" s="19">
        <v>194</v>
      </c>
      <c r="P51" s="22">
        <f t="shared" si="1"/>
        <v>144</v>
      </c>
      <c r="Q51" s="19">
        <v>208.8</v>
      </c>
      <c r="R51" s="33">
        <v>193</v>
      </c>
      <c r="S51" s="19"/>
      <c r="T51" s="20"/>
      <c r="U51" s="36"/>
      <c r="W51" s="22">
        <v>46</v>
      </c>
      <c r="X51" s="19"/>
      <c r="Y51" s="22">
        <v>95</v>
      </c>
      <c r="Z51" s="19"/>
      <c r="AA51" s="22">
        <f t="shared" si="2"/>
        <v>144</v>
      </c>
      <c r="AB51" s="19"/>
      <c r="AC51" s="33">
        <v>193</v>
      </c>
      <c r="AD51" s="19">
        <v>201.2</v>
      </c>
      <c r="AE51" s="20"/>
      <c r="AF51" s="36"/>
    </row>
    <row r="52" spans="1:32" ht="15.75" x14ac:dyDescent="0.25">
      <c r="A52" s="22">
        <v>47</v>
      </c>
      <c r="B52" s="19">
        <v>206</v>
      </c>
      <c r="C52" s="22">
        <v>96</v>
      </c>
      <c r="D52" s="19">
        <v>193</v>
      </c>
      <c r="E52" s="22">
        <f t="shared" si="0"/>
        <v>145</v>
      </c>
      <c r="F52" s="19">
        <v>202</v>
      </c>
      <c r="G52" s="33">
        <v>194</v>
      </c>
      <c r="H52" s="19">
        <v>205.8</v>
      </c>
      <c r="I52" s="21"/>
      <c r="J52" s="36"/>
      <c r="L52" s="22">
        <v>47</v>
      </c>
      <c r="M52" s="19">
        <v>206</v>
      </c>
      <c r="N52" s="22">
        <v>96</v>
      </c>
      <c r="O52" s="19">
        <v>193</v>
      </c>
      <c r="P52" s="22">
        <f t="shared" si="1"/>
        <v>145</v>
      </c>
      <c r="Q52" s="19">
        <v>202</v>
      </c>
      <c r="R52" s="33">
        <v>194</v>
      </c>
      <c r="S52" s="19"/>
      <c r="T52" s="21"/>
      <c r="U52" s="36"/>
      <c r="W52" s="22">
        <v>47</v>
      </c>
      <c r="X52" s="19"/>
      <c r="Y52" s="22">
        <v>96</v>
      </c>
      <c r="Z52" s="19"/>
      <c r="AA52" s="22">
        <f t="shared" si="2"/>
        <v>145</v>
      </c>
      <c r="AB52" s="19"/>
      <c r="AC52" s="33">
        <v>194</v>
      </c>
      <c r="AD52" s="19">
        <v>205.8</v>
      </c>
      <c r="AE52" s="21"/>
      <c r="AF52" s="36"/>
    </row>
    <row r="53" spans="1:32" ht="15.75" x14ac:dyDescent="0.25">
      <c r="A53" s="22">
        <v>48</v>
      </c>
      <c r="B53" s="19">
        <v>204.5</v>
      </c>
      <c r="C53" s="22">
        <v>97</v>
      </c>
      <c r="D53" s="19">
        <v>200.8</v>
      </c>
      <c r="E53" s="22">
        <f t="shared" si="0"/>
        <v>146</v>
      </c>
      <c r="F53" s="19">
        <v>211.9</v>
      </c>
      <c r="G53" s="33">
        <v>195</v>
      </c>
      <c r="H53" s="19">
        <v>203.7</v>
      </c>
      <c r="I53" s="20"/>
      <c r="J53" s="36"/>
      <c r="L53" s="22">
        <v>48</v>
      </c>
      <c r="M53" s="19">
        <v>204.5</v>
      </c>
      <c r="N53" s="22">
        <v>97</v>
      </c>
      <c r="O53" s="19">
        <v>200.8</v>
      </c>
      <c r="P53" s="22">
        <f t="shared" si="1"/>
        <v>146</v>
      </c>
      <c r="Q53" s="19">
        <v>211.9</v>
      </c>
      <c r="R53" s="33">
        <v>195</v>
      </c>
      <c r="S53" s="19"/>
      <c r="T53" s="20"/>
      <c r="U53" s="36"/>
      <c r="W53" s="22">
        <v>48</v>
      </c>
      <c r="X53" s="19"/>
      <c r="Y53" s="22">
        <v>97</v>
      </c>
      <c r="Z53" s="19"/>
      <c r="AA53" s="22">
        <f t="shared" si="2"/>
        <v>146</v>
      </c>
      <c r="AB53" s="19"/>
      <c r="AC53" s="33">
        <v>195</v>
      </c>
      <c r="AD53" s="19">
        <v>203.7</v>
      </c>
      <c r="AE53" s="20"/>
      <c r="AF53" s="36"/>
    </row>
    <row r="54" spans="1:32" ht="15.75" x14ac:dyDescent="0.25">
      <c r="A54" s="37">
        <v>49</v>
      </c>
      <c r="B54" s="19">
        <v>224.7</v>
      </c>
      <c r="C54" s="37">
        <v>98</v>
      </c>
      <c r="D54" s="19">
        <v>206.9</v>
      </c>
      <c r="E54" s="22">
        <f t="shared" si="0"/>
        <v>147</v>
      </c>
      <c r="F54" s="19">
        <v>203.5</v>
      </c>
      <c r="G54" s="38">
        <v>196</v>
      </c>
      <c r="H54" s="19">
        <v>209.1</v>
      </c>
      <c r="I54" s="39"/>
      <c r="J54" s="40"/>
      <c r="L54" s="37">
        <v>49</v>
      </c>
      <c r="M54" s="19">
        <v>224.7</v>
      </c>
      <c r="N54" s="37">
        <v>98</v>
      </c>
      <c r="O54" s="19">
        <v>206.9</v>
      </c>
      <c r="P54" s="22">
        <f t="shared" si="1"/>
        <v>147</v>
      </c>
      <c r="Q54" s="19">
        <v>203.5</v>
      </c>
      <c r="R54" s="38">
        <v>196</v>
      </c>
      <c r="S54" s="19"/>
      <c r="T54" s="39"/>
      <c r="U54" s="40"/>
      <c r="W54" s="37">
        <v>49</v>
      </c>
      <c r="X54" s="19"/>
      <c r="Y54" s="37">
        <v>98</v>
      </c>
      <c r="Z54" s="19"/>
      <c r="AA54" s="22">
        <f t="shared" si="2"/>
        <v>147</v>
      </c>
      <c r="AB54" s="19"/>
      <c r="AC54" s="38">
        <v>196</v>
      </c>
      <c r="AD54" s="19">
        <v>209.1</v>
      </c>
      <c r="AE54" s="39"/>
      <c r="AF54" s="40"/>
    </row>
    <row r="55" spans="1:32" ht="15.75" x14ac:dyDescent="0.25">
      <c r="A55" s="41"/>
      <c r="B55" s="23">
        <f>SUM(B6:B54)</f>
        <v>10175.4</v>
      </c>
      <c r="C55" s="23"/>
      <c r="D55" s="23">
        <f>SUM(D6:D54)</f>
        <v>10071.299999999999</v>
      </c>
      <c r="E55" s="23"/>
      <c r="F55" s="23">
        <f>SUM(F6:F54)</f>
        <v>10086.099999999997</v>
      </c>
      <c r="G55" s="23"/>
      <c r="H55" s="23">
        <f>SUM(H6:H54)</f>
        <v>9908.1</v>
      </c>
      <c r="I55" s="41"/>
      <c r="J55" s="41">
        <f>SUM(J6:J54)</f>
        <v>4811.6000000000013</v>
      </c>
      <c r="L55" s="41"/>
      <c r="M55" s="23">
        <f>SUM(M6:M54)</f>
        <v>1888.3</v>
      </c>
      <c r="N55" s="23"/>
      <c r="O55" s="23">
        <f>SUM(O6:O54)</f>
        <v>10071.299999999999</v>
      </c>
      <c r="P55" s="23"/>
      <c r="Q55" s="23">
        <f>SUM(Q6:Q54)</f>
        <v>10086.099999999997</v>
      </c>
      <c r="R55" s="23"/>
      <c r="S55" s="23">
        <f>SUM(S6:S54)</f>
        <v>4660.3</v>
      </c>
      <c r="T55" s="41"/>
      <c r="U55" s="41">
        <f>SUM(U6:U54)</f>
        <v>0</v>
      </c>
      <c r="W55" s="41"/>
      <c r="X55" s="23">
        <f>SUM(X6:X54)</f>
        <v>8287.0999999999985</v>
      </c>
      <c r="Y55" s="23"/>
      <c r="Z55" s="23">
        <f>SUM(Z6:Z54)</f>
        <v>0</v>
      </c>
      <c r="AA55" s="23"/>
      <c r="AB55" s="23">
        <f>SUM(AB6:AB54)</f>
        <v>0</v>
      </c>
      <c r="AC55" s="23"/>
      <c r="AD55" s="23">
        <f>SUM(AD6:AD54)</f>
        <v>5247.8</v>
      </c>
      <c r="AE55" s="41"/>
      <c r="AF55" s="41">
        <f>SUM(AF6:AF54)</f>
        <v>4811.6000000000013</v>
      </c>
    </row>
    <row r="56" spans="1:32" ht="15.75" x14ac:dyDescent="0.25">
      <c r="A56" s="42" t="s">
        <v>5</v>
      </c>
      <c r="B56" s="43">
        <f>COUNT(B6:B54,D6:D54,F6:F54,H6:H54,J6:J54)</f>
        <v>220</v>
      </c>
      <c r="C56" s="13" t="s">
        <v>6</v>
      </c>
      <c r="D56" s="44"/>
      <c r="E56" s="45">
        <f>B55+D55+F55+H55+J55</f>
        <v>45052.499999999993</v>
      </c>
      <c r="F56" s="24" t="s">
        <v>7</v>
      </c>
      <c r="G56" s="1">
        <f>B56*2.2</f>
        <v>484.00000000000006</v>
      </c>
      <c r="H56" s="13" t="s">
        <v>8</v>
      </c>
      <c r="I56" s="44"/>
      <c r="J56" s="45">
        <f>E56-G56</f>
        <v>44568.499999999993</v>
      </c>
      <c r="L56" s="42" t="s">
        <v>5</v>
      </c>
      <c r="M56" s="43">
        <f>COUNT(M6:M54,O6:O54,Q6:Q54,S6:S54,U6:U54)</f>
        <v>130</v>
      </c>
      <c r="N56" s="13" t="s">
        <v>6</v>
      </c>
      <c r="O56" s="44"/>
      <c r="P56" s="45">
        <f>M55+O55+Q55+S55+U55</f>
        <v>26705.999999999996</v>
      </c>
      <c r="Q56" s="24" t="s">
        <v>7</v>
      </c>
      <c r="R56" s="1">
        <f>M56*2.2</f>
        <v>286</v>
      </c>
      <c r="S56" s="13" t="s">
        <v>8</v>
      </c>
      <c r="T56" s="44"/>
      <c r="U56" s="45">
        <f>P56-R56</f>
        <v>26419.999999999996</v>
      </c>
      <c r="W56" s="42" t="s">
        <v>5</v>
      </c>
      <c r="X56" s="43">
        <f>COUNT(X6:X54,Z6:Z54,AB6:AB54,AD6:AD54,AF6:AF54)</f>
        <v>90</v>
      </c>
      <c r="Y56" s="13" t="s">
        <v>6</v>
      </c>
      <c r="Z56" s="44"/>
      <c r="AA56" s="45">
        <f>X55+Z55+AB55+AD55+AF55</f>
        <v>18346.5</v>
      </c>
      <c r="AB56" s="24" t="s">
        <v>7</v>
      </c>
      <c r="AC56" s="1">
        <f>X56*2.2</f>
        <v>198.00000000000003</v>
      </c>
      <c r="AD56" s="13" t="s">
        <v>8</v>
      </c>
      <c r="AE56" s="44"/>
      <c r="AF56" s="45">
        <f>AA56-AC56</f>
        <v>18148.5</v>
      </c>
    </row>
    <row r="57" spans="1:32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  <c r="L57" s="42" t="s">
        <v>9</v>
      </c>
      <c r="M57" s="25"/>
      <c r="N57" s="46"/>
      <c r="O57" s="44"/>
      <c r="P57" s="47"/>
      <c r="Q57" s="25"/>
      <c r="R57" s="48"/>
      <c r="S57" s="46"/>
      <c r="T57" s="44"/>
      <c r="U57" s="49"/>
      <c r="W57" s="42" t="s">
        <v>9</v>
      </c>
      <c r="X57" s="25"/>
      <c r="Y57" s="46"/>
      <c r="Z57" s="44"/>
      <c r="AA57" s="47"/>
      <c r="AB57" s="25"/>
      <c r="AC57" s="48"/>
      <c r="AD57" s="46"/>
      <c r="AE57" s="44"/>
      <c r="AF57" s="49"/>
    </row>
    <row r="58" spans="1:32" x14ac:dyDescent="0.25">
      <c r="B58">
        <f>M56+X56</f>
        <v>220</v>
      </c>
      <c r="E58" s="80">
        <f>P56+AA56</f>
        <v>45052.5</v>
      </c>
      <c r="J58" s="80">
        <f>U56+AF56</f>
        <v>44568.5</v>
      </c>
    </row>
    <row r="59" spans="1:32" x14ac:dyDescent="0.25">
      <c r="F59" s="112" t="s">
        <v>61</v>
      </c>
      <c r="G59" s="112">
        <v>2.2000000000000002</v>
      </c>
      <c r="Q59" s="112" t="s">
        <v>61</v>
      </c>
      <c r="R59" s="112">
        <v>2.2000000000000002</v>
      </c>
      <c r="AB59" s="112" t="s">
        <v>61</v>
      </c>
      <c r="AC59" s="112">
        <v>2.2000000000000002</v>
      </c>
    </row>
  </sheetData>
  <protectedRanges>
    <protectedRange password="CCE1" sqref="C6:C54 G6:G54 E6:E54 I6:I29 N6:N54 R6:R54 P6:P54 T6:T29 Y6:Y54 AC6:AC54 AA6:AA54 AE6:AE29" name="Диапазон1_3_1_7_2_1_1_1_1_1_1_1"/>
  </protectedRanges>
  <mergeCells count="6">
    <mergeCell ref="A1:J1"/>
    <mergeCell ref="I4:J4"/>
    <mergeCell ref="L1:U1"/>
    <mergeCell ref="T4:U4"/>
    <mergeCell ref="W1:AF1"/>
    <mergeCell ref="AE4:AF4"/>
  </mergeCells>
  <pageMargins left="0.7" right="0.7" top="0.75" bottom="0.75" header="0.3" footer="0.3"/>
  <pageSetup paperSize="9" scale="83" orientation="portrait" verticalDpi="0" r:id="rId1"/>
  <colBreaks count="2" manualBreakCount="2">
    <brk id="10" max="1048575" man="1"/>
    <brk id="2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9"/>
  <sheetViews>
    <sheetView topLeftCell="L40" zoomScaleNormal="100" workbookViewId="0">
      <selection activeCell="J59" sqref="J59"/>
    </sheetView>
  </sheetViews>
  <sheetFormatPr defaultRowHeight="15" x14ac:dyDescent="0.25"/>
  <cols>
    <col min="11" max="11" width="3" customWidth="1"/>
    <col min="22" max="22" width="2.42578125" customWidth="1"/>
  </cols>
  <sheetData>
    <row r="1" spans="1:32" ht="18.75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L1" s="204" t="s">
        <v>0</v>
      </c>
      <c r="M1" s="204"/>
      <c r="N1" s="204"/>
      <c r="O1" s="204"/>
      <c r="P1" s="204"/>
      <c r="Q1" s="204"/>
      <c r="R1" s="204"/>
      <c r="S1" s="204"/>
      <c r="T1" s="204"/>
      <c r="U1" s="204"/>
      <c r="W1" s="204" t="s">
        <v>0</v>
      </c>
      <c r="X1" s="204"/>
      <c r="Y1" s="204"/>
      <c r="Z1" s="204"/>
      <c r="AA1" s="204"/>
      <c r="AB1" s="204"/>
      <c r="AC1" s="204"/>
      <c r="AD1" s="204"/>
      <c r="AE1" s="204"/>
      <c r="AF1" s="204"/>
    </row>
    <row r="2" spans="1:32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  <c r="L2" s="13" t="s">
        <v>1</v>
      </c>
      <c r="M2" s="13"/>
      <c r="N2" s="13"/>
      <c r="O2" s="13"/>
      <c r="P2" s="13"/>
      <c r="Q2" s="13"/>
      <c r="R2" s="27"/>
      <c r="S2" s="13"/>
      <c r="T2" s="13"/>
      <c r="U2" s="13"/>
      <c r="W2" s="13" t="s">
        <v>1</v>
      </c>
      <c r="X2" s="13"/>
      <c r="Y2" s="13"/>
      <c r="Z2" s="13"/>
      <c r="AA2" s="13"/>
      <c r="AB2" s="13"/>
      <c r="AC2" s="27"/>
      <c r="AD2" s="13"/>
      <c r="AE2" s="13"/>
      <c r="AF2" s="13"/>
    </row>
    <row r="3" spans="1:32" ht="15.75" x14ac:dyDescent="0.25">
      <c r="A3" s="25" t="s">
        <v>2</v>
      </c>
      <c r="B3" s="27">
        <v>232</v>
      </c>
      <c r="C3" s="14"/>
      <c r="D3" s="15"/>
      <c r="E3" s="16"/>
      <c r="F3" s="16"/>
      <c r="G3" s="16"/>
      <c r="H3" s="16"/>
      <c r="I3" s="16" t="s">
        <v>33</v>
      </c>
      <c r="J3" s="16"/>
      <c r="L3" s="25" t="s">
        <v>2</v>
      </c>
      <c r="M3" s="27">
        <v>232</v>
      </c>
      <c r="N3" s="14"/>
      <c r="O3" s="15"/>
      <c r="P3" s="16"/>
      <c r="Q3" s="16"/>
      <c r="R3" s="16"/>
      <c r="S3" s="16"/>
      <c r="T3" s="16" t="s">
        <v>33</v>
      </c>
      <c r="U3" s="16"/>
      <c r="W3" s="25" t="s">
        <v>2</v>
      </c>
      <c r="X3" s="27">
        <v>232</v>
      </c>
      <c r="Y3" s="14"/>
      <c r="Z3" s="15"/>
      <c r="AA3" s="16"/>
      <c r="AB3" s="16"/>
      <c r="AC3" s="16"/>
      <c r="AD3" s="16"/>
      <c r="AE3" s="16" t="s">
        <v>33</v>
      </c>
      <c r="AF3" s="16"/>
    </row>
    <row r="4" spans="1:32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  <c r="L4" s="17"/>
      <c r="M4" s="17"/>
      <c r="N4" s="17"/>
      <c r="O4" s="17"/>
      <c r="P4" s="17"/>
      <c r="Q4" s="17"/>
      <c r="R4" s="17"/>
      <c r="S4" s="28"/>
      <c r="T4" s="205" t="s">
        <v>48</v>
      </c>
      <c r="U4" s="206"/>
      <c r="W4" s="17"/>
      <c r="X4" s="17"/>
      <c r="Y4" s="17"/>
      <c r="Z4" s="17"/>
      <c r="AA4" s="17"/>
      <c r="AB4" s="17"/>
      <c r="AC4" s="17"/>
      <c r="AD4" s="28"/>
      <c r="AE4" s="205" t="s">
        <v>50</v>
      </c>
      <c r="AF4" s="206"/>
    </row>
    <row r="5" spans="1:32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  <c r="L5" s="29" t="s">
        <v>3</v>
      </c>
      <c r="M5" s="18" t="s">
        <v>4</v>
      </c>
      <c r="N5" s="29" t="s">
        <v>3</v>
      </c>
      <c r="O5" s="18" t="s">
        <v>4</v>
      </c>
      <c r="P5" s="29" t="s">
        <v>3</v>
      </c>
      <c r="Q5" s="18" t="s">
        <v>4</v>
      </c>
      <c r="R5" s="29" t="s">
        <v>3</v>
      </c>
      <c r="S5" s="30" t="s">
        <v>4</v>
      </c>
      <c r="T5" s="31" t="s">
        <v>3</v>
      </c>
      <c r="U5" s="32" t="s">
        <v>4</v>
      </c>
      <c r="W5" s="29" t="s">
        <v>3</v>
      </c>
      <c r="X5" s="18" t="s">
        <v>4</v>
      </c>
      <c r="Y5" s="29" t="s">
        <v>3</v>
      </c>
      <c r="Z5" s="18" t="s">
        <v>4</v>
      </c>
      <c r="AA5" s="29" t="s">
        <v>3</v>
      </c>
      <c r="AB5" s="18" t="s">
        <v>4</v>
      </c>
      <c r="AC5" s="29" t="s">
        <v>3</v>
      </c>
      <c r="AD5" s="30" t="s">
        <v>4</v>
      </c>
      <c r="AE5" s="31" t="s">
        <v>3</v>
      </c>
      <c r="AF5" s="32" t="s">
        <v>4</v>
      </c>
    </row>
    <row r="6" spans="1:32" ht="15.75" x14ac:dyDescent="0.25">
      <c r="A6" s="22">
        <v>1</v>
      </c>
      <c r="B6" s="19">
        <v>201.4</v>
      </c>
      <c r="C6" s="22">
        <v>50</v>
      </c>
      <c r="D6" s="19">
        <v>203.1</v>
      </c>
      <c r="E6" s="22">
        <v>99</v>
      </c>
      <c r="F6" s="19">
        <v>205.8</v>
      </c>
      <c r="G6" s="33">
        <v>148</v>
      </c>
      <c r="H6" s="19">
        <v>202.6</v>
      </c>
      <c r="I6" s="34">
        <v>197</v>
      </c>
      <c r="J6" s="19">
        <v>211.2</v>
      </c>
      <c r="L6" s="22">
        <v>1</v>
      </c>
      <c r="M6" s="19"/>
      <c r="N6" s="22">
        <v>50</v>
      </c>
      <c r="O6" s="19">
        <v>203.1</v>
      </c>
      <c r="P6" s="22">
        <v>99</v>
      </c>
      <c r="Q6" s="19"/>
      <c r="R6" s="33">
        <v>148</v>
      </c>
      <c r="S6" s="19">
        <v>202.6</v>
      </c>
      <c r="T6" s="34">
        <v>197</v>
      </c>
      <c r="U6" s="19"/>
      <c r="W6" s="22">
        <v>1</v>
      </c>
      <c r="X6" s="19">
        <v>201.4</v>
      </c>
      <c r="Y6" s="22">
        <v>50</v>
      </c>
      <c r="Z6" s="19"/>
      <c r="AA6" s="22">
        <v>99</v>
      </c>
      <c r="AB6" s="19">
        <v>205.8</v>
      </c>
      <c r="AC6" s="33">
        <v>148</v>
      </c>
      <c r="AD6" s="19"/>
      <c r="AE6" s="34">
        <v>197</v>
      </c>
      <c r="AF6" s="19">
        <v>211.2</v>
      </c>
    </row>
    <row r="7" spans="1:32" ht="15.75" x14ac:dyDescent="0.25">
      <c r="A7" s="22">
        <v>2</v>
      </c>
      <c r="B7" s="19">
        <v>188</v>
      </c>
      <c r="C7" s="22">
        <v>51</v>
      </c>
      <c r="D7" s="19">
        <v>202.2</v>
      </c>
      <c r="E7" s="22">
        <v>100</v>
      </c>
      <c r="F7" s="19">
        <v>206.8</v>
      </c>
      <c r="G7" s="33">
        <v>149</v>
      </c>
      <c r="H7" s="19">
        <v>206.1</v>
      </c>
      <c r="I7" s="33">
        <v>198</v>
      </c>
      <c r="J7" s="19">
        <v>212</v>
      </c>
      <c r="L7" s="22">
        <v>2</v>
      </c>
      <c r="M7" s="19"/>
      <c r="N7" s="22">
        <v>51</v>
      </c>
      <c r="O7" s="19">
        <v>202.2</v>
      </c>
      <c r="P7" s="22">
        <v>100</v>
      </c>
      <c r="Q7" s="19"/>
      <c r="R7" s="33">
        <v>149</v>
      </c>
      <c r="S7" s="19">
        <v>206.1</v>
      </c>
      <c r="T7" s="33">
        <v>198</v>
      </c>
      <c r="U7" s="19"/>
      <c r="W7" s="22">
        <v>2</v>
      </c>
      <c r="X7" s="19">
        <v>188</v>
      </c>
      <c r="Y7" s="22">
        <v>51</v>
      </c>
      <c r="Z7" s="19"/>
      <c r="AA7" s="22">
        <v>100</v>
      </c>
      <c r="AB7" s="19">
        <v>206.8</v>
      </c>
      <c r="AC7" s="33">
        <v>149</v>
      </c>
      <c r="AD7" s="19"/>
      <c r="AE7" s="33">
        <v>198</v>
      </c>
      <c r="AF7" s="19">
        <v>212</v>
      </c>
    </row>
    <row r="8" spans="1:32" ht="15.75" x14ac:dyDescent="0.25">
      <c r="A8" s="22">
        <v>3</v>
      </c>
      <c r="B8" s="19">
        <v>209.4</v>
      </c>
      <c r="C8" s="22">
        <v>52</v>
      </c>
      <c r="D8" s="19">
        <v>200.6</v>
      </c>
      <c r="E8" s="22">
        <f t="shared" ref="E8:E54" si="0">+E7+1</f>
        <v>101</v>
      </c>
      <c r="F8" s="19">
        <v>207.3</v>
      </c>
      <c r="G8" s="33">
        <v>150</v>
      </c>
      <c r="H8" s="19">
        <v>202</v>
      </c>
      <c r="I8" s="33">
        <v>199</v>
      </c>
      <c r="J8" s="19">
        <v>213.6</v>
      </c>
      <c r="L8" s="22">
        <v>3</v>
      </c>
      <c r="M8" s="19"/>
      <c r="N8" s="22">
        <v>52</v>
      </c>
      <c r="O8" s="19">
        <v>200.6</v>
      </c>
      <c r="P8" s="22">
        <f t="shared" ref="P8:P54" si="1">+P7+1</f>
        <v>101</v>
      </c>
      <c r="Q8" s="19"/>
      <c r="R8" s="33">
        <v>150</v>
      </c>
      <c r="S8" s="19">
        <v>202</v>
      </c>
      <c r="T8" s="33">
        <v>199</v>
      </c>
      <c r="U8" s="19"/>
      <c r="W8" s="22">
        <v>3</v>
      </c>
      <c r="X8" s="19">
        <v>209.4</v>
      </c>
      <c r="Y8" s="22">
        <v>52</v>
      </c>
      <c r="Z8" s="19"/>
      <c r="AA8" s="22">
        <f t="shared" ref="AA8:AA54" si="2">+AA7+1</f>
        <v>101</v>
      </c>
      <c r="AB8" s="19">
        <v>207.3</v>
      </c>
      <c r="AC8" s="33">
        <v>150</v>
      </c>
      <c r="AD8" s="19"/>
      <c r="AE8" s="33">
        <v>199</v>
      </c>
      <c r="AF8" s="19">
        <v>213.6</v>
      </c>
    </row>
    <row r="9" spans="1:32" ht="15.75" x14ac:dyDescent="0.25">
      <c r="A9" s="22">
        <v>4</v>
      </c>
      <c r="B9" s="19">
        <v>182.4</v>
      </c>
      <c r="C9" s="22">
        <v>53</v>
      </c>
      <c r="D9" s="19">
        <v>204.4</v>
      </c>
      <c r="E9" s="22">
        <f t="shared" si="0"/>
        <v>102</v>
      </c>
      <c r="F9" s="19">
        <v>204.5</v>
      </c>
      <c r="G9" s="33">
        <v>151</v>
      </c>
      <c r="H9" s="19">
        <v>204.2</v>
      </c>
      <c r="I9" s="33">
        <v>200</v>
      </c>
      <c r="J9" s="19">
        <v>205.3</v>
      </c>
      <c r="L9" s="22">
        <v>4</v>
      </c>
      <c r="M9" s="19"/>
      <c r="N9" s="22">
        <v>53</v>
      </c>
      <c r="O9" s="19">
        <v>204.4</v>
      </c>
      <c r="P9" s="22">
        <f t="shared" si="1"/>
        <v>102</v>
      </c>
      <c r="Q9" s="19"/>
      <c r="R9" s="33">
        <v>151</v>
      </c>
      <c r="S9" s="19">
        <v>204.2</v>
      </c>
      <c r="T9" s="33">
        <v>200</v>
      </c>
      <c r="U9" s="19"/>
      <c r="W9" s="22">
        <v>4</v>
      </c>
      <c r="X9" s="19">
        <v>182.4</v>
      </c>
      <c r="Y9" s="22">
        <v>53</v>
      </c>
      <c r="Z9" s="19"/>
      <c r="AA9" s="22">
        <f t="shared" si="2"/>
        <v>102</v>
      </c>
      <c r="AB9" s="19">
        <v>204.5</v>
      </c>
      <c r="AC9" s="33">
        <v>151</v>
      </c>
      <c r="AD9" s="19"/>
      <c r="AE9" s="33">
        <v>200</v>
      </c>
      <c r="AF9" s="19">
        <v>205.3</v>
      </c>
    </row>
    <row r="10" spans="1:32" ht="15.75" x14ac:dyDescent="0.25">
      <c r="A10" s="22">
        <v>5</v>
      </c>
      <c r="B10" s="19">
        <v>205.9</v>
      </c>
      <c r="C10" s="22">
        <v>54</v>
      </c>
      <c r="D10" s="19">
        <v>204.5</v>
      </c>
      <c r="E10" s="22">
        <f t="shared" si="0"/>
        <v>103</v>
      </c>
      <c r="F10" s="19">
        <v>199.5</v>
      </c>
      <c r="G10" s="33">
        <v>152</v>
      </c>
      <c r="H10" s="19">
        <v>208.2</v>
      </c>
      <c r="I10" s="33">
        <v>201</v>
      </c>
      <c r="J10" s="19">
        <v>201.7</v>
      </c>
      <c r="L10" s="22">
        <v>5</v>
      </c>
      <c r="M10" s="19"/>
      <c r="N10" s="22">
        <v>54</v>
      </c>
      <c r="O10" s="19">
        <v>204.5</v>
      </c>
      <c r="P10" s="22">
        <f t="shared" si="1"/>
        <v>103</v>
      </c>
      <c r="Q10" s="19"/>
      <c r="R10" s="33">
        <v>152</v>
      </c>
      <c r="S10" s="19">
        <v>208.2</v>
      </c>
      <c r="T10" s="33">
        <v>201</v>
      </c>
      <c r="U10" s="19"/>
      <c r="W10" s="22">
        <v>5</v>
      </c>
      <c r="X10" s="19">
        <v>205.9</v>
      </c>
      <c r="Y10" s="22">
        <v>54</v>
      </c>
      <c r="Z10" s="19"/>
      <c r="AA10" s="22">
        <f t="shared" si="2"/>
        <v>103</v>
      </c>
      <c r="AB10" s="19">
        <v>199.5</v>
      </c>
      <c r="AC10" s="33">
        <v>152</v>
      </c>
      <c r="AD10" s="19"/>
      <c r="AE10" s="33">
        <v>201</v>
      </c>
      <c r="AF10" s="19">
        <v>201.7</v>
      </c>
    </row>
    <row r="11" spans="1:32" ht="15.75" x14ac:dyDescent="0.25">
      <c r="A11" s="22">
        <v>6</v>
      </c>
      <c r="B11" s="19">
        <v>199</v>
      </c>
      <c r="C11" s="22">
        <v>55</v>
      </c>
      <c r="D11" s="19">
        <v>202.2</v>
      </c>
      <c r="E11" s="22">
        <f t="shared" si="0"/>
        <v>104</v>
      </c>
      <c r="F11" s="19">
        <v>198.9</v>
      </c>
      <c r="G11" s="33">
        <v>153</v>
      </c>
      <c r="H11" s="19">
        <v>208.5</v>
      </c>
      <c r="I11" s="33">
        <v>202</v>
      </c>
      <c r="J11" s="19">
        <v>209.6</v>
      </c>
      <c r="L11" s="22">
        <v>6</v>
      </c>
      <c r="M11" s="19"/>
      <c r="N11" s="22">
        <v>55</v>
      </c>
      <c r="O11" s="19">
        <v>202.2</v>
      </c>
      <c r="P11" s="22">
        <f t="shared" si="1"/>
        <v>104</v>
      </c>
      <c r="Q11" s="19"/>
      <c r="R11" s="33">
        <v>153</v>
      </c>
      <c r="S11" s="19">
        <v>208.5</v>
      </c>
      <c r="T11" s="33">
        <v>202</v>
      </c>
      <c r="U11" s="19"/>
      <c r="W11" s="22">
        <v>6</v>
      </c>
      <c r="X11" s="19">
        <v>199</v>
      </c>
      <c r="Y11" s="22">
        <v>55</v>
      </c>
      <c r="Z11" s="19"/>
      <c r="AA11" s="22">
        <f t="shared" si="2"/>
        <v>104</v>
      </c>
      <c r="AB11" s="19">
        <v>198.9</v>
      </c>
      <c r="AC11" s="33">
        <v>153</v>
      </c>
      <c r="AD11" s="19"/>
      <c r="AE11" s="33">
        <v>202</v>
      </c>
      <c r="AF11" s="19">
        <v>209.6</v>
      </c>
    </row>
    <row r="12" spans="1:32" ht="15.75" x14ac:dyDescent="0.25">
      <c r="A12" s="22">
        <v>7</v>
      </c>
      <c r="B12" s="19">
        <v>191.2</v>
      </c>
      <c r="C12" s="22">
        <v>56</v>
      </c>
      <c r="D12" s="19">
        <v>203.4</v>
      </c>
      <c r="E12" s="22">
        <f t="shared" si="0"/>
        <v>105</v>
      </c>
      <c r="F12" s="19">
        <v>204.2</v>
      </c>
      <c r="G12" s="33">
        <v>154</v>
      </c>
      <c r="H12" s="19">
        <v>202.7</v>
      </c>
      <c r="I12" s="33">
        <v>203</v>
      </c>
      <c r="J12" s="19">
        <v>212.2</v>
      </c>
      <c r="L12" s="22">
        <v>7</v>
      </c>
      <c r="M12" s="19"/>
      <c r="N12" s="22">
        <v>56</v>
      </c>
      <c r="O12" s="19">
        <v>203.4</v>
      </c>
      <c r="P12" s="22">
        <f t="shared" si="1"/>
        <v>105</v>
      </c>
      <c r="Q12" s="19"/>
      <c r="R12" s="33">
        <v>154</v>
      </c>
      <c r="S12" s="19">
        <v>202.7</v>
      </c>
      <c r="T12" s="33">
        <v>203</v>
      </c>
      <c r="U12" s="19"/>
      <c r="W12" s="22">
        <v>7</v>
      </c>
      <c r="X12" s="19">
        <v>191.2</v>
      </c>
      <c r="Y12" s="22">
        <v>56</v>
      </c>
      <c r="Z12" s="19"/>
      <c r="AA12" s="22">
        <f t="shared" si="2"/>
        <v>105</v>
      </c>
      <c r="AB12" s="19">
        <v>204.2</v>
      </c>
      <c r="AC12" s="33">
        <v>154</v>
      </c>
      <c r="AD12" s="19"/>
      <c r="AE12" s="33">
        <v>203</v>
      </c>
      <c r="AF12" s="19">
        <v>212.2</v>
      </c>
    </row>
    <row r="13" spans="1:32" ht="15.75" x14ac:dyDescent="0.25">
      <c r="A13" s="22">
        <v>8</v>
      </c>
      <c r="B13" s="19">
        <v>205.9</v>
      </c>
      <c r="C13" s="22">
        <v>57</v>
      </c>
      <c r="D13" s="19">
        <v>198.5</v>
      </c>
      <c r="E13" s="22">
        <f t="shared" si="0"/>
        <v>106</v>
      </c>
      <c r="F13" s="19">
        <v>197.3</v>
      </c>
      <c r="G13" s="33">
        <v>155</v>
      </c>
      <c r="H13" s="19">
        <v>199.6</v>
      </c>
      <c r="I13" s="33">
        <v>204</v>
      </c>
      <c r="J13" s="19">
        <v>207.1</v>
      </c>
      <c r="L13" s="22">
        <v>8</v>
      </c>
      <c r="M13" s="19"/>
      <c r="N13" s="22">
        <v>57</v>
      </c>
      <c r="O13" s="19">
        <v>198.5</v>
      </c>
      <c r="P13" s="22">
        <f t="shared" si="1"/>
        <v>106</v>
      </c>
      <c r="Q13" s="19"/>
      <c r="R13" s="33">
        <v>155</v>
      </c>
      <c r="S13" s="19">
        <v>199.6</v>
      </c>
      <c r="T13" s="33">
        <v>204</v>
      </c>
      <c r="U13" s="19"/>
      <c r="W13" s="22">
        <v>8</v>
      </c>
      <c r="X13" s="19">
        <v>205.9</v>
      </c>
      <c r="Y13" s="22">
        <v>57</v>
      </c>
      <c r="Z13" s="19"/>
      <c r="AA13" s="22">
        <f t="shared" si="2"/>
        <v>106</v>
      </c>
      <c r="AB13" s="19">
        <v>197.3</v>
      </c>
      <c r="AC13" s="33">
        <v>155</v>
      </c>
      <c r="AD13" s="19"/>
      <c r="AE13" s="33">
        <v>204</v>
      </c>
      <c r="AF13" s="19">
        <v>207.1</v>
      </c>
    </row>
    <row r="14" spans="1:32" ht="15.75" x14ac:dyDescent="0.25">
      <c r="A14" s="22">
        <v>9</v>
      </c>
      <c r="B14" s="19">
        <v>163.19999999999999</v>
      </c>
      <c r="C14" s="22">
        <v>58</v>
      </c>
      <c r="D14" s="19">
        <v>197</v>
      </c>
      <c r="E14" s="22">
        <f t="shared" si="0"/>
        <v>107</v>
      </c>
      <c r="F14" s="19">
        <v>202</v>
      </c>
      <c r="G14" s="33">
        <v>156</v>
      </c>
      <c r="H14" s="19">
        <v>204.8</v>
      </c>
      <c r="I14" s="33">
        <v>205</v>
      </c>
      <c r="J14" s="19">
        <v>208.7</v>
      </c>
      <c r="L14" s="22">
        <v>9</v>
      </c>
      <c r="M14" s="19"/>
      <c r="N14" s="22">
        <v>58</v>
      </c>
      <c r="O14" s="19">
        <v>197</v>
      </c>
      <c r="P14" s="22">
        <f t="shared" si="1"/>
        <v>107</v>
      </c>
      <c r="Q14" s="19"/>
      <c r="R14" s="33">
        <v>156</v>
      </c>
      <c r="S14" s="19">
        <v>204.8</v>
      </c>
      <c r="T14" s="33">
        <v>205</v>
      </c>
      <c r="U14" s="19"/>
      <c r="W14" s="22">
        <v>9</v>
      </c>
      <c r="X14" s="19">
        <v>163.19999999999999</v>
      </c>
      <c r="Y14" s="22">
        <v>58</v>
      </c>
      <c r="Z14" s="19"/>
      <c r="AA14" s="22">
        <f t="shared" si="2"/>
        <v>107</v>
      </c>
      <c r="AB14" s="19">
        <v>202</v>
      </c>
      <c r="AC14" s="33">
        <v>156</v>
      </c>
      <c r="AD14" s="19"/>
      <c r="AE14" s="33">
        <v>205</v>
      </c>
      <c r="AF14" s="19">
        <v>208.7</v>
      </c>
    </row>
    <row r="15" spans="1:32" ht="15.75" x14ac:dyDescent="0.25">
      <c r="A15" s="22">
        <v>10</v>
      </c>
      <c r="B15" s="19">
        <v>204.9</v>
      </c>
      <c r="C15" s="22">
        <v>59</v>
      </c>
      <c r="D15" s="19">
        <v>204.1</v>
      </c>
      <c r="E15" s="22">
        <f t="shared" si="0"/>
        <v>108</v>
      </c>
      <c r="F15" s="19">
        <v>201.7</v>
      </c>
      <c r="G15" s="33">
        <v>157</v>
      </c>
      <c r="H15" s="19">
        <v>203.9</v>
      </c>
      <c r="I15" s="33">
        <v>206</v>
      </c>
      <c r="J15" s="19">
        <v>208.5</v>
      </c>
      <c r="L15" s="22">
        <v>10</v>
      </c>
      <c r="M15" s="19"/>
      <c r="N15" s="22">
        <v>59</v>
      </c>
      <c r="O15" s="19">
        <v>204.1</v>
      </c>
      <c r="P15" s="22">
        <f t="shared" si="1"/>
        <v>108</v>
      </c>
      <c r="Q15" s="19"/>
      <c r="R15" s="33">
        <v>157</v>
      </c>
      <c r="S15" s="19">
        <v>203.9</v>
      </c>
      <c r="T15" s="33">
        <v>206</v>
      </c>
      <c r="U15" s="19"/>
      <c r="W15" s="22">
        <v>10</v>
      </c>
      <c r="X15" s="19">
        <v>204.9</v>
      </c>
      <c r="Y15" s="22">
        <v>59</v>
      </c>
      <c r="Z15" s="19"/>
      <c r="AA15" s="22">
        <f t="shared" si="2"/>
        <v>108</v>
      </c>
      <c r="AB15" s="19">
        <v>201.7</v>
      </c>
      <c r="AC15" s="33">
        <v>157</v>
      </c>
      <c r="AD15" s="19"/>
      <c r="AE15" s="33">
        <v>206</v>
      </c>
      <c r="AF15" s="19">
        <v>208.5</v>
      </c>
    </row>
    <row r="16" spans="1:32" ht="15.75" x14ac:dyDescent="0.25">
      <c r="A16" s="22">
        <v>11</v>
      </c>
      <c r="B16" s="19">
        <v>203.1</v>
      </c>
      <c r="C16" s="22">
        <v>60</v>
      </c>
      <c r="D16" s="19">
        <v>205.3</v>
      </c>
      <c r="E16" s="22">
        <f t="shared" si="0"/>
        <v>109</v>
      </c>
      <c r="F16" s="19">
        <v>206.1</v>
      </c>
      <c r="G16" s="33">
        <v>158</v>
      </c>
      <c r="H16" s="19">
        <v>204.4</v>
      </c>
      <c r="I16" s="33">
        <v>207</v>
      </c>
      <c r="J16" s="19">
        <v>207.7</v>
      </c>
      <c r="L16" s="22">
        <v>11</v>
      </c>
      <c r="M16" s="19"/>
      <c r="N16" s="22">
        <v>60</v>
      </c>
      <c r="O16" s="19">
        <v>205.3</v>
      </c>
      <c r="P16" s="22">
        <f t="shared" si="1"/>
        <v>109</v>
      </c>
      <c r="Q16" s="19"/>
      <c r="R16" s="33">
        <v>158</v>
      </c>
      <c r="S16" s="19">
        <v>204.4</v>
      </c>
      <c r="T16" s="33">
        <v>207</v>
      </c>
      <c r="U16" s="19"/>
      <c r="W16" s="22">
        <v>11</v>
      </c>
      <c r="X16" s="19">
        <v>203.1</v>
      </c>
      <c r="Y16" s="22">
        <v>60</v>
      </c>
      <c r="Z16" s="19"/>
      <c r="AA16" s="22">
        <f t="shared" si="2"/>
        <v>109</v>
      </c>
      <c r="AB16" s="19">
        <v>206.1</v>
      </c>
      <c r="AC16" s="33">
        <v>158</v>
      </c>
      <c r="AD16" s="19"/>
      <c r="AE16" s="33">
        <v>207</v>
      </c>
      <c r="AF16" s="19">
        <v>207.7</v>
      </c>
    </row>
    <row r="17" spans="1:32" ht="15.75" x14ac:dyDescent="0.25">
      <c r="A17" s="22">
        <v>12</v>
      </c>
      <c r="B17" s="19">
        <v>193.6</v>
      </c>
      <c r="C17" s="22">
        <v>61</v>
      </c>
      <c r="D17" s="19">
        <v>207.4</v>
      </c>
      <c r="E17" s="22">
        <f t="shared" si="0"/>
        <v>110</v>
      </c>
      <c r="F17" s="19">
        <v>206</v>
      </c>
      <c r="G17" s="33">
        <v>159</v>
      </c>
      <c r="H17" s="19">
        <v>200.1</v>
      </c>
      <c r="I17" s="33">
        <v>208</v>
      </c>
      <c r="J17" s="19">
        <v>211.5</v>
      </c>
      <c r="L17" s="22">
        <v>12</v>
      </c>
      <c r="M17" s="19"/>
      <c r="N17" s="22">
        <v>61</v>
      </c>
      <c r="O17" s="19">
        <v>207.4</v>
      </c>
      <c r="P17" s="22">
        <f t="shared" si="1"/>
        <v>110</v>
      </c>
      <c r="Q17" s="19"/>
      <c r="R17" s="33">
        <v>159</v>
      </c>
      <c r="S17" s="19">
        <v>200.1</v>
      </c>
      <c r="T17" s="33">
        <v>208</v>
      </c>
      <c r="U17" s="19"/>
      <c r="W17" s="22">
        <v>12</v>
      </c>
      <c r="X17" s="19">
        <v>193.6</v>
      </c>
      <c r="Y17" s="22">
        <v>61</v>
      </c>
      <c r="Z17" s="19"/>
      <c r="AA17" s="22">
        <f t="shared" si="2"/>
        <v>110</v>
      </c>
      <c r="AB17" s="19">
        <v>206</v>
      </c>
      <c r="AC17" s="33">
        <v>159</v>
      </c>
      <c r="AD17" s="19"/>
      <c r="AE17" s="33">
        <v>208</v>
      </c>
      <c r="AF17" s="19">
        <v>211.5</v>
      </c>
    </row>
    <row r="18" spans="1:32" ht="15.75" x14ac:dyDescent="0.25">
      <c r="A18" s="22">
        <v>13</v>
      </c>
      <c r="B18" s="19">
        <v>208.5</v>
      </c>
      <c r="C18" s="22">
        <v>62</v>
      </c>
      <c r="D18" s="19">
        <v>198.6</v>
      </c>
      <c r="E18" s="22">
        <f t="shared" si="0"/>
        <v>111</v>
      </c>
      <c r="F18" s="19">
        <v>207</v>
      </c>
      <c r="G18" s="33">
        <v>160</v>
      </c>
      <c r="H18" s="19">
        <v>206.4</v>
      </c>
      <c r="I18" s="33">
        <v>209</v>
      </c>
      <c r="J18" s="19">
        <v>213.3</v>
      </c>
      <c r="L18" s="22">
        <v>13</v>
      </c>
      <c r="M18" s="19"/>
      <c r="N18" s="22">
        <v>62</v>
      </c>
      <c r="O18" s="19">
        <v>198.6</v>
      </c>
      <c r="P18" s="22">
        <f t="shared" si="1"/>
        <v>111</v>
      </c>
      <c r="Q18" s="19"/>
      <c r="R18" s="33">
        <v>160</v>
      </c>
      <c r="S18" s="19">
        <v>206.4</v>
      </c>
      <c r="T18" s="33">
        <v>209</v>
      </c>
      <c r="U18" s="19"/>
      <c r="W18" s="22">
        <v>13</v>
      </c>
      <c r="X18" s="19">
        <v>208.5</v>
      </c>
      <c r="Y18" s="22">
        <v>62</v>
      </c>
      <c r="Z18" s="19"/>
      <c r="AA18" s="22">
        <f t="shared" si="2"/>
        <v>111</v>
      </c>
      <c r="AB18" s="19">
        <v>207</v>
      </c>
      <c r="AC18" s="33">
        <v>160</v>
      </c>
      <c r="AD18" s="19"/>
      <c r="AE18" s="33">
        <v>209</v>
      </c>
      <c r="AF18" s="19">
        <v>213.3</v>
      </c>
    </row>
    <row r="19" spans="1:32" ht="15.75" x14ac:dyDescent="0.25">
      <c r="A19" s="22">
        <v>14</v>
      </c>
      <c r="B19" s="19">
        <v>182.6</v>
      </c>
      <c r="C19" s="22">
        <v>63</v>
      </c>
      <c r="D19" s="19">
        <v>207.8</v>
      </c>
      <c r="E19" s="22">
        <f t="shared" si="0"/>
        <v>112</v>
      </c>
      <c r="F19" s="19">
        <v>202.3</v>
      </c>
      <c r="G19" s="33">
        <v>161</v>
      </c>
      <c r="H19" s="19">
        <v>198.8</v>
      </c>
      <c r="I19" s="33">
        <v>210</v>
      </c>
      <c r="J19" s="19">
        <v>210.2</v>
      </c>
      <c r="L19" s="22">
        <v>14</v>
      </c>
      <c r="M19" s="19"/>
      <c r="N19" s="22">
        <v>63</v>
      </c>
      <c r="O19" s="19">
        <v>207.8</v>
      </c>
      <c r="P19" s="22">
        <f t="shared" si="1"/>
        <v>112</v>
      </c>
      <c r="Q19" s="19"/>
      <c r="R19" s="33">
        <v>161</v>
      </c>
      <c r="S19" s="19">
        <v>198.8</v>
      </c>
      <c r="T19" s="33">
        <v>210</v>
      </c>
      <c r="U19" s="19"/>
      <c r="W19" s="22">
        <v>14</v>
      </c>
      <c r="X19" s="19">
        <v>182.6</v>
      </c>
      <c r="Y19" s="22">
        <v>63</v>
      </c>
      <c r="Z19" s="19"/>
      <c r="AA19" s="22">
        <f t="shared" si="2"/>
        <v>112</v>
      </c>
      <c r="AB19" s="19">
        <v>202.3</v>
      </c>
      <c r="AC19" s="33">
        <v>161</v>
      </c>
      <c r="AD19" s="19"/>
      <c r="AE19" s="33">
        <v>210</v>
      </c>
      <c r="AF19" s="19">
        <v>210.2</v>
      </c>
    </row>
    <row r="20" spans="1:32" ht="15.75" x14ac:dyDescent="0.25">
      <c r="A20" s="22">
        <v>15</v>
      </c>
      <c r="B20" s="19">
        <v>202.2</v>
      </c>
      <c r="C20" s="22">
        <v>64</v>
      </c>
      <c r="D20" s="19">
        <v>200.4</v>
      </c>
      <c r="E20" s="22">
        <f t="shared" si="0"/>
        <v>113</v>
      </c>
      <c r="F20" s="19">
        <v>202.4</v>
      </c>
      <c r="G20" s="35">
        <v>162</v>
      </c>
      <c r="H20" s="19">
        <v>202.9</v>
      </c>
      <c r="I20" s="33">
        <v>211</v>
      </c>
      <c r="J20" s="19">
        <v>211.7</v>
      </c>
      <c r="L20" s="22">
        <v>15</v>
      </c>
      <c r="M20" s="19"/>
      <c r="N20" s="22">
        <v>64</v>
      </c>
      <c r="O20" s="19">
        <v>200.4</v>
      </c>
      <c r="P20" s="22">
        <f t="shared" si="1"/>
        <v>113</v>
      </c>
      <c r="Q20" s="19"/>
      <c r="R20" s="35">
        <v>162</v>
      </c>
      <c r="S20" s="19">
        <v>202.9</v>
      </c>
      <c r="T20" s="33">
        <v>211</v>
      </c>
      <c r="U20" s="19"/>
      <c r="W20" s="22">
        <v>15</v>
      </c>
      <c r="X20" s="19">
        <v>202.2</v>
      </c>
      <c r="Y20" s="22">
        <v>64</v>
      </c>
      <c r="Z20" s="19"/>
      <c r="AA20" s="22">
        <f t="shared" si="2"/>
        <v>113</v>
      </c>
      <c r="AB20" s="19">
        <v>202.4</v>
      </c>
      <c r="AC20" s="35">
        <v>162</v>
      </c>
      <c r="AD20" s="19"/>
      <c r="AE20" s="33">
        <v>211</v>
      </c>
      <c r="AF20" s="19">
        <v>211.7</v>
      </c>
    </row>
    <row r="21" spans="1:32" ht="15.75" x14ac:dyDescent="0.25">
      <c r="A21" s="22">
        <v>16</v>
      </c>
      <c r="B21" s="19">
        <v>203.8</v>
      </c>
      <c r="C21" s="22">
        <v>65</v>
      </c>
      <c r="D21" s="19">
        <v>201.8</v>
      </c>
      <c r="E21" s="22">
        <f t="shared" si="0"/>
        <v>114</v>
      </c>
      <c r="F21" s="19">
        <v>205.3</v>
      </c>
      <c r="G21" s="35">
        <v>163</v>
      </c>
      <c r="H21" s="19">
        <v>208.3</v>
      </c>
      <c r="I21" s="33">
        <v>212</v>
      </c>
      <c r="J21" s="19">
        <v>209.1</v>
      </c>
      <c r="L21" s="22">
        <v>16</v>
      </c>
      <c r="M21" s="19"/>
      <c r="N21" s="22">
        <v>65</v>
      </c>
      <c r="O21" s="19">
        <v>201.8</v>
      </c>
      <c r="P21" s="22">
        <f t="shared" si="1"/>
        <v>114</v>
      </c>
      <c r="Q21" s="19"/>
      <c r="R21" s="35">
        <v>163</v>
      </c>
      <c r="S21" s="19">
        <v>208.3</v>
      </c>
      <c r="T21" s="33">
        <v>212</v>
      </c>
      <c r="U21" s="19"/>
      <c r="W21" s="22">
        <v>16</v>
      </c>
      <c r="X21" s="19">
        <v>203.8</v>
      </c>
      <c r="Y21" s="22">
        <v>65</v>
      </c>
      <c r="Z21" s="19"/>
      <c r="AA21" s="22">
        <f t="shared" si="2"/>
        <v>114</v>
      </c>
      <c r="AB21" s="19">
        <v>205.3</v>
      </c>
      <c r="AC21" s="35">
        <v>163</v>
      </c>
      <c r="AD21" s="19"/>
      <c r="AE21" s="33">
        <v>212</v>
      </c>
      <c r="AF21" s="19">
        <v>209.1</v>
      </c>
    </row>
    <row r="22" spans="1:32" ht="15.75" x14ac:dyDescent="0.25">
      <c r="A22" s="22">
        <v>17</v>
      </c>
      <c r="B22" s="19">
        <v>175.4</v>
      </c>
      <c r="C22" s="22">
        <v>66</v>
      </c>
      <c r="D22" s="19">
        <v>200.6</v>
      </c>
      <c r="E22" s="22">
        <f t="shared" si="0"/>
        <v>115</v>
      </c>
      <c r="F22" s="19">
        <v>175.9</v>
      </c>
      <c r="G22" s="35">
        <v>164</v>
      </c>
      <c r="H22" s="19">
        <v>202.6</v>
      </c>
      <c r="I22" s="33">
        <v>213</v>
      </c>
      <c r="J22" s="19">
        <v>216.5</v>
      </c>
      <c r="L22" s="22">
        <v>17</v>
      </c>
      <c r="M22" s="19"/>
      <c r="N22" s="22">
        <v>66</v>
      </c>
      <c r="O22" s="19">
        <v>200.6</v>
      </c>
      <c r="P22" s="22">
        <f t="shared" si="1"/>
        <v>115</v>
      </c>
      <c r="Q22" s="19"/>
      <c r="R22" s="35">
        <v>164</v>
      </c>
      <c r="S22" s="19">
        <v>202.6</v>
      </c>
      <c r="T22" s="33">
        <v>213</v>
      </c>
      <c r="U22" s="19"/>
      <c r="W22" s="22">
        <v>17</v>
      </c>
      <c r="X22" s="19">
        <v>175.4</v>
      </c>
      <c r="Y22" s="22">
        <v>66</v>
      </c>
      <c r="Z22" s="19"/>
      <c r="AA22" s="22">
        <f t="shared" si="2"/>
        <v>115</v>
      </c>
      <c r="AB22" s="19">
        <v>175.9</v>
      </c>
      <c r="AC22" s="35">
        <v>164</v>
      </c>
      <c r="AD22" s="19"/>
      <c r="AE22" s="33">
        <v>213</v>
      </c>
      <c r="AF22" s="19">
        <v>216.5</v>
      </c>
    </row>
    <row r="23" spans="1:32" ht="15.75" x14ac:dyDescent="0.25">
      <c r="A23" s="22">
        <v>18</v>
      </c>
      <c r="B23" s="19">
        <v>197.6</v>
      </c>
      <c r="C23" s="22">
        <v>67</v>
      </c>
      <c r="D23" s="19">
        <v>204.1</v>
      </c>
      <c r="E23" s="22">
        <f t="shared" si="0"/>
        <v>116</v>
      </c>
      <c r="F23" s="19">
        <v>208.2</v>
      </c>
      <c r="G23" s="35">
        <v>165</v>
      </c>
      <c r="H23" s="19">
        <v>203.1</v>
      </c>
      <c r="I23" s="33">
        <v>214</v>
      </c>
      <c r="J23" s="19">
        <v>208.6</v>
      </c>
      <c r="L23" s="22">
        <v>18</v>
      </c>
      <c r="M23" s="19"/>
      <c r="N23" s="22">
        <v>67</v>
      </c>
      <c r="O23" s="19">
        <v>204.1</v>
      </c>
      <c r="P23" s="22">
        <f t="shared" si="1"/>
        <v>116</v>
      </c>
      <c r="Q23" s="19"/>
      <c r="R23" s="35">
        <v>165</v>
      </c>
      <c r="S23" s="19">
        <v>203.1</v>
      </c>
      <c r="T23" s="33">
        <v>214</v>
      </c>
      <c r="U23" s="19"/>
      <c r="W23" s="22">
        <v>18</v>
      </c>
      <c r="X23" s="19">
        <v>197.6</v>
      </c>
      <c r="Y23" s="22">
        <v>67</v>
      </c>
      <c r="Z23" s="19"/>
      <c r="AA23" s="22">
        <f t="shared" si="2"/>
        <v>116</v>
      </c>
      <c r="AB23" s="19">
        <v>208.2</v>
      </c>
      <c r="AC23" s="35">
        <v>165</v>
      </c>
      <c r="AD23" s="19"/>
      <c r="AE23" s="33">
        <v>214</v>
      </c>
      <c r="AF23" s="19">
        <v>208.6</v>
      </c>
    </row>
    <row r="24" spans="1:32" ht="15.75" x14ac:dyDescent="0.25">
      <c r="A24" s="22">
        <v>19</v>
      </c>
      <c r="B24" s="19">
        <v>205.1</v>
      </c>
      <c r="C24" s="22">
        <v>68</v>
      </c>
      <c r="D24" s="19">
        <v>198</v>
      </c>
      <c r="E24" s="22">
        <f t="shared" si="0"/>
        <v>117</v>
      </c>
      <c r="F24" s="19">
        <v>182.6</v>
      </c>
      <c r="G24" s="35">
        <v>166</v>
      </c>
      <c r="H24" s="19">
        <v>201.9</v>
      </c>
      <c r="I24" s="33">
        <v>215</v>
      </c>
      <c r="J24" s="19">
        <v>215.4</v>
      </c>
      <c r="L24" s="22">
        <v>19</v>
      </c>
      <c r="M24" s="19"/>
      <c r="N24" s="22">
        <v>68</v>
      </c>
      <c r="O24" s="19">
        <v>198</v>
      </c>
      <c r="P24" s="22">
        <f t="shared" si="1"/>
        <v>117</v>
      </c>
      <c r="Q24" s="19"/>
      <c r="R24" s="35">
        <v>166</v>
      </c>
      <c r="S24" s="19">
        <v>201.9</v>
      </c>
      <c r="T24" s="33">
        <v>215</v>
      </c>
      <c r="U24" s="19"/>
      <c r="W24" s="22">
        <v>19</v>
      </c>
      <c r="X24" s="19">
        <v>205.1</v>
      </c>
      <c r="Y24" s="22">
        <v>68</v>
      </c>
      <c r="Z24" s="19"/>
      <c r="AA24" s="22">
        <f t="shared" si="2"/>
        <v>117</v>
      </c>
      <c r="AB24" s="19">
        <v>182.6</v>
      </c>
      <c r="AC24" s="35">
        <v>166</v>
      </c>
      <c r="AD24" s="19"/>
      <c r="AE24" s="33">
        <v>215</v>
      </c>
      <c r="AF24" s="19">
        <v>215.4</v>
      </c>
    </row>
    <row r="25" spans="1:32" ht="15.75" x14ac:dyDescent="0.25">
      <c r="A25" s="22">
        <v>20</v>
      </c>
      <c r="B25" s="19">
        <v>180.5</v>
      </c>
      <c r="C25" s="22">
        <v>69</v>
      </c>
      <c r="D25" s="19">
        <v>206.7</v>
      </c>
      <c r="E25" s="22">
        <f t="shared" si="0"/>
        <v>118</v>
      </c>
      <c r="F25" s="19">
        <v>203.2</v>
      </c>
      <c r="G25" s="35">
        <v>167</v>
      </c>
      <c r="H25" s="19">
        <v>207.4</v>
      </c>
      <c r="I25" s="33">
        <v>216</v>
      </c>
      <c r="J25" s="19">
        <v>204.8</v>
      </c>
      <c r="L25" s="22">
        <v>20</v>
      </c>
      <c r="M25" s="19"/>
      <c r="N25" s="22">
        <v>69</v>
      </c>
      <c r="O25" s="19">
        <v>206.7</v>
      </c>
      <c r="P25" s="22">
        <f t="shared" si="1"/>
        <v>118</v>
      </c>
      <c r="Q25" s="19"/>
      <c r="R25" s="35">
        <v>167</v>
      </c>
      <c r="S25" s="19">
        <v>207.4</v>
      </c>
      <c r="T25" s="33">
        <v>216</v>
      </c>
      <c r="U25" s="19"/>
      <c r="W25" s="22">
        <v>20</v>
      </c>
      <c r="X25" s="19">
        <v>180.5</v>
      </c>
      <c r="Y25" s="22">
        <v>69</v>
      </c>
      <c r="Z25" s="19"/>
      <c r="AA25" s="22">
        <f t="shared" si="2"/>
        <v>118</v>
      </c>
      <c r="AB25" s="19">
        <v>203.2</v>
      </c>
      <c r="AC25" s="35">
        <v>167</v>
      </c>
      <c r="AD25" s="19"/>
      <c r="AE25" s="33">
        <v>216</v>
      </c>
      <c r="AF25" s="19">
        <v>204.8</v>
      </c>
    </row>
    <row r="26" spans="1:32" ht="15.75" x14ac:dyDescent="0.25">
      <c r="A26" s="22">
        <v>21</v>
      </c>
      <c r="B26" s="19">
        <v>204.6</v>
      </c>
      <c r="C26" s="22">
        <v>70</v>
      </c>
      <c r="D26" s="19">
        <v>206.3</v>
      </c>
      <c r="E26" s="22">
        <f t="shared" si="0"/>
        <v>119</v>
      </c>
      <c r="F26" s="19">
        <v>200.5</v>
      </c>
      <c r="G26" s="35">
        <v>168</v>
      </c>
      <c r="H26" s="19">
        <v>203.9</v>
      </c>
      <c r="I26" s="33">
        <v>217</v>
      </c>
      <c r="J26" s="19">
        <v>205.2</v>
      </c>
      <c r="L26" s="22">
        <v>21</v>
      </c>
      <c r="M26" s="19"/>
      <c r="N26" s="22">
        <v>70</v>
      </c>
      <c r="O26" s="19">
        <v>206.3</v>
      </c>
      <c r="P26" s="22">
        <f t="shared" si="1"/>
        <v>119</v>
      </c>
      <c r="Q26" s="19"/>
      <c r="R26" s="35">
        <v>168</v>
      </c>
      <c r="S26" s="19">
        <v>203.9</v>
      </c>
      <c r="T26" s="33">
        <v>217</v>
      </c>
      <c r="U26" s="19"/>
      <c r="W26" s="22">
        <v>21</v>
      </c>
      <c r="X26" s="19">
        <v>204.6</v>
      </c>
      <c r="Y26" s="22">
        <v>70</v>
      </c>
      <c r="Z26" s="19"/>
      <c r="AA26" s="22">
        <f t="shared" si="2"/>
        <v>119</v>
      </c>
      <c r="AB26" s="19">
        <v>200.5</v>
      </c>
      <c r="AC26" s="35">
        <v>168</v>
      </c>
      <c r="AD26" s="19"/>
      <c r="AE26" s="33">
        <v>217</v>
      </c>
      <c r="AF26" s="19">
        <v>205.2</v>
      </c>
    </row>
    <row r="27" spans="1:32" ht="15.75" x14ac:dyDescent="0.25">
      <c r="A27" s="22">
        <v>22</v>
      </c>
      <c r="B27" s="19">
        <v>205.7</v>
      </c>
      <c r="C27" s="22">
        <v>71</v>
      </c>
      <c r="D27" s="19">
        <v>207.1</v>
      </c>
      <c r="E27" s="22">
        <f t="shared" si="0"/>
        <v>120</v>
      </c>
      <c r="F27" s="19">
        <v>202.3</v>
      </c>
      <c r="G27" s="35">
        <v>169</v>
      </c>
      <c r="H27" s="19">
        <v>202.3</v>
      </c>
      <c r="I27" s="33">
        <v>218</v>
      </c>
      <c r="J27" s="19">
        <v>212.9</v>
      </c>
      <c r="L27" s="22">
        <v>22</v>
      </c>
      <c r="M27" s="19"/>
      <c r="N27" s="22">
        <v>71</v>
      </c>
      <c r="O27" s="19">
        <v>207.1</v>
      </c>
      <c r="P27" s="22">
        <f t="shared" si="1"/>
        <v>120</v>
      </c>
      <c r="Q27" s="19"/>
      <c r="R27" s="35">
        <v>169</v>
      </c>
      <c r="S27" s="19">
        <v>202.3</v>
      </c>
      <c r="T27" s="33">
        <v>218</v>
      </c>
      <c r="U27" s="19"/>
      <c r="W27" s="22">
        <v>22</v>
      </c>
      <c r="X27" s="19">
        <v>205.7</v>
      </c>
      <c r="Y27" s="22">
        <v>71</v>
      </c>
      <c r="Z27" s="19"/>
      <c r="AA27" s="22">
        <f t="shared" si="2"/>
        <v>120</v>
      </c>
      <c r="AB27" s="19">
        <v>202.3</v>
      </c>
      <c r="AC27" s="35">
        <v>169</v>
      </c>
      <c r="AD27" s="19"/>
      <c r="AE27" s="33">
        <v>218</v>
      </c>
      <c r="AF27" s="19">
        <v>212.9</v>
      </c>
    </row>
    <row r="28" spans="1:32" ht="15.75" x14ac:dyDescent="0.25">
      <c r="A28" s="22">
        <v>23</v>
      </c>
      <c r="B28" s="19">
        <v>184.6</v>
      </c>
      <c r="C28" s="22">
        <v>72</v>
      </c>
      <c r="D28" s="19">
        <v>206.5</v>
      </c>
      <c r="E28" s="22">
        <f t="shared" si="0"/>
        <v>121</v>
      </c>
      <c r="F28" s="19">
        <v>199</v>
      </c>
      <c r="G28" s="35">
        <v>170</v>
      </c>
      <c r="H28" s="19">
        <v>205.2</v>
      </c>
      <c r="I28" s="33">
        <v>219</v>
      </c>
      <c r="J28" s="19">
        <v>200</v>
      </c>
      <c r="L28" s="22">
        <v>23</v>
      </c>
      <c r="M28" s="19"/>
      <c r="N28" s="22">
        <v>72</v>
      </c>
      <c r="O28" s="19">
        <v>206.5</v>
      </c>
      <c r="P28" s="22">
        <f t="shared" si="1"/>
        <v>121</v>
      </c>
      <c r="Q28" s="19"/>
      <c r="R28" s="35">
        <v>170</v>
      </c>
      <c r="S28" s="19">
        <v>205.2</v>
      </c>
      <c r="T28" s="33">
        <v>219</v>
      </c>
      <c r="U28" s="19"/>
      <c r="W28" s="22">
        <v>23</v>
      </c>
      <c r="X28" s="19">
        <v>184.6</v>
      </c>
      <c r="Y28" s="22">
        <v>72</v>
      </c>
      <c r="Z28" s="19"/>
      <c r="AA28" s="22">
        <f t="shared" si="2"/>
        <v>121</v>
      </c>
      <c r="AB28" s="19">
        <v>199</v>
      </c>
      <c r="AC28" s="35">
        <v>170</v>
      </c>
      <c r="AD28" s="19"/>
      <c r="AE28" s="33">
        <v>219</v>
      </c>
      <c r="AF28" s="19">
        <v>200</v>
      </c>
    </row>
    <row r="29" spans="1:32" ht="15.75" x14ac:dyDescent="0.25">
      <c r="A29" s="22">
        <v>24</v>
      </c>
      <c r="B29" s="19">
        <v>207.3</v>
      </c>
      <c r="C29" s="22">
        <v>73</v>
      </c>
      <c r="D29" s="19">
        <v>210.7</v>
      </c>
      <c r="E29" s="22">
        <f t="shared" si="0"/>
        <v>122</v>
      </c>
      <c r="F29" s="19">
        <v>191.2</v>
      </c>
      <c r="G29" s="35">
        <v>171</v>
      </c>
      <c r="H29" s="19">
        <v>201.5</v>
      </c>
      <c r="I29" s="33">
        <v>220</v>
      </c>
      <c r="J29" s="19">
        <v>205.7</v>
      </c>
      <c r="L29" s="22">
        <v>24</v>
      </c>
      <c r="M29" s="19"/>
      <c r="N29" s="22">
        <v>73</v>
      </c>
      <c r="O29" s="19">
        <v>210.7</v>
      </c>
      <c r="P29" s="22">
        <f t="shared" si="1"/>
        <v>122</v>
      </c>
      <c r="Q29" s="19"/>
      <c r="R29" s="35">
        <v>171</v>
      </c>
      <c r="S29" s="19">
        <v>201.5</v>
      </c>
      <c r="T29" s="33">
        <v>220</v>
      </c>
      <c r="U29" s="19"/>
      <c r="W29" s="22">
        <v>24</v>
      </c>
      <c r="X29" s="19">
        <v>207.3</v>
      </c>
      <c r="Y29" s="22">
        <v>73</v>
      </c>
      <c r="Z29" s="19"/>
      <c r="AA29" s="22">
        <f t="shared" si="2"/>
        <v>122</v>
      </c>
      <c r="AB29" s="19">
        <v>191.2</v>
      </c>
      <c r="AC29" s="35">
        <v>171</v>
      </c>
      <c r="AD29" s="19"/>
      <c r="AE29" s="33">
        <v>220</v>
      </c>
      <c r="AF29" s="19">
        <v>205.7</v>
      </c>
    </row>
    <row r="30" spans="1:32" ht="15.75" x14ac:dyDescent="0.25">
      <c r="A30" s="22">
        <v>25</v>
      </c>
      <c r="B30" s="19">
        <v>173.1</v>
      </c>
      <c r="C30" s="22">
        <v>74</v>
      </c>
      <c r="D30" s="19">
        <v>201.4</v>
      </c>
      <c r="E30" s="22">
        <f t="shared" si="0"/>
        <v>123</v>
      </c>
      <c r="F30" s="19">
        <v>205.9</v>
      </c>
      <c r="G30" s="35">
        <v>172</v>
      </c>
      <c r="H30" s="19">
        <v>209.4</v>
      </c>
      <c r="I30" s="20"/>
      <c r="J30" s="36"/>
      <c r="L30" s="22">
        <v>25</v>
      </c>
      <c r="M30" s="19"/>
      <c r="N30" s="22">
        <v>74</v>
      </c>
      <c r="O30" s="19">
        <v>201.4</v>
      </c>
      <c r="P30" s="22">
        <f t="shared" si="1"/>
        <v>123</v>
      </c>
      <c r="Q30" s="19"/>
      <c r="R30" s="35">
        <v>172</v>
      </c>
      <c r="S30" s="19">
        <v>209.4</v>
      </c>
      <c r="T30" s="20"/>
      <c r="U30" s="36"/>
      <c r="W30" s="22">
        <v>25</v>
      </c>
      <c r="X30" s="19">
        <v>173.1</v>
      </c>
      <c r="Y30" s="22">
        <v>74</v>
      </c>
      <c r="Z30" s="19"/>
      <c r="AA30" s="22">
        <f t="shared" si="2"/>
        <v>123</v>
      </c>
      <c r="AB30" s="19">
        <v>205.9</v>
      </c>
      <c r="AC30" s="35">
        <v>172</v>
      </c>
      <c r="AD30" s="19"/>
      <c r="AE30" s="20"/>
      <c r="AF30" s="36"/>
    </row>
    <row r="31" spans="1:32" ht="15.75" x14ac:dyDescent="0.25">
      <c r="A31" s="22">
        <v>26</v>
      </c>
      <c r="B31" s="19">
        <v>207.5</v>
      </c>
      <c r="C31" s="22">
        <v>75</v>
      </c>
      <c r="D31" s="19">
        <v>199.2</v>
      </c>
      <c r="E31" s="22">
        <f t="shared" si="0"/>
        <v>124</v>
      </c>
      <c r="F31" s="19">
        <v>201.7</v>
      </c>
      <c r="G31" s="35">
        <v>173</v>
      </c>
      <c r="H31" s="19">
        <v>203.4</v>
      </c>
      <c r="I31" s="20"/>
      <c r="J31" s="36"/>
      <c r="L31" s="22">
        <v>26</v>
      </c>
      <c r="M31" s="19"/>
      <c r="N31" s="22">
        <v>75</v>
      </c>
      <c r="O31" s="19">
        <v>199.2</v>
      </c>
      <c r="P31" s="22">
        <f t="shared" si="1"/>
        <v>124</v>
      </c>
      <c r="Q31" s="19"/>
      <c r="R31" s="35">
        <v>173</v>
      </c>
      <c r="S31" s="19">
        <v>203.4</v>
      </c>
      <c r="T31" s="20"/>
      <c r="U31" s="36"/>
      <c r="W31" s="22">
        <v>26</v>
      </c>
      <c r="X31" s="19">
        <v>207.5</v>
      </c>
      <c r="Y31" s="22">
        <v>75</v>
      </c>
      <c r="Z31" s="19"/>
      <c r="AA31" s="22">
        <f t="shared" si="2"/>
        <v>124</v>
      </c>
      <c r="AB31" s="19">
        <v>201.7</v>
      </c>
      <c r="AC31" s="35">
        <v>173</v>
      </c>
      <c r="AD31" s="19"/>
      <c r="AE31" s="20"/>
      <c r="AF31" s="36"/>
    </row>
    <row r="32" spans="1:32" ht="15.75" x14ac:dyDescent="0.25">
      <c r="A32" s="22">
        <v>27</v>
      </c>
      <c r="B32" s="19">
        <v>203.9</v>
      </c>
      <c r="C32" s="22">
        <v>76</v>
      </c>
      <c r="D32" s="19">
        <v>204.4</v>
      </c>
      <c r="E32" s="22">
        <f t="shared" si="0"/>
        <v>125</v>
      </c>
      <c r="F32" s="19">
        <v>199.9</v>
      </c>
      <c r="G32" s="33">
        <v>174</v>
      </c>
      <c r="H32" s="19">
        <v>197.8</v>
      </c>
      <c r="I32" s="21"/>
      <c r="J32" s="36"/>
      <c r="L32" s="22">
        <v>27</v>
      </c>
      <c r="M32" s="19"/>
      <c r="N32" s="22">
        <v>76</v>
      </c>
      <c r="O32" s="19">
        <v>204.4</v>
      </c>
      <c r="P32" s="22">
        <f t="shared" si="1"/>
        <v>125</v>
      </c>
      <c r="Q32" s="19"/>
      <c r="R32" s="33">
        <v>174</v>
      </c>
      <c r="S32" s="19">
        <v>197.8</v>
      </c>
      <c r="T32" s="21"/>
      <c r="U32" s="36"/>
      <c r="W32" s="22">
        <v>27</v>
      </c>
      <c r="X32" s="19">
        <v>203.9</v>
      </c>
      <c r="Y32" s="22">
        <v>76</v>
      </c>
      <c r="Z32" s="19"/>
      <c r="AA32" s="22">
        <f t="shared" si="2"/>
        <v>125</v>
      </c>
      <c r="AB32" s="19">
        <v>199.9</v>
      </c>
      <c r="AC32" s="33">
        <v>174</v>
      </c>
      <c r="AD32" s="19"/>
      <c r="AE32" s="21"/>
      <c r="AF32" s="36"/>
    </row>
    <row r="33" spans="1:32" ht="15.75" x14ac:dyDescent="0.25">
      <c r="A33" s="22">
        <v>28</v>
      </c>
      <c r="B33" s="19">
        <v>181.9</v>
      </c>
      <c r="C33" s="22">
        <v>77</v>
      </c>
      <c r="D33" s="19">
        <v>198.5</v>
      </c>
      <c r="E33" s="22">
        <f t="shared" si="0"/>
        <v>126</v>
      </c>
      <c r="F33" s="19">
        <v>203.3</v>
      </c>
      <c r="G33" s="33">
        <v>175</v>
      </c>
      <c r="H33" s="19">
        <v>202.7</v>
      </c>
      <c r="I33" s="20"/>
      <c r="J33" s="36"/>
      <c r="L33" s="22">
        <v>28</v>
      </c>
      <c r="M33" s="19"/>
      <c r="N33" s="22">
        <v>77</v>
      </c>
      <c r="O33" s="19">
        <v>198.5</v>
      </c>
      <c r="P33" s="22">
        <f t="shared" si="1"/>
        <v>126</v>
      </c>
      <c r="Q33" s="19"/>
      <c r="R33" s="33">
        <v>175</v>
      </c>
      <c r="S33" s="19">
        <v>202.7</v>
      </c>
      <c r="T33" s="20"/>
      <c r="U33" s="36"/>
      <c r="W33" s="22">
        <v>28</v>
      </c>
      <c r="X33" s="19">
        <v>181.9</v>
      </c>
      <c r="Y33" s="22">
        <v>77</v>
      </c>
      <c r="Z33" s="19"/>
      <c r="AA33" s="22">
        <f t="shared" si="2"/>
        <v>126</v>
      </c>
      <c r="AB33" s="19">
        <v>203.3</v>
      </c>
      <c r="AC33" s="33">
        <v>175</v>
      </c>
      <c r="AD33" s="19"/>
      <c r="AE33" s="20"/>
      <c r="AF33" s="36"/>
    </row>
    <row r="34" spans="1:32" ht="15.75" x14ac:dyDescent="0.25">
      <c r="A34" s="22">
        <v>29</v>
      </c>
      <c r="B34" s="19">
        <v>197.2</v>
      </c>
      <c r="C34" s="22">
        <v>78</v>
      </c>
      <c r="D34" s="19">
        <v>202.3</v>
      </c>
      <c r="E34" s="22">
        <f t="shared" si="0"/>
        <v>127</v>
      </c>
      <c r="F34" s="19">
        <v>207.5</v>
      </c>
      <c r="G34" s="33">
        <v>176</v>
      </c>
      <c r="H34" s="19">
        <v>206.7</v>
      </c>
      <c r="I34" s="20"/>
      <c r="J34" s="36"/>
      <c r="L34" s="22">
        <v>29</v>
      </c>
      <c r="M34" s="19"/>
      <c r="N34" s="22">
        <v>78</v>
      </c>
      <c r="O34" s="19">
        <v>202.3</v>
      </c>
      <c r="P34" s="22">
        <f t="shared" si="1"/>
        <v>127</v>
      </c>
      <c r="Q34" s="19"/>
      <c r="R34" s="33">
        <v>176</v>
      </c>
      <c r="S34" s="19">
        <v>206.7</v>
      </c>
      <c r="T34" s="20"/>
      <c r="U34" s="36"/>
      <c r="W34" s="22">
        <v>29</v>
      </c>
      <c r="X34" s="19">
        <v>197.2</v>
      </c>
      <c r="Y34" s="22">
        <v>78</v>
      </c>
      <c r="Z34" s="19"/>
      <c r="AA34" s="22">
        <f t="shared" si="2"/>
        <v>127</v>
      </c>
      <c r="AB34" s="19">
        <v>207.5</v>
      </c>
      <c r="AC34" s="33">
        <v>176</v>
      </c>
      <c r="AD34" s="19"/>
      <c r="AE34" s="20"/>
      <c r="AF34" s="36"/>
    </row>
    <row r="35" spans="1:32" ht="15.75" x14ac:dyDescent="0.25">
      <c r="A35" s="22">
        <v>30</v>
      </c>
      <c r="B35" s="19">
        <v>197.2</v>
      </c>
      <c r="C35" s="22">
        <v>79</v>
      </c>
      <c r="D35" s="19">
        <v>205.1</v>
      </c>
      <c r="E35" s="22">
        <f t="shared" si="0"/>
        <v>128</v>
      </c>
      <c r="F35" s="19">
        <v>202.2</v>
      </c>
      <c r="G35" s="33">
        <v>177</v>
      </c>
      <c r="H35" s="19">
        <v>209.5</v>
      </c>
      <c r="I35" s="21"/>
      <c r="J35" s="36"/>
      <c r="L35" s="22">
        <v>30</v>
      </c>
      <c r="M35" s="19"/>
      <c r="N35" s="22">
        <v>79</v>
      </c>
      <c r="O35" s="19">
        <v>205.1</v>
      </c>
      <c r="P35" s="22">
        <f t="shared" si="1"/>
        <v>128</v>
      </c>
      <c r="Q35" s="19"/>
      <c r="R35" s="33">
        <v>177</v>
      </c>
      <c r="S35" s="19">
        <v>209.5</v>
      </c>
      <c r="T35" s="21"/>
      <c r="U35" s="36"/>
      <c r="W35" s="22">
        <v>30</v>
      </c>
      <c r="X35" s="19">
        <v>197.2</v>
      </c>
      <c r="Y35" s="22">
        <v>79</v>
      </c>
      <c r="Z35" s="19"/>
      <c r="AA35" s="22">
        <f t="shared" si="2"/>
        <v>128</v>
      </c>
      <c r="AB35" s="19">
        <v>202.2</v>
      </c>
      <c r="AC35" s="33">
        <v>177</v>
      </c>
      <c r="AD35" s="19"/>
      <c r="AE35" s="21"/>
      <c r="AF35" s="36"/>
    </row>
    <row r="36" spans="1:32" ht="15.75" x14ac:dyDescent="0.25">
      <c r="A36" s="22">
        <v>31</v>
      </c>
      <c r="B36" s="19">
        <v>201.7</v>
      </c>
      <c r="C36" s="22">
        <v>80</v>
      </c>
      <c r="D36" s="19">
        <v>207.5</v>
      </c>
      <c r="E36" s="22">
        <f t="shared" si="0"/>
        <v>129</v>
      </c>
      <c r="F36" s="19">
        <v>206.5</v>
      </c>
      <c r="G36" s="33">
        <v>178</v>
      </c>
      <c r="H36" s="19">
        <v>203.8</v>
      </c>
      <c r="I36" s="20"/>
      <c r="J36" s="36"/>
      <c r="L36" s="22">
        <v>31</v>
      </c>
      <c r="M36" s="19">
        <v>201.7</v>
      </c>
      <c r="N36" s="22">
        <v>80</v>
      </c>
      <c r="O36" s="19">
        <v>207.5</v>
      </c>
      <c r="P36" s="22">
        <f t="shared" si="1"/>
        <v>129</v>
      </c>
      <c r="Q36" s="19"/>
      <c r="R36" s="33">
        <v>178</v>
      </c>
      <c r="S36" s="19">
        <v>203.8</v>
      </c>
      <c r="T36" s="20"/>
      <c r="U36" s="36"/>
      <c r="W36" s="22">
        <v>31</v>
      </c>
      <c r="X36" s="19"/>
      <c r="Y36" s="22">
        <v>80</v>
      </c>
      <c r="Z36" s="19"/>
      <c r="AA36" s="22">
        <f t="shared" si="2"/>
        <v>129</v>
      </c>
      <c r="AB36" s="19">
        <v>206.5</v>
      </c>
      <c r="AC36" s="33">
        <v>178</v>
      </c>
      <c r="AD36" s="19"/>
      <c r="AE36" s="20"/>
      <c r="AF36" s="36"/>
    </row>
    <row r="37" spans="1:32" ht="15.75" x14ac:dyDescent="0.25">
      <c r="A37" s="22">
        <v>32</v>
      </c>
      <c r="B37" s="19">
        <v>195.5</v>
      </c>
      <c r="C37" s="22">
        <v>81</v>
      </c>
      <c r="D37" s="19">
        <v>206.4</v>
      </c>
      <c r="E37" s="22">
        <f t="shared" si="0"/>
        <v>130</v>
      </c>
      <c r="F37" s="19">
        <v>209.5</v>
      </c>
      <c r="G37" s="33">
        <v>179</v>
      </c>
      <c r="H37" s="19">
        <v>210.8</v>
      </c>
      <c r="I37" s="20"/>
      <c r="J37" s="36"/>
      <c r="L37" s="22">
        <v>32</v>
      </c>
      <c r="M37" s="19">
        <v>195.5</v>
      </c>
      <c r="N37" s="22">
        <v>81</v>
      </c>
      <c r="O37" s="19">
        <v>206.4</v>
      </c>
      <c r="P37" s="22">
        <f t="shared" si="1"/>
        <v>130</v>
      </c>
      <c r="Q37" s="19"/>
      <c r="R37" s="33">
        <v>179</v>
      </c>
      <c r="S37" s="19">
        <v>210.8</v>
      </c>
      <c r="T37" s="20"/>
      <c r="U37" s="36"/>
      <c r="W37" s="22">
        <v>32</v>
      </c>
      <c r="X37" s="19"/>
      <c r="Y37" s="22">
        <v>81</v>
      </c>
      <c r="Z37" s="19"/>
      <c r="AA37" s="22">
        <f t="shared" si="2"/>
        <v>130</v>
      </c>
      <c r="AB37" s="19">
        <v>209.5</v>
      </c>
      <c r="AC37" s="33">
        <v>179</v>
      </c>
      <c r="AD37" s="19"/>
      <c r="AE37" s="20"/>
      <c r="AF37" s="36"/>
    </row>
    <row r="38" spans="1:32" ht="15.75" x14ac:dyDescent="0.25">
      <c r="A38" s="22">
        <v>33</v>
      </c>
      <c r="B38" s="19">
        <v>200.9</v>
      </c>
      <c r="C38" s="22">
        <v>82</v>
      </c>
      <c r="D38" s="19">
        <v>199.9</v>
      </c>
      <c r="E38" s="22">
        <f t="shared" si="0"/>
        <v>131</v>
      </c>
      <c r="F38" s="19">
        <v>210.3</v>
      </c>
      <c r="G38" s="33">
        <v>180</v>
      </c>
      <c r="H38" s="19">
        <v>209.4</v>
      </c>
      <c r="I38" s="21"/>
      <c r="J38" s="36"/>
      <c r="L38" s="22">
        <v>33</v>
      </c>
      <c r="M38" s="19">
        <v>200.9</v>
      </c>
      <c r="N38" s="22">
        <v>82</v>
      </c>
      <c r="O38" s="19">
        <v>199.9</v>
      </c>
      <c r="P38" s="22">
        <f t="shared" si="1"/>
        <v>131</v>
      </c>
      <c r="Q38" s="19"/>
      <c r="R38" s="33">
        <v>180</v>
      </c>
      <c r="S38" s="19">
        <v>209.4</v>
      </c>
      <c r="T38" s="21"/>
      <c r="U38" s="36"/>
      <c r="W38" s="22">
        <v>33</v>
      </c>
      <c r="X38" s="19"/>
      <c r="Y38" s="22">
        <v>82</v>
      </c>
      <c r="Z38" s="19"/>
      <c r="AA38" s="22">
        <f t="shared" si="2"/>
        <v>131</v>
      </c>
      <c r="AB38" s="19">
        <v>210.3</v>
      </c>
      <c r="AC38" s="33">
        <v>180</v>
      </c>
      <c r="AD38" s="19"/>
      <c r="AE38" s="21"/>
      <c r="AF38" s="36"/>
    </row>
    <row r="39" spans="1:32" ht="15.75" x14ac:dyDescent="0.25">
      <c r="A39" s="22">
        <v>34</v>
      </c>
      <c r="B39" s="19">
        <v>203.9</v>
      </c>
      <c r="C39" s="22">
        <v>83</v>
      </c>
      <c r="D39" s="19">
        <v>206.1</v>
      </c>
      <c r="E39" s="22">
        <f t="shared" si="0"/>
        <v>132</v>
      </c>
      <c r="F39" s="19">
        <v>202.5</v>
      </c>
      <c r="G39" s="33">
        <v>181</v>
      </c>
      <c r="H39" s="19">
        <v>214.2</v>
      </c>
      <c r="I39" s="21"/>
      <c r="J39" s="36"/>
      <c r="L39" s="22">
        <v>34</v>
      </c>
      <c r="M39" s="19">
        <v>203.9</v>
      </c>
      <c r="N39" s="22">
        <v>83</v>
      </c>
      <c r="O39" s="19">
        <v>206.1</v>
      </c>
      <c r="P39" s="22">
        <f t="shared" si="1"/>
        <v>132</v>
      </c>
      <c r="Q39" s="19"/>
      <c r="R39" s="33">
        <v>181</v>
      </c>
      <c r="S39" s="19">
        <v>214.2</v>
      </c>
      <c r="T39" s="21"/>
      <c r="U39" s="36"/>
      <c r="W39" s="22">
        <v>34</v>
      </c>
      <c r="X39" s="19"/>
      <c r="Y39" s="22">
        <v>83</v>
      </c>
      <c r="Z39" s="19"/>
      <c r="AA39" s="22">
        <f t="shared" si="2"/>
        <v>132</v>
      </c>
      <c r="AB39" s="19">
        <v>202.5</v>
      </c>
      <c r="AC39" s="33">
        <v>181</v>
      </c>
      <c r="AD39" s="19"/>
      <c r="AE39" s="21"/>
      <c r="AF39" s="36"/>
    </row>
    <row r="40" spans="1:32" ht="15.75" x14ac:dyDescent="0.25">
      <c r="A40" s="22">
        <v>35</v>
      </c>
      <c r="B40" s="19">
        <v>193.1</v>
      </c>
      <c r="C40" s="22">
        <v>84</v>
      </c>
      <c r="D40" s="19">
        <v>200.8</v>
      </c>
      <c r="E40" s="22">
        <f t="shared" si="0"/>
        <v>133</v>
      </c>
      <c r="F40" s="19">
        <v>207.1</v>
      </c>
      <c r="G40" s="33">
        <v>182</v>
      </c>
      <c r="H40" s="19">
        <v>210.8</v>
      </c>
      <c r="I40" s="20"/>
      <c r="J40" s="36"/>
      <c r="L40" s="22">
        <v>35</v>
      </c>
      <c r="M40" s="19">
        <v>193.1</v>
      </c>
      <c r="N40" s="22">
        <v>84</v>
      </c>
      <c r="O40" s="19">
        <v>200.8</v>
      </c>
      <c r="P40" s="22">
        <f t="shared" si="1"/>
        <v>133</v>
      </c>
      <c r="Q40" s="19"/>
      <c r="R40" s="33">
        <v>182</v>
      </c>
      <c r="S40" s="19">
        <v>210.8</v>
      </c>
      <c r="T40" s="20"/>
      <c r="U40" s="36"/>
      <c r="W40" s="22">
        <v>35</v>
      </c>
      <c r="X40" s="19"/>
      <c r="Y40" s="22">
        <v>84</v>
      </c>
      <c r="Z40" s="19"/>
      <c r="AA40" s="22">
        <f t="shared" si="2"/>
        <v>133</v>
      </c>
      <c r="AB40" s="19">
        <v>207.1</v>
      </c>
      <c r="AC40" s="33">
        <v>182</v>
      </c>
      <c r="AD40" s="19"/>
      <c r="AE40" s="20"/>
      <c r="AF40" s="36"/>
    </row>
    <row r="41" spans="1:32" ht="15.75" x14ac:dyDescent="0.25">
      <c r="A41" s="22">
        <v>36</v>
      </c>
      <c r="B41" s="19">
        <v>196.5</v>
      </c>
      <c r="C41" s="22">
        <v>85</v>
      </c>
      <c r="D41" s="19">
        <v>211.9</v>
      </c>
      <c r="E41" s="22">
        <f t="shared" si="0"/>
        <v>134</v>
      </c>
      <c r="F41" s="19">
        <v>202.7</v>
      </c>
      <c r="G41" s="33">
        <v>183</v>
      </c>
      <c r="H41" s="19">
        <v>208.5</v>
      </c>
      <c r="I41" s="20"/>
      <c r="J41" s="36"/>
      <c r="L41" s="22">
        <v>36</v>
      </c>
      <c r="M41" s="19">
        <v>196.5</v>
      </c>
      <c r="N41" s="22">
        <v>85</v>
      </c>
      <c r="O41" s="19">
        <v>211.9</v>
      </c>
      <c r="P41" s="22">
        <f t="shared" si="1"/>
        <v>134</v>
      </c>
      <c r="Q41" s="19"/>
      <c r="R41" s="33">
        <v>183</v>
      </c>
      <c r="S41" s="19">
        <v>208.5</v>
      </c>
      <c r="T41" s="20"/>
      <c r="U41" s="36"/>
      <c r="W41" s="22">
        <v>36</v>
      </c>
      <c r="X41" s="19"/>
      <c r="Y41" s="22">
        <v>85</v>
      </c>
      <c r="Z41" s="19"/>
      <c r="AA41" s="22">
        <f t="shared" si="2"/>
        <v>134</v>
      </c>
      <c r="AB41" s="19">
        <v>202.7</v>
      </c>
      <c r="AC41" s="33">
        <v>183</v>
      </c>
      <c r="AD41" s="19"/>
      <c r="AE41" s="20"/>
      <c r="AF41" s="36"/>
    </row>
    <row r="42" spans="1:32" ht="15.75" x14ac:dyDescent="0.25">
      <c r="A42" s="22">
        <v>37</v>
      </c>
      <c r="B42" s="19">
        <v>197</v>
      </c>
      <c r="C42" s="22">
        <v>86</v>
      </c>
      <c r="D42" s="19">
        <v>206.9</v>
      </c>
      <c r="E42" s="22">
        <f t="shared" si="0"/>
        <v>135</v>
      </c>
      <c r="F42" s="19">
        <v>201.5</v>
      </c>
      <c r="G42" s="33">
        <v>184</v>
      </c>
      <c r="H42" s="19">
        <v>205.4</v>
      </c>
      <c r="I42" s="21"/>
      <c r="J42" s="36"/>
      <c r="L42" s="22">
        <v>37</v>
      </c>
      <c r="M42" s="19">
        <v>197</v>
      </c>
      <c r="N42" s="22">
        <v>86</v>
      </c>
      <c r="O42" s="19">
        <v>206.9</v>
      </c>
      <c r="P42" s="22">
        <f t="shared" si="1"/>
        <v>135</v>
      </c>
      <c r="Q42" s="19"/>
      <c r="R42" s="33">
        <v>184</v>
      </c>
      <c r="S42" s="19">
        <v>205.4</v>
      </c>
      <c r="T42" s="21"/>
      <c r="U42" s="36"/>
      <c r="W42" s="22">
        <v>37</v>
      </c>
      <c r="X42" s="19"/>
      <c r="Y42" s="22">
        <v>86</v>
      </c>
      <c r="Z42" s="19"/>
      <c r="AA42" s="22">
        <f t="shared" si="2"/>
        <v>135</v>
      </c>
      <c r="AB42" s="19">
        <v>201.5</v>
      </c>
      <c r="AC42" s="33">
        <v>184</v>
      </c>
      <c r="AD42" s="19"/>
      <c r="AE42" s="21"/>
      <c r="AF42" s="36"/>
    </row>
    <row r="43" spans="1:32" ht="15.75" x14ac:dyDescent="0.25">
      <c r="A43" s="22">
        <v>38</v>
      </c>
      <c r="B43" s="19">
        <v>193.4</v>
      </c>
      <c r="C43" s="22">
        <v>87</v>
      </c>
      <c r="D43" s="19">
        <v>202.8</v>
      </c>
      <c r="E43" s="22">
        <f t="shared" si="0"/>
        <v>136</v>
      </c>
      <c r="F43" s="19">
        <v>207</v>
      </c>
      <c r="G43" s="33">
        <v>185</v>
      </c>
      <c r="H43" s="19">
        <v>206.2</v>
      </c>
      <c r="I43" s="20"/>
      <c r="J43" s="36"/>
      <c r="L43" s="22">
        <v>38</v>
      </c>
      <c r="M43" s="19">
        <v>193.4</v>
      </c>
      <c r="N43" s="22">
        <v>87</v>
      </c>
      <c r="O43" s="19">
        <v>202.8</v>
      </c>
      <c r="P43" s="22">
        <f t="shared" si="1"/>
        <v>136</v>
      </c>
      <c r="Q43" s="19"/>
      <c r="R43" s="33">
        <v>185</v>
      </c>
      <c r="S43" s="19">
        <v>206.2</v>
      </c>
      <c r="T43" s="20"/>
      <c r="U43" s="36"/>
      <c r="W43" s="22">
        <v>38</v>
      </c>
      <c r="X43" s="19"/>
      <c r="Y43" s="22">
        <v>87</v>
      </c>
      <c r="Z43" s="19"/>
      <c r="AA43" s="22">
        <f t="shared" si="2"/>
        <v>136</v>
      </c>
      <c r="AB43" s="19">
        <v>207</v>
      </c>
      <c r="AC43" s="33">
        <v>185</v>
      </c>
      <c r="AD43" s="19"/>
      <c r="AE43" s="20"/>
      <c r="AF43" s="36"/>
    </row>
    <row r="44" spans="1:32" ht="15.75" x14ac:dyDescent="0.25">
      <c r="A44" s="22">
        <v>39</v>
      </c>
      <c r="B44" s="19">
        <v>194.5</v>
      </c>
      <c r="C44" s="22">
        <v>88</v>
      </c>
      <c r="D44" s="19">
        <v>207.9</v>
      </c>
      <c r="E44" s="22">
        <f t="shared" si="0"/>
        <v>137</v>
      </c>
      <c r="F44" s="19">
        <v>200</v>
      </c>
      <c r="G44" s="33">
        <v>186</v>
      </c>
      <c r="H44" s="19">
        <v>208.2</v>
      </c>
      <c r="I44" s="20"/>
      <c r="J44" s="36"/>
      <c r="L44" s="22">
        <v>39</v>
      </c>
      <c r="M44" s="19">
        <v>194.5</v>
      </c>
      <c r="N44" s="22">
        <v>88</v>
      </c>
      <c r="O44" s="19">
        <v>207.9</v>
      </c>
      <c r="P44" s="22">
        <f t="shared" si="1"/>
        <v>137</v>
      </c>
      <c r="Q44" s="19"/>
      <c r="R44" s="33">
        <v>186</v>
      </c>
      <c r="S44" s="19">
        <v>208.2</v>
      </c>
      <c r="T44" s="20"/>
      <c r="U44" s="36"/>
      <c r="W44" s="22">
        <v>39</v>
      </c>
      <c r="X44" s="19"/>
      <c r="Y44" s="22">
        <v>88</v>
      </c>
      <c r="Z44" s="19"/>
      <c r="AA44" s="22">
        <f t="shared" si="2"/>
        <v>137</v>
      </c>
      <c r="AB44" s="19">
        <v>200</v>
      </c>
      <c r="AC44" s="33">
        <v>186</v>
      </c>
      <c r="AD44" s="19"/>
      <c r="AE44" s="20"/>
      <c r="AF44" s="36"/>
    </row>
    <row r="45" spans="1:32" ht="15.75" x14ac:dyDescent="0.25">
      <c r="A45" s="22">
        <v>40</v>
      </c>
      <c r="B45" s="19">
        <v>198.9</v>
      </c>
      <c r="C45" s="22">
        <v>89</v>
      </c>
      <c r="D45" s="19">
        <v>200.9</v>
      </c>
      <c r="E45" s="22">
        <f t="shared" si="0"/>
        <v>138</v>
      </c>
      <c r="F45" s="19">
        <v>203.5</v>
      </c>
      <c r="G45" s="33">
        <v>187</v>
      </c>
      <c r="H45" s="19">
        <v>211.8</v>
      </c>
      <c r="I45" s="21"/>
      <c r="J45" s="36"/>
      <c r="L45" s="22">
        <v>40</v>
      </c>
      <c r="M45" s="19">
        <v>198.9</v>
      </c>
      <c r="N45" s="22">
        <v>89</v>
      </c>
      <c r="O45" s="19">
        <v>200.9</v>
      </c>
      <c r="P45" s="22">
        <f t="shared" si="1"/>
        <v>138</v>
      </c>
      <c r="Q45" s="19">
        <v>203.5</v>
      </c>
      <c r="R45" s="33">
        <v>187</v>
      </c>
      <c r="S45" s="19">
        <v>211.8</v>
      </c>
      <c r="T45" s="21"/>
      <c r="U45" s="36"/>
      <c r="W45" s="22">
        <v>40</v>
      </c>
      <c r="X45" s="19"/>
      <c r="Y45" s="22">
        <v>89</v>
      </c>
      <c r="Z45" s="19"/>
      <c r="AA45" s="22">
        <f t="shared" si="2"/>
        <v>138</v>
      </c>
      <c r="AB45" s="19"/>
      <c r="AC45" s="33">
        <v>187</v>
      </c>
      <c r="AD45" s="19"/>
      <c r="AE45" s="21"/>
      <c r="AF45" s="36"/>
    </row>
    <row r="46" spans="1:32" ht="15.75" x14ac:dyDescent="0.25">
      <c r="A46" s="22">
        <v>41</v>
      </c>
      <c r="B46" s="19">
        <v>191.7</v>
      </c>
      <c r="C46" s="22">
        <v>90</v>
      </c>
      <c r="D46" s="19">
        <v>198.3</v>
      </c>
      <c r="E46" s="22">
        <f t="shared" si="0"/>
        <v>139</v>
      </c>
      <c r="F46" s="19">
        <v>202.9</v>
      </c>
      <c r="G46" s="33">
        <v>188</v>
      </c>
      <c r="H46" s="19">
        <v>206.7</v>
      </c>
      <c r="I46" s="20"/>
      <c r="J46" s="36"/>
      <c r="L46" s="22">
        <v>41</v>
      </c>
      <c r="M46" s="19">
        <v>191.7</v>
      </c>
      <c r="N46" s="22">
        <v>90</v>
      </c>
      <c r="O46" s="19">
        <v>198.3</v>
      </c>
      <c r="P46" s="22">
        <f t="shared" si="1"/>
        <v>139</v>
      </c>
      <c r="Q46" s="19">
        <v>202.9</v>
      </c>
      <c r="R46" s="33">
        <v>188</v>
      </c>
      <c r="S46" s="19">
        <v>206.7</v>
      </c>
      <c r="T46" s="20"/>
      <c r="U46" s="36"/>
      <c r="W46" s="22">
        <v>41</v>
      </c>
      <c r="X46" s="19"/>
      <c r="Y46" s="22">
        <v>90</v>
      </c>
      <c r="Z46" s="19"/>
      <c r="AA46" s="22">
        <f t="shared" si="2"/>
        <v>139</v>
      </c>
      <c r="AB46" s="19"/>
      <c r="AC46" s="33">
        <v>188</v>
      </c>
      <c r="AD46" s="19"/>
      <c r="AE46" s="20"/>
      <c r="AF46" s="36"/>
    </row>
    <row r="47" spans="1:32" ht="15.75" x14ac:dyDescent="0.25">
      <c r="A47" s="22">
        <v>42</v>
      </c>
      <c r="B47" s="19">
        <v>192.1</v>
      </c>
      <c r="C47" s="22">
        <v>91</v>
      </c>
      <c r="D47" s="19">
        <v>202.5</v>
      </c>
      <c r="E47" s="22">
        <f t="shared" si="0"/>
        <v>140</v>
      </c>
      <c r="F47" s="19">
        <v>197.2</v>
      </c>
      <c r="G47" s="33">
        <v>189</v>
      </c>
      <c r="H47" s="19">
        <v>210.1</v>
      </c>
      <c r="I47" s="20"/>
      <c r="J47" s="36"/>
      <c r="L47" s="22">
        <v>42</v>
      </c>
      <c r="M47" s="19">
        <v>192.1</v>
      </c>
      <c r="N47" s="22">
        <v>91</v>
      </c>
      <c r="O47" s="19">
        <v>202.5</v>
      </c>
      <c r="P47" s="22">
        <f t="shared" si="1"/>
        <v>140</v>
      </c>
      <c r="Q47" s="19">
        <v>197.2</v>
      </c>
      <c r="R47" s="33">
        <v>189</v>
      </c>
      <c r="S47" s="19">
        <v>210.1</v>
      </c>
      <c r="T47" s="20"/>
      <c r="U47" s="36"/>
      <c r="W47" s="22">
        <v>42</v>
      </c>
      <c r="X47" s="19"/>
      <c r="Y47" s="22">
        <v>91</v>
      </c>
      <c r="Z47" s="19"/>
      <c r="AA47" s="22">
        <f t="shared" si="2"/>
        <v>140</v>
      </c>
      <c r="AB47" s="19"/>
      <c r="AC47" s="33">
        <v>189</v>
      </c>
      <c r="AD47" s="19"/>
      <c r="AE47" s="20"/>
      <c r="AF47" s="36"/>
    </row>
    <row r="48" spans="1:32" ht="15.75" x14ac:dyDescent="0.25">
      <c r="A48" s="22">
        <v>43</v>
      </c>
      <c r="B48" s="19">
        <v>198.3</v>
      </c>
      <c r="C48" s="22">
        <v>92</v>
      </c>
      <c r="D48" s="19">
        <v>205.5</v>
      </c>
      <c r="E48" s="22">
        <f t="shared" si="0"/>
        <v>141</v>
      </c>
      <c r="F48" s="19">
        <v>160.19999999999999</v>
      </c>
      <c r="G48" s="33">
        <v>190</v>
      </c>
      <c r="H48" s="19">
        <v>208.6</v>
      </c>
      <c r="I48" s="21"/>
      <c r="J48" s="36"/>
      <c r="L48" s="22">
        <v>43</v>
      </c>
      <c r="M48" s="19">
        <v>198.3</v>
      </c>
      <c r="N48" s="22">
        <v>92</v>
      </c>
      <c r="O48" s="19">
        <v>205.5</v>
      </c>
      <c r="P48" s="22">
        <f t="shared" si="1"/>
        <v>141</v>
      </c>
      <c r="Q48" s="19">
        <v>160.19999999999999</v>
      </c>
      <c r="R48" s="33">
        <v>190</v>
      </c>
      <c r="S48" s="19">
        <v>208.6</v>
      </c>
      <c r="T48" s="21"/>
      <c r="U48" s="36"/>
      <c r="W48" s="22">
        <v>43</v>
      </c>
      <c r="X48" s="19"/>
      <c r="Y48" s="22">
        <v>92</v>
      </c>
      <c r="Z48" s="19"/>
      <c r="AA48" s="22">
        <f t="shared" si="2"/>
        <v>141</v>
      </c>
      <c r="AB48" s="19"/>
      <c r="AC48" s="33">
        <v>190</v>
      </c>
      <c r="AD48" s="19"/>
      <c r="AE48" s="21"/>
      <c r="AF48" s="36"/>
    </row>
    <row r="49" spans="1:32" ht="15.75" x14ac:dyDescent="0.25">
      <c r="A49" s="22">
        <v>44</v>
      </c>
      <c r="B49" s="19">
        <v>207.2</v>
      </c>
      <c r="C49" s="22">
        <v>93</v>
      </c>
      <c r="D49" s="19">
        <v>202.8</v>
      </c>
      <c r="E49" s="22">
        <f t="shared" si="0"/>
        <v>142</v>
      </c>
      <c r="F49" s="19">
        <v>200.2</v>
      </c>
      <c r="G49" s="33">
        <v>191</v>
      </c>
      <c r="H49" s="19">
        <v>218.1</v>
      </c>
      <c r="I49" s="21"/>
      <c r="J49" s="36"/>
      <c r="L49" s="22">
        <v>44</v>
      </c>
      <c r="M49" s="19">
        <v>207.2</v>
      </c>
      <c r="N49" s="22">
        <v>93</v>
      </c>
      <c r="O49" s="19">
        <v>202.8</v>
      </c>
      <c r="P49" s="22">
        <f t="shared" si="1"/>
        <v>142</v>
      </c>
      <c r="Q49" s="19">
        <v>200.2</v>
      </c>
      <c r="R49" s="33">
        <v>191</v>
      </c>
      <c r="S49" s="19"/>
      <c r="T49" s="21"/>
      <c r="U49" s="36"/>
      <c r="W49" s="22">
        <v>44</v>
      </c>
      <c r="X49" s="19"/>
      <c r="Y49" s="22">
        <v>93</v>
      </c>
      <c r="Z49" s="19"/>
      <c r="AA49" s="22">
        <f t="shared" si="2"/>
        <v>142</v>
      </c>
      <c r="AB49" s="19"/>
      <c r="AC49" s="33">
        <v>191</v>
      </c>
      <c r="AD49" s="19">
        <v>218.1</v>
      </c>
      <c r="AE49" s="21"/>
      <c r="AF49" s="36"/>
    </row>
    <row r="50" spans="1:32" ht="15.75" x14ac:dyDescent="0.25">
      <c r="A50" s="22">
        <v>45</v>
      </c>
      <c r="B50" s="19">
        <v>200.5</v>
      </c>
      <c r="C50" s="22">
        <v>94</v>
      </c>
      <c r="D50" s="19">
        <v>207.1</v>
      </c>
      <c r="E50" s="22">
        <f t="shared" si="0"/>
        <v>143</v>
      </c>
      <c r="F50" s="19">
        <v>199.7</v>
      </c>
      <c r="G50" s="33">
        <v>192</v>
      </c>
      <c r="H50" s="19">
        <v>214.7</v>
      </c>
      <c r="I50" s="20"/>
      <c r="J50" s="36"/>
      <c r="L50" s="22">
        <v>45</v>
      </c>
      <c r="M50" s="19">
        <v>200.5</v>
      </c>
      <c r="N50" s="22">
        <v>94</v>
      </c>
      <c r="O50" s="19">
        <v>207.1</v>
      </c>
      <c r="P50" s="22">
        <f t="shared" si="1"/>
        <v>143</v>
      </c>
      <c r="Q50" s="19">
        <v>199.7</v>
      </c>
      <c r="R50" s="33">
        <v>192</v>
      </c>
      <c r="S50" s="19"/>
      <c r="T50" s="20"/>
      <c r="U50" s="36"/>
      <c r="W50" s="22">
        <v>45</v>
      </c>
      <c r="X50" s="19"/>
      <c r="Y50" s="22">
        <v>94</v>
      </c>
      <c r="Z50" s="19"/>
      <c r="AA50" s="22">
        <f t="shared" si="2"/>
        <v>143</v>
      </c>
      <c r="AB50" s="19"/>
      <c r="AC50" s="33">
        <v>192</v>
      </c>
      <c r="AD50" s="19">
        <v>214.7</v>
      </c>
      <c r="AE50" s="20"/>
      <c r="AF50" s="36"/>
    </row>
    <row r="51" spans="1:32" ht="15.75" x14ac:dyDescent="0.25">
      <c r="A51" s="22">
        <v>46</v>
      </c>
      <c r="B51" s="19">
        <v>197</v>
      </c>
      <c r="C51" s="22">
        <v>95</v>
      </c>
      <c r="D51" s="19">
        <v>203.3</v>
      </c>
      <c r="E51" s="22">
        <f t="shared" si="0"/>
        <v>144</v>
      </c>
      <c r="F51" s="19">
        <v>210.5</v>
      </c>
      <c r="G51" s="33">
        <v>193</v>
      </c>
      <c r="H51" s="19">
        <v>206.7</v>
      </c>
      <c r="I51" s="20"/>
      <c r="J51" s="36"/>
      <c r="L51" s="22">
        <v>46</v>
      </c>
      <c r="M51" s="19">
        <v>197</v>
      </c>
      <c r="N51" s="22">
        <v>95</v>
      </c>
      <c r="O51" s="19">
        <v>203.3</v>
      </c>
      <c r="P51" s="22">
        <f t="shared" si="1"/>
        <v>144</v>
      </c>
      <c r="Q51" s="19">
        <v>210.5</v>
      </c>
      <c r="R51" s="33">
        <v>193</v>
      </c>
      <c r="S51" s="19"/>
      <c r="T51" s="20"/>
      <c r="U51" s="36"/>
      <c r="W51" s="22">
        <v>46</v>
      </c>
      <c r="X51" s="19"/>
      <c r="Y51" s="22">
        <v>95</v>
      </c>
      <c r="Z51" s="19"/>
      <c r="AA51" s="22">
        <f t="shared" si="2"/>
        <v>144</v>
      </c>
      <c r="AB51" s="19"/>
      <c r="AC51" s="33">
        <v>193</v>
      </c>
      <c r="AD51" s="19">
        <v>206.7</v>
      </c>
      <c r="AE51" s="20"/>
      <c r="AF51" s="36"/>
    </row>
    <row r="52" spans="1:32" ht="15.75" x14ac:dyDescent="0.25">
      <c r="A52" s="22">
        <v>47</v>
      </c>
      <c r="B52" s="19">
        <v>199.2</v>
      </c>
      <c r="C52" s="22">
        <v>96</v>
      </c>
      <c r="D52" s="19">
        <v>208.1</v>
      </c>
      <c r="E52" s="22">
        <f t="shared" si="0"/>
        <v>145</v>
      </c>
      <c r="F52" s="19">
        <v>210.1</v>
      </c>
      <c r="G52" s="33">
        <v>194</v>
      </c>
      <c r="H52" s="19">
        <v>215.9</v>
      </c>
      <c r="I52" s="21"/>
      <c r="J52" s="36"/>
      <c r="L52" s="22">
        <v>47</v>
      </c>
      <c r="M52" s="19">
        <v>199.2</v>
      </c>
      <c r="N52" s="22">
        <v>96</v>
      </c>
      <c r="O52" s="19">
        <v>208.1</v>
      </c>
      <c r="P52" s="22">
        <f t="shared" si="1"/>
        <v>145</v>
      </c>
      <c r="Q52" s="19">
        <v>210.1</v>
      </c>
      <c r="R52" s="33">
        <v>194</v>
      </c>
      <c r="S52" s="19"/>
      <c r="T52" s="21"/>
      <c r="U52" s="36"/>
      <c r="W52" s="22">
        <v>47</v>
      </c>
      <c r="X52" s="19"/>
      <c r="Y52" s="22">
        <v>96</v>
      </c>
      <c r="Z52" s="19"/>
      <c r="AA52" s="22">
        <f t="shared" si="2"/>
        <v>145</v>
      </c>
      <c r="AB52" s="19"/>
      <c r="AC52" s="33">
        <v>194</v>
      </c>
      <c r="AD52" s="19">
        <v>215.9</v>
      </c>
      <c r="AE52" s="21"/>
      <c r="AF52" s="36"/>
    </row>
    <row r="53" spans="1:32" ht="15.75" x14ac:dyDescent="0.25">
      <c r="A53" s="22">
        <v>48</v>
      </c>
      <c r="B53" s="19">
        <v>202.9</v>
      </c>
      <c r="C53" s="22">
        <v>97</v>
      </c>
      <c r="D53" s="19">
        <v>202</v>
      </c>
      <c r="E53" s="22">
        <f t="shared" si="0"/>
        <v>146</v>
      </c>
      <c r="F53" s="19">
        <v>207.7</v>
      </c>
      <c r="G53" s="33">
        <v>195</v>
      </c>
      <c r="H53" s="19">
        <v>215.9</v>
      </c>
      <c r="I53" s="20"/>
      <c r="J53" s="36"/>
      <c r="L53" s="22">
        <v>48</v>
      </c>
      <c r="M53" s="19">
        <v>202.9</v>
      </c>
      <c r="N53" s="22">
        <v>97</v>
      </c>
      <c r="O53" s="19">
        <v>202</v>
      </c>
      <c r="P53" s="22">
        <f t="shared" si="1"/>
        <v>146</v>
      </c>
      <c r="Q53" s="19">
        <v>207.7</v>
      </c>
      <c r="R53" s="33">
        <v>195</v>
      </c>
      <c r="S53" s="19"/>
      <c r="T53" s="20"/>
      <c r="U53" s="36"/>
      <c r="W53" s="22">
        <v>48</v>
      </c>
      <c r="X53" s="19"/>
      <c r="Y53" s="22">
        <v>97</v>
      </c>
      <c r="Z53" s="19"/>
      <c r="AA53" s="22">
        <f t="shared" si="2"/>
        <v>146</v>
      </c>
      <c r="AB53" s="19"/>
      <c r="AC53" s="33">
        <v>195</v>
      </c>
      <c r="AD53" s="19">
        <v>215.9</v>
      </c>
      <c r="AE53" s="20"/>
      <c r="AF53" s="36"/>
    </row>
    <row r="54" spans="1:32" ht="15.75" x14ac:dyDescent="0.25">
      <c r="A54" s="37">
        <v>49</v>
      </c>
      <c r="B54" s="19">
        <v>204.1</v>
      </c>
      <c r="C54" s="37">
        <v>98</v>
      </c>
      <c r="D54" s="19">
        <v>206.1</v>
      </c>
      <c r="E54" s="22">
        <f t="shared" si="0"/>
        <v>147</v>
      </c>
      <c r="F54" s="19">
        <v>202.5</v>
      </c>
      <c r="G54" s="38">
        <v>196</v>
      </c>
      <c r="H54" s="19">
        <v>217.2</v>
      </c>
      <c r="I54" s="39"/>
      <c r="J54" s="40"/>
      <c r="L54" s="37">
        <v>49</v>
      </c>
      <c r="M54" s="19">
        <v>204.1</v>
      </c>
      <c r="N54" s="37">
        <v>98</v>
      </c>
      <c r="O54" s="19">
        <v>206.1</v>
      </c>
      <c r="P54" s="22">
        <f t="shared" si="1"/>
        <v>147</v>
      </c>
      <c r="Q54" s="19">
        <v>202.5</v>
      </c>
      <c r="R54" s="38">
        <v>196</v>
      </c>
      <c r="S54" s="19"/>
      <c r="T54" s="39"/>
      <c r="U54" s="40"/>
      <c r="W54" s="37">
        <v>49</v>
      </c>
      <c r="X54" s="19"/>
      <c r="Y54" s="37">
        <v>98</v>
      </c>
      <c r="Z54" s="19"/>
      <c r="AA54" s="22">
        <f t="shared" si="2"/>
        <v>147</v>
      </c>
      <c r="AB54" s="19"/>
      <c r="AC54" s="38">
        <v>196</v>
      </c>
      <c r="AD54" s="19">
        <v>217.2</v>
      </c>
      <c r="AE54" s="39"/>
      <c r="AF54" s="40"/>
    </row>
    <row r="55" spans="1:32" ht="15.75" x14ac:dyDescent="0.25">
      <c r="A55" s="41"/>
      <c r="B55" s="23">
        <f>SUM(B6:B54)</f>
        <v>9635.0999999999985</v>
      </c>
      <c r="C55" s="23"/>
      <c r="D55" s="23">
        <f>SUM(D6:D54)</f>
        <v>9978.9999999999982</v>
      </c>
      <c r="E55" s="23"/>
      <c r="F55" s="23">
        <f>SUM(F6:F54)</f>
        <v>9882.100000000004</v>
      </c>
      <c r="G55" s="23"/>
      <c r="H55" s="23">
        <f>SUM(H6:H54)</f>
        <v>10123.900000000001</v>
      </c>
      <c r="I55" s="41"/>
      <c r="J55" s="41">
        <f>SUM(J6:J54)</f>
        <v>5022.4999999999982</v>
      </c>
      <c r="L55" s="41"/>
      <c r="M55" s="23">
        <f>SUM(M6:M54)</f>
        <v>3768.3999999999996</v>
      </c>
      <c r="N55" s="23"/>
      <c r="O55" s="23">
        <f>SUM(O6:O54)</f>
        <v>9978.9999999999982</v>
      </c>
      <c r="P55" s="23"/>
      <c r="Q55" s="23">
        <f>SUM(Q6:Q54)</f>
        <v>1994.5</v>
      </c>
      <c r="R55" s="23"/>
      <c r="S55" s="23">
        <f>SUM(S6:S54)</f>
        <v>8835.4</v>
      </c>
      <c r="T55" s="41"/>
      <c r="U55" s="41">
        <f>SUM(U6:U54)</f>
        <v>0</v>
      </c>
      <c r="W55" s="41"/>
      <c r="X55" s="23">
        <f>SUM(X6:X54)</f>
        <v>5866.7</v>
      </c>
      <c r="Y55" s="23"/>
      <c r="Z55" s="23">
        <f>SUM(Z6:Z54)</f>
        <v>0</v>
      </c>
      <c r="AA55" s="23"/>
      <c r="AB55" s="23">
        <f>SUM(AB6:AB54)</f>
        <v>7887.5999999999995</v>
      </c>
      <c r="AC55" s="23"/>
      <c r="AD55" s="23">
        <f>SUM(AD6:AD54)</f>
        <v>1288.5</v>
      </c>
      <c r="AE55" s="41"/>
      <c r="AF55" s="41">
        <f>SUM(AF6:AF54)</f>
        <v>5022.4999999999982</v>
      </c>
    </row>
    <row r="56" spans="1:32" ht="15.75" x14ac:dyDescent="0.25">
      <c r="A56" s="42" t="s">
        <v>5</v>
      </c>
      <c r="B56" s="43">
        <f>COUNT(B6:B54,D6:D54,F6:F54,H6:H54,J6:J54)</f>
        <v>220</v>
      </c>
      <c r="C56" s="13" t="s">
        <v>6</v>
      </c>
      <c r="D56" s="44"/>
      <c r="E56" s="45">
        <f>B55+D55+F55+H55+J55</f>
        <v>44642.600000000006</v>
      </c>
      <c r="F56" s="24" t="s">
        <v>7</v>
      </c>
      <c r="G56" s="1">
        <f>B56*2.2</f>
        <v>484.00000000000006</v>
      </c>
      <c r="H56" s="13" t="s">
        <v>8</v>
      </c>
      <c r="I56" s="44"/>
      <c r="J56" s="45">
        <f>E56-G56</f>
        <v>44158.600000000006</v>
      </c>
      <c r="L56" s="42" t="s">
        <v>5</v>
      </c>
      <c r="M56" s="43">
        <f>COUNT(M6:M54,O6:O54,Q6:Q54,S6:S54,U6:U54)</f>
        <v>121</v>
      </c>
      <c r="N56" s="13" t="s">
        <v>6</v>
      </c>
      <c r="O56" s="44"/>
      <c r="P56" s="45">
        <f>M55+O55+Q55+S55+U55</f>
        <v>24577.299999999996</v>
      </c>
      <c r="Q56" s="24" t="s">
        <v>7</v>
      </c>
      <c r="R56" s="1">
        <f>M56*2.2</f>
        <v>266.20000000000005</v>
      </c>
      <c r="S56" s="13" t="s">
        <v>8</v>
      </c>
      <c r="T56" s="44"/>
      <c r="U56" s="45">
        <f>P56-R56</f>
        <v>24311.099999999995</v>
      </c>
      <c r="W56" s="42" t="s">
        <v>5</v>
      </c>
      <c r="X56" s="43">
        <f>COUNT(X6:X54,Z6:Z54,AB6:AB54,AD6:AD54,AF6:AF54)</f>
        <v>99</v>
      </c>
      <c r="Y56" s="13" t="s">
        <v>6</v>
      </c>
      <c r="Z56" s="44"/>
      <c r="AA56" s="45">
        <f>X55+Z55+AB55+AD55+AF55</f>
        <v>20065.299999999996</v>
      </c>
      <c r="AB56" s="24" t="s">
        <v>7</v>
      </c>
      <c r="AC56" s="1">
        <f>X56*2.2</f>
        <v>217.8</v>
      </c>
      <c r="AD56" s="13" t="s">
        <v>8</v>
      </c>
      <c r="AE56" s="44"/>
      <c r="AF56" s="45">
        <f>AA56-AC56</f>
        <v>19847.499999999996</v>
      </c>
    </row>
    <row r="57" spans="1:32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  <c r="L57" s="42" t="s">
        <v>9</v>
      </c>
      <c r="M57" s="25"/>
      <c r="N57" s="46"/>
      <c r="O57" s="44"/>
      <c r="P57" s="47"/>
      <c r="Q57" s="25"/>
      <c r="R57" s="48"/>
      <c r="S57" s="46"/>
      <c r="T57" s="44"/>
      <c r="U57" s="49"/>
      <c r="W57" s="42" t="s">
        <v>9</v>
      </c>
      <c r="X57" s="25"/>
      <c r="Y57" s="46"/>
      <c r="Z57" s="44"/>
      <c r="AA57" s="47"/>
      <c r="AB57" s="25"/>
      <c r="AC57" s="48"/>
      <c r="AD57" s="46"/>
      <c r="AE57" s="44"/>
      <c r="AF57" s="49"/>
    </row>
    <row r="58" spans="1:32" x14ac:dyDescent="0.25">
      <c r="B58">
        <f>M56+X56</f>
        <v>220</v>
      </c>
      <c r="E58" s="80">
        <f>P56+AA56</f>
        <v>44642.599999999991</v>
      </c>
      <c r="J58" s="80">
        <f>U56+AF56</f>
        <v>44158.599999999991</v>
      </c>
    </row>
    <row r="59" spans="1:32" x14ac:dyDescent="0.25">
      <c r="F59" s="112" t="s">
        <v>61</v>
      </c>
      <c r="G59" s="112">
        <v>2.2000000000000002</v>
      </c>
      <c r="Q59" s="112" t="s">
        <v>61</v>
      </c>
      <c r="R59" s="112">
        <v>2.2000000000000002</v>
      </c>
      <c r="AB59" s="112" t="s">
        <v>61</v>
      </c>
      <c r="AC59" s="112">
        <v>2.2000000000000002</v>
      </c>
    </row>
  </sheetData>
  <protectedRanges>
    <protectedRange password="CCE1" sqref="C6:C54 G6:G54 E6:E54 I6:I29 N6:N54 R6:R54 P6:P54 T6:T29 Y6:Y54 AC6:AC54 AA6:AA54 AE6:AE29" name="Диапазон1_3_1_7_2_1_1_1_1_1_1_1"/>
  </protectedRanges>
  <mergeCells count="6">
    <mergeCell ref="A1:J1"/>
    <mergeCell ref="I4:J4"/>
    <mergeCell ref="L1:U1"/>
    <mergeCell ref="T4:U4"/>
    <mergeCell ref="W1:AF1"/>
    <mergeCell ref="AE4:AF4"/>
  </mergeCells>
  <pageMargins left="0.7" right="0.7" top="0.75" bottom="0.75" header="0.3" footer="0.3"/>
  <pageSetup paperSize="9" scale="83" orientation="portrait" verticalDpi="0" r:id="rId1"/>
  <rowBreaks count="1" manualBreakCount="1">
    <brk id="57" max="16383" man="1"/>
  </rowBreaks>
  <colBreaks count="2" manualBreakCount="2">
    <brk id="10" max="1048575" man="1"/>
    <brk id="2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9"/>
  <sheetViews>
    <sheetView topLeftCell="B52" zoomScaleNormal="100" workbookViewId="0">
      <selection activeCell="V68" sqref="V68"/>
    </sheetView>
  </sheetViews>
  <sheetFormatPr defaultRowHeight="15" x14ac:dyDescent="0.25"/>
  <cols>
    <col min="11" max="11" width="1.85546875" customWidth="1"/>
  </cols>
  <sheetData>
    <row r="1" spans="1:21" ht="18.75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L1" s="204" t="s">
        <v>0</v>
      </c>
      <c r="M1" s="204"/>
      <c r="N1" s="204"/>
      <c r="O1" s="204"/>
      <c r="P1" s="204"/>
      <c r="Q1" s="204"/>
      <c r="R1" s="204"/>
      <c r="S1" s="204"/>
      <c r="T1" s="204"/>
      <c r="U1" s="204"/>
    </row>
    <row r="2" spans="1:21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  <c r="L2" s="13" t="s">
        <v>1</v>
      </c>
      <c r="M2" s="13"/>
      <c r="N2" s="13"/>
      <c r="O2" s="13"/>
      <c r="P2" s="13"/>
      <c r="Q2" s="13"/>
      <c r="R2" s="27"/>
      <c r="S2" s="13"/>
      <c r="T2" s="13"/>
      <c r="U2" s="13"/>
    </row>
    <row r="3" spans="1:21" ht="15.75" x14ac:dyDescent="0.25">
      <c r="A3" s="25" t="s">
        <v>2</v>
      </c>
      <c r="B3" s="27">
        <v>231</v>
      </c>
      <c r="C3" s="14"/>
      <c r="D3" s="15"/>
      <c r="E3" s="16"/>
      <c r="F3" s="16"/>
      <c r="G3" s="16"/>
      <c r="H3" s="16"/>
      <c r="I3" s="16" t="s">
        <v>33</v>
      </c>
      <c r="J3" s="16"/>
      <c r="L3" s="25" t="s">
        <v>2</v>
      </c>
      <c r="M3" s="27">
        <v>231</v>
      </c>
      <c r="N3" s="14"/>
      <c r="O3" s="15"/>
      <c r="P3" s="16"/>
      <c r="Q3" s="16"/>
      <c r="R3" s="16"/>
      <c r="S3" s="16"/>
      <c r="T3" s="16" t="s">
        <v>33</v>
      </c>
      <c r="U3" s="16"/>
    </row>
    <row r="4" spans="1:21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  <c r="L4" s="17"/>
      <c r="M4" s="17"/>
      <c r="N4" s="17"/>
      <c r="O4" s="17"/>
      <c r="P4" s="17"/>
      <c r="Q4" s="17"/>
      <c r="R4" s="17"/>
      <c r="S4" s="28"/>
      <c r="T4" s="205" t="s">
        <v>50</v>
      </c>
      <c r="U4" s="206"/>
    </row>
    <row r="5" spans="1:21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  <c r="L5" s="29" t="s">
        <v>3</v>
      </c>
      <c r="M5" s="18" t="s">
        <v>4</v>
      </c>
      <c r="N5" s="29" t="s">
        <v>3</v>
      </c>
      <c r="O5" s="18" t="s">
        <v>4</v>
      </c>
      <c r="P5" s="29" t="s">
        <v>3</v>
      </c>
      <c r="Q5" s="18" t="s">
        <v>4</v>
      </c>
      <c r="R5" s="29" t="s">
        <v>3</v>
      </c>
      <c r="S5" s="30" t="s">
        <v>4</v>
      </c>
      <c r="T5" s="31" t="s">
        <v>3</v>
      </c>
      <c r="U5" s="32" t="s">
        <v>4</v>
      </c>
    </row>
    <row r="6" spans="1:21" ht="15.75" x14ac:dyDescent="0.25">
      <c r="A6" s="22">
        <v>1</v>
      </c>
      <c r="B6" s="19">
        <v>197.1</v>
      </c>
      <c r="C6" s="22">
        <v>50</v>
      </c>
      <c r="D6" s="19">
        <v>204.7</v>
      </c>
      <c r="E6" s="22">
        <v>99</v>
      </c>
      <c r="F6" s="19">
        <v>210</v>
      </c>
      <c r="G6" s="33">
        <v>148</v>
      </c>
      <c r="H6" s="19">
        <v>187.5</v>
      </c>
      <c r="I6" s="34">
        <v>197</v>
      </c>
      <c r="J6" s="19">
        <v>206.5</v>
      </c>
      <c r="L6" s="22">
        <v>1</v>
      </c>
      <c r="M6" s="19">
        <v>197.1</v>
      </c>
      <c r="N6" s="22">
        <v>50</v>
      </c>
      <c r="O6" s="19">
        <v>204.7</v>
      </c>
      <c r="P6" s="22">
        <v>99</v>
      </c>
      <c r="Q6" s="19">
        <v>210</v>
      </c>
      <c r="R6" s="33">
        <v>148</v>
      </c>
      <c r="S6" s="19">
        <v>187.5</v>
      </c>
      <c r="T6" s="34">
        <v>197</v>
      </c>
      <c r="U6" s="19">
        <v>206.5</v>
      </c>
    </row>
    <row r="7" spans="1:21" ht="15.75" x14ac:dyDescent="0.25">
      <c r="A7" s="22">
        <v>2</v>
      </c>
      <c r="B7" s="19">
        <v>213.9</v>
      </c>
      <c r="C7" s="22">
        <v>51</v>
      </c>
      <c r="D7" s="19">
        <v>210.6</v>
      </c>
      <c r="E7" s="22">
        <v>100</v>
      </c>
      <c r="F7" s="19">
        <v>185</v>
      </c>
      <c r="G7" s="33">
        <v>149</v>
      </c>
      <c r="H7" s="19">
        <v>206.1</v>
      </c>
      <c r="I7" s="33">
        <v>198</v>
      </c>
      <c r="J7" s="19">
        <v>170</v>
      </c>
      <c r="L7" s="22">
        <v>2</v>
      </c>
      <c r="M7" s="19">
        <v>213.9</v>
      </c>
      <c r="N7" s="22">
        <v>51</v>
      </c>
      <c r="O7" s="19">
        <v>210.6</v>
      </c>
      <c r="P7" s="22">
        <v>100</v>
      </c>
      <c r="Q7" s="19">
        <v>185</v>
      </c>
      <c r="R7" s="33">
        <v>149</v>
      </c>
      <c r="S7" s="19">
        <v>206.1</v>
      </c>
      <c r="T7" s="33">
        <v>198</v>
      </c>
      <c r="U7" s="19">
        <v>170</v>
      </c>
    </row>
    <row r="8" spans="1:21" ht="15.75" x14ac:dyDescent="0.25">
      <c r="A8" s="22">
        <v>3</v>
      </c>
      <c r="B8" s="19">
        <v>210.1</v>
      </c>
      <c r="C8" s="22">
        <v>52</v>
      </c>
      <c r="D8" s="19">
        <v>207.6</v>
      </c>
      <c r="E8" s="22">
        <f t="shared" ref="E8:E54" si="0">+E7+1</f>
        <v>101</v>
      </c>
      <c r="F8" s="19">
        <v>210.3</v>
      </c>
      <c r="G8" s="33">
        <v>150</v>
      </c>
      <c r="H8" s="19">
        <v>172.8</v>
      </c>
      <c r="I8" s="33">
        <v>199</v>
      </c>
      <c r="J8" s="19">
        <v>211.4</v>
      </c>
      <c r="L8" s="22">
        <v>3</v>
      </c>
      <c r="M8" s="19">
        <v>210.1</v>
      </c>
      <c r="N8" s="22">
        <v>52</v>
      </c>
      <c r="O8" s="19">
        <v>207.6</v>
      </c>
      <c r="P8" s="22">
        <f t="shared" ref="P8:P54" si="1">+P7+1</f>
        <v>101</v>
      </c>
      <c r="Q8" s="19">
        <v>210.3</v>
      </c>
      <c r="R8" s="33">
        <v>150</v>
      </c>
      <c r="S8" s="19">
        <v>172.8</v>
      </c>
      <c r="T8" s="33">
        <v>199</v>
      </c>
      <c r="U8" s="19">
        <v>211.4</v>
      </c>
    </row>
    <row r="9" spans="1:21" ht="15.75" x14ac:dyDescent="0.25">
      <c r="A9" s="22">
        <v>4</v>
      </c>
      <c r="B9" s="19">
        <v>181.7</v>
      </c>
      <c r="C9" s="22">
        <v>53</v>
      </c>
      <c r="D9" s="19">
        <v>210.5</v>
      </c>
      <c r="E9" s="22">
        <f t="shared" si="0"/>
        <v>102</v>
      </c>
      <c r="F9" s="19">
        <v>213.3</v>
      </c>
      <c r="G9" s="33">
        <v>151</v>
      </c>
      <c r="H9" s="19">
        <v>202.6</v>
      </c>
      <c r="I9" s="33">
        <v>200</v>
      </c>
      <c r="J9" s="19">
        <v>201.9</v>
      </c>
      <c r="L9" s="22">
        <v>4</v>
      </c>
      <c r="M9" s="19">
        <v>181.7</v>
      </c>
      <c r="N9" s="22">
        <v>53</v>
      </c>
      <c r="O9" s="19">
        <v>210.5</v>
      </c>
      <c r="P9" s="22">
        <f t="shared" si="1"/>
        <v>102</v>
      </c>
      <c r="Q9" s="19">
        <v>213.3</v>
      </c>
      <c r="R9" s="33">
        <v>151</v>
      </c>
      <c r="S9" s="19">
        <v>202.6</v>
      </c>
      <c r="T9" s="33">
        <v>200</v>
      </c>
      <c r="U9" s="19">
        <v>201.9</v>
      </c>
    </row>
    <row r="10" spans="1:21" ht="15.75" x14ac:dyDescent="0.25">
      <c r="A10" s="22">
        <v>5</v>
      </c>
      <c r="B10" s="19">
        <v>206.8</v>
      </c>
      <c r="C10" s="22">
        <v>54</v>
      </c>
      <c r="D10" s="19">
        <v>208.7</v>
      </c>
      <c r="E10" s="22">
        <f t="shared" si="0"/>
        <v>103</v>
      </c>
      <c r="F10" s="19">
        <v>168.3</v>
      </c>
      <c r="G10" s="33">
        <v>152</v>
      </c>
      <c r="H10" s="19">
        <v>211.7</v>
      </c>
      <c r="I10" s="33">
        <v>201</v>
      </c>
      <c r="J10" s="19">
        <v>179.7</v>
      </c>
      <c r="L10" s="22">
        <v>5</v>
      </c>
      <c r="M10" s="19">
        <v>206.8</v>
      </c>
      <c r="N10" s="22">
        <v>54</v>
      </c>
      <c r="O10" s="19">
        <v>208.7</v>
      </c>
      <c r="P10" s="22">
        <f t="shared" si="1"/>
        <v>103</v>
      </c>
      <c r="Q10" s="19">
        <v>168.3</v>
      </c>
      <c r="R10" s="33">
        <v>152</v>
      </c>
      <c r="S10" s="19">
        <v>211.7</v>
      </c>
      <c r="T10" s="33">
        <v>201</v>
      </c>
      <c r="U10" s="19">
        <v>179.7</v>
      </c>
    </row>
    <row r="11" spans="1:21" ht="15.75" x14ac:dyDescent="0.25">
      <c r="A11" s="22">
        <v>6</v>
      </c>
      <c r="B11" s="19">
        <v>202.8</v>
      </c>
      <c r="C11" s="22">
        <v>55</v>
      </c>
      <c r="D11" s="19">
        <v>194.9</v>
      </c>
      <c r="E11" s="22">
        <f t="shared" si="0"/>
        <v>104</v>
      </c>
      <c r="F11" s="19">
        <v>217.4</v>
      </c>
      <c r="G11" s="33">
        <v>153</v>
      </c>
      <c r="H11" s="19">
        <v>180.4</v>
      </c>
      <c r="I11" s="33">
        <v>202</v>
      </c>
      <c r="J11" s="19">
        <v>203.6</v>
      </c>
      <c r="L11" s="22">
        <v>6</v>
      </c>
      <c r="M11" s="19">
        <v>202.8</v>
      </c>
      <c r="N11" s="22">
        <v>55</v>
      </c>
      <c r="O11" s="19">
        <v>194.9</v>
      </c>
      <c r="P11" s="22">
        <f t="shared" si="1"/>
        <v>104</v>
      </c>
      <c r="Q11" s="19">
        <v>217.4</v>
      </c>
      <c r="R11" s="33">
        <v>153</v>
      </c>
      <c r="S11" s="19">
        <v>180.4</v>
      </c>
      <c r="T11" s="33">
        <v>202</v>
      </c>
      <c r="U11" s="19">
        <v>203.6</v>
      </c>
    </row>
    <row r="12" spans="1:21" ht="15.75" x14ac:dyDescent="0.25">
      <c r="A12" s="22">
        <v>7</v>
      </c>
      <c r="B12" s="19">
        <v>190</v>
      </c>
      <c r="C12" s="22">
        <v>56</v>
      </c>
      <c r="D12" s="19">
        <v>210.9</v>
      </c>
      <c r="E12" s="22">
        <f t="shared" si="0"/>
        <v>105</v>
      </c>
      <c r="F12" s="19">
        <v>189.7</v>
      </c>
      <c r="G12" s="33">
        <v>154</v>
      </c>
      <c r="H12" s="19">
        <v>206.6</v>
      </c>
      <c r="I12" s="33">
        <v>203</v>
      </c>
      <c r="J12" s="19">
        <v>203.1</v>
      </c>
      <c r="L12" s="22">
        <v>7</v>
      </c>
      <c r="M12" s="19">
        <v>190</v>
      </c>
      <c r="N12" s="22">
        <v>56</v>
      </c>
      <c r="O12" s="19">
        <v>210.9</v>
      </c>
      <c r="P12" s="22">
        <f t="shared" si="1"/>
        <v>105</v>
      </c>
      <c r="Q12" s="19">
        <v>189.7</v>
      </c>
      <c r="R12" s="33">
        <v>154</v>
      </c>
      <c r="S12" s="19">
        <v>206.6</v>
      </c>
      <c r="T12" s="33">
        <v>203</v>
      </c>
      <c r="U12" s="19">
        <v>203.1</v>
      </c>
    </row>
    <row r="13" spans="1:21" ht="15.75" x14ac:dyDescent="0.25">
      <c r="A13" s="22">
        <v>8</v>
      </c>
      <c r="B13" s="19">
        <v>208</v>
      </c>
      <c r="C13" s="22">
        <v>57</v>
      </c>
      <c r="D13" s="19">
        <v>196.3</v>
      </c>
      <c r="E13" s="22">
        <f t="shared" si="0"/>
        <v>106</v>
      </c>
      <c r="F13" s="19">
        <v>212.5</v>
      </c>
      <c r="G13" s="33">
        <v>155</v>
      </c>
      <c r="H13" s="19">
        <v>173</v>
      </c>
      <c r="I13" s="33">
        <v>204</v>
      </c>
      <c r="J13" s="19">
        <v>201.2</v>
      </c>
      <c r="L13" s="22">
        <v>8</v>
      </c>
      <c r="M13" s="19">
        <v>208</v>
      </c>
      <c r="N13" s="22">
        <v>57</v>
      </c>
      <c r="O13" s="19">
        <v>196.3</v>
      </c>
      <c r="P13" s="22">
        <f t="shared" si="1"/>
        <v>106</v>
      </c>
      <c r="Q13" s="19">
        <v>212.5</v>
      </c>
      <c r="R13" s="33">
        <v>155</v>
      </c>
      <c r="S13" s="19">
        <v>173</v>
      </c>
      <c r="T13" s="33">
        <v>204</v>
      </c>
      <c r="U13" s="19">
        <v>201.2</v>
      </c>
    </row>
    <row r="14" spans="1:21" ht="15.75" x14ac:dyDescent="0.25">
      <c r="A14" s="22">
        <v>9</v>
      </c>
      <c r="B14" s="19">
        <v>212.4</v>
      </c>
      <c r="C14" s="22">
        <v>58</v>
      </c>
      <c r="D14" s="19">
        <v>211.5</v>
      </c>
      <c r="E14" s="22">
        <f t="shared" si="0"/>
        <v>107</v>
      </c>
      <c r="F14" s="19">
        <v>210.1</v>
      </c>
      <c r="G14" s="33">
        <v>156</v>
      </c>
      <c r="H14" s="19">
        <v>205.6</v>
      </c>
      <c r="I14" s="33">
        <v>205</v>
      </c>
      <c r="J14" s="19">
        <v>170</v>
      </c>
      <c r="L14" s="22">
        <v>9</v>
      </c>
      <c r="M14" s="19">
        <v>212.4</v>
      </c>
      <c r="N14" s="22">
        <v>58</v>
      </c>
      <c r="O14" s="19">
        <v>211.5</v>
      </c>
      <c r="P14" s="22">
        <f t="shared" si="1"/>
        <v>107</v>
      </c>
      <c r="Q14" s="19">
        <v>210.1</v>
      </c>
      <c r="R14" s="33">
        <v>156</v>
      </c>
      <c r="S14" s="19">
        <v>205.6</v>
      </c>
      <c r="T14" s="33">
        <v>205</v>
      </c>
      <c r="U14" s="19">
        <v>170</v>
      </c>
    </row>
    <row r="15" spans="1:21" ht="15.75" x14ac:dyDescent="0.25">
      <c r="A15" s="22">
        <v>10</v>
      </c>
      <c r="B15" s="19">
        <v>211.8</v>
      </c>
      <c r="C15" s="22">
        <v>59</v>
      </c>
      <c r="D15" s="19">
        <v>166.1</v>
      </c>
      <c r="E15" s="22">
        <f t="shared" si="0"/>
        <v>108</v>
      </c>
      <c r="F15" s="19">
        <v>171.1</v>
      </c>
      <c r="G15" s="33">
        <v>157</v>
      </c>
      <c r="H15" s="19">
        <v>208.9</v>
      </c>
      <c r="I15" s="33">
        <v>206</v>
      </c>
      <c r="J15" s="19">
        <v>204.2</v>
      </c>
      <c r="L15" s="22">
        <v>10</v>
      </c>
      <c r="M15" s="19">
        <v>211.8</v>
      </c>
      <c r="N15" s="22">
        <v>59</v>
      </c>
      <c r="O15" s="19">
        <v>166.1</v>
      </c>
      <c r="P15" s="22">
        <f t="shared" si="1"/>
        <v>108</v>
      </c>
      <c r="Q15" s="19">
        <v>171.1</v>
      </c>
      <c r="R15" s="33">
        <v>157</v>
      </c>
      <c r="S15" s="19">
        <v>208.9</v>
      </c>
      <c r="T15" s="33">
        <v>206</v>
      </c>
      <c r="U15" s="19">
        <v>204.2</v>
      </c>
    </row>
    <row r="16" spans="1:21" ht="15.75" x14ac:dyDescent="0.25">
      <c r="A16" s="22">
        <v>11</v>
      </c>
      <c r="B16" s="19">
        <v>179.1</v>
      </c>
      <c r="C16" s="22">
        <v>60</v>
      </c>
      <c r="D16" s="19">
        <v>208</v>
      </c>
      <c r="E16" s="22">
        <f t="shared" si="0"/>
        <v>109</v>
      </c>
      <c r="F16" s="19">
        <v>208.1</v>
      </c>
      <c r="G16" s="33">
        <v>158</v>
      </c>
      <c r="H16" s="19">
        <v>211.4</v>
      </c>
      <c r="I16" s="33">
        <v>207</v>
      </c>
      <c r="J16" s="19">
        <v>169</v>
      </c>
      <c r="L16" s="22">
        <v>11</v>
      </c>
      <c r="M16" s="19">
        <v>179.1</v>
      </c>
      <c r="N16" s="22">
        <v>60</v>
      </c>
      <c r="O16" s="19">
        <v>208</v>
      </c>
      <c r="P16" s="22">
        <f t="shared" si="1"/>
        <v>109</v>
      </c>
      <c r="Q16" s="19">
        <v>208.1</v>
      </c>
      <c r="R16" s="33">
        <v>158</v>
      </c>
      <c r="S16" s="19">
        <v>211.4</v>
      </c>
      <c r="T16" s="33">
        <v>207</v>
      </c>
      <c r="U16" s="19">
        <v>169</v>
      </c>
    </row>
    <row r="17" spans="1:21" ht="15.75" x14ac:dyDescent="0.25">
      <c r="A17" s="22">
        <v>12</v>
      </c>
      <c r="B17" s="19">
        <v>209.7</v>
      </c>
      <c r="C17" s="22">
        <v>61</v>
      </c>
      <c r="D17" s="19">
        <v>186</v>
      </c>
      <c r="E17" s="22">
        <f t="shared" si="0"/>
        <v>110</v>
      </c>
      <c r="F17" s="19">
        <v>199</v>
      </c>
      <c r="G17" s="33">
        <v>159</v>
      </c>
      <c r="H17" s="19">
        <v>212.2</v>
      </c>
      <c r="I17" s="33">
        <v>208</v>
      </c>
      <c r="J17" s="19">
        <v>199.3</v>
      </c>
      <c r="L17" s="22">
        <v>12</v>
      </c>
      <c r="M17" s="19">
        <v>209.7</v>
      </c>
      <c r="N17" s="22">
        <v>61</v>
      </c>
      <c r="O17" s="19">
        <v>186</v>
      </c>
      <c r="P17" s="22">
        <f t="shared" si="1"/>
        <v>110</v>
      </c>
      <c r="Q17" s="19">
        <v>199</v>
      </c>
      <c r="R17" s="33">
        <v>159</v>
      </c>
      <c r="S17" s="19">
        <v>212.2</v>
      </c>
      <c r="T17" s="33">
        <v>208</v>
      </c>
      <c r="U17" s="19">
        <v>199.3</v>
      </c>
    </row>
    <row r="18" spans="1:21" ht="15.75" x14ac:dyDescent="0.25">
      <c r="A18" s="22">
        <v>13</v>
      </c>
      <c r="B18" s="19">
        <v>213.9</v>
      </c>
      <c r="C18" s="22">
        <v>62</v>
      </c>
      <c r="D18" s="19">
        <v>207.9</v>
      </c>
      <c r="E18" s="22">
        <f t="shared" si="0"/>
        <v>111</v>
      </c>
      <c r="F18" s="19">
        <v>207.1</v>
      </c>
      <c r="G18" s="33">
        <v>160</v>
      </c>
      <c r="H18" s="19">
        <v>186.5</v>
      </c>
      <c r="I18" s="33">
        <v>209</v>
      </c>
      <c r="J18" s="19">
        <v>199.8</v>
      </c>
      <c r="L18" s="22">
        <v>13</v>
      </c>
      <c r="M18" s="19">
        <v>213.9</v>
      </c>
      <c r="N18" s="22">
        <v>62</v>
      </c>
      <c r="O18" s="19">
        <v>207.9</v>
      </c>
      <c r="P18" s="22">
        <f t="shared" si="1"/>
        <v>111</v>
      </c>
      <c r="Q18" s="19">
        <v>207.1</v>
      </c>
      <c r="R18" s="33">
        <v>160</v>
      </c>
      <c r="S18" s="19">
        <v>186.5</v>
      </c>
      <c r="T18" s="33">
        <v>209</v>
      </c>
      <c r="U18" s="19">
        <v>199.8</v>
      </c>
    </row>
    <row r="19" spans="1:21" ht="15.75" x14ac:dyDescent="0.25">
      <c r="A19" s="22">
        <v>14</v>
      </c>
      <c r="B19" s="19">
        <v>185.1</v>
      </c>
      <c r="C19" s="22">
        <v>63</v>
      </c>
      <c r="D19" s="19">
        <v>182.8</v>
      </c>
      <c r="E19" s="22">
        <f t="shared" si="0"/>
        <v>112</v>
      </c>
      <c r="F19" s="19">
        <v>176.4</v>
      </c>
      <c r="G19" s="33">
        <v>161</v>
      </c>
      <c r="H19" s="19">
        <v>213.6</v>
      </c>
      <c r="I19" s="33">
        <v>210</v>
      </c>
      <c r="J19" s="19">
        <v>178.7</v>
      </c>
      <c r="L19" s="22">
        <v>14</v>
      </c>
      <c r="M19" s="19">
        <v>185.1</v>
      </c>
      <c r="N19" s="22">
        <v>63</v>
      </c>
      <c r="O19" s="19">
        <v>182.8</v>
      </c>
      <c r="P19" s="22">
        <f t="shared" si="1"/>
        <v>112</v>
      </c>
      <c r="Q19" s="19">
        <v>176.4</v>
      </c>
      <c r="R19" s="33">
        <v>161</v>
      </c>
      <c r="S19" s="19">
        <v>213.6</v>
      </c>
      <c r="T19" s="33">
        <v>210</v>
      </c>
      <c r="U19" s="19">
        <v>178.7</v>
      </c>
    </row>
    <row r="20" spans="1:21" ht="15.75" x14ac:dyDescent="0.25">
      <c r="A20" s="22">
        <v>15</v>
      </c>
      <c r="B20" s="19">
        <v>213.6</v>
      </c>
      <c r="C20" s="22">
        <v>64</v>
      </c>
      <c r="D20" s="19">
        <v>213.6</v>
      </c>
      <c r="E20" s="22">
        <f t="shared" si="0"/>
        <v>113</v>
      </c>
      <c r="F20" s="19">
        <v>215</v>
      </c>
      <c r="G20" s="35">
        <v>162</v>
      </c>
      <c r="H20" s="19">
        <v>209.2</v>
      </c>
      <c r="I20" s="33">
        <v>211</v>
      </c>
      <c r="J20" s="19">
        <v>204.3</v>
      </c>
      <c r="L20" s="22">
        <v>15</v>
      </c>
      <c r="M20" s="19">
        <v>213.6</v>
      </c>
      <c r="N20" s="22">
        <v>64</v>
      </c>
      <c r="O20" s="19">
        <v>213.6</v>
      </c>
      <c r="P20" s="22">
        <f t="shared" si="1"/>
        <v>113</v>
      </c>
      <c r="Q20" s="19">
        <v>215</v>
      </c>
      <c r="R20" s="35">
        <v>162</v>
      </c>
      <c r="S20" s="19">
        <v>209.2</v>
      </c>
      <c r="T20" s="33">
        <v>211</v>
      </c>
      <c r="U20" s="19">
        <v>204.3</v>
      </c>
    </row>
    <row r="21" spans="1:21" ht="15.75" x14ac:dyDescent="0.25">
      <c r="A21" s="22">
        <v>16</v>
      </c>
      <c r="B21" s="19">
        <v>177.3</v>
      </c>
      <c r="C21" s="22">
        <v>65</v>
      </c>
      <c r="D21" s="19">
        <v>210.4</v>
      </c>
      <c r="E21" s="22">
        <f t="shared" si="0"/>
        <v>114</v>
      </c>
      <c r="F21" s="19">
        <v>206.1</v>
      </c>
      <c r="G21" s="35">
        <v>163</v>
      </c>
      <c r="H21" s="19">
        <v>168.6</v>
      </c>
      <c r="I21" s="33">
        <v>212</v>
      </c>
      <c r="J21" s="19">
        <v>171.2</v>
      </c>
      <c r="L21" s="22">
        <v>16</v>
      </c>
      <c r="M21" s="19">
        <v>177.3</v>
      </c>
      <c r="N21" s="22">
        <v>65</v>
      </c>
      <c r="O21" s="19">
        <v>210.4</v>
      </c>
      <c r="P21" s="22">
        <f t="shared" si="1"/>
        <v>114</v>
      </c>
      <c r="Q21" s="19">
        <v>206.1</v>
      </c>
      <c r="R21" s="35">
        <v>163</v>
      </c>
      <c r="S21" s="19">
        <v>168.6</v>
      </c>
      <c r="T21" s="33">
        <v>212</v>
      </c>
      <c r="U21" s="19">
        <v>171.2</v>
      </c>
    </row>
    <row r="22" spans="1:21" ht="15.75" x14ac:dyDescent="0.25">
      <c r="A22" s="22">
        <v>17</v>
      </c>
      <c r="B22" s="19">
        <v>210.9</v>
      </c>
      <c r="C22" s="22">
        <v>66</v>
      </c>
      <c r="D22" s="19">
        <v>190.6</v>
      </c>
      <c r="E22" s="22">
        <f t="shared" si="0"/>
        <v>115</v>
      </c>
      <c r="F22" s="19">
        <v>171.6</v>
      </c>
      <c r="G22" s="35">
        <v>164</v>
      </c>
      <c r="H22" s="19">
        <v>206.9</v>
      </c>
      <c r="I22" s="33">
        <v>213</v>
      </c>
      <c r="J22" s="19">
        <v>209.1</v>
      </c>
      <c r="L22" s="22">
        <v>17</v>
      </c>
      <c r="M22" s="19">
        <v>210.9</v>
      </c>
      <c r="N22" s="22">
        <v>66</v>
      </c>
      <c r="O22" s="19">
        <v>190.6</v>
      </c>
      <c r="P22" s="22">
        <f t="shared" si="1"/>
        <v>115</v>
      </c>
      <c r="Q22" s="19">
        <v>171.6</v>
      </c>
      <c r="R22" s="35">
        <v>164</v>
      </c>
      <c r="S22" s="19">
        <v>206.9</v>
      </c>
      <c r="T22" s="33">
        <v>213</v>
      </c>
      <c r="U22" s="19">
        <v>209.1</v>
      </c>
    </row>
    <row r="23" spans="1:21" ht="15.75" x14ac:dyDescent="0.25">
      <c r="A23" s="22">
        <v>18</v>
      </c>
      <c r="B23" s="19">
        <v>178.1</v>
      </c>
      <c r="C23" s="22">
        <v>67</v>
      </c>
      <c r="D23" s="19">
        <v>212.1</v>
      </c>
      <c r="E23" s="22">
        <f t="shared" si="0"/>
        <v>116</v>
      </c>
      <c r="F23" s="19">
        <v>201.6</v>
      </c>
      <c r="G23" s="35">
        <v>165</v>
      </c>
      <c r="H23" s="19">
        <v>172.9</v>
      </c>
      <c r="I23" s="33">
        <v>214</v>
      </c>
      <c r="J23" s="19">
        <v>201.4</v>
      </c>
      <c r="L23" s="22">
        <v>18</v>
      </c>
      <c r="M23" s="19">
        <v>178.1</v>
      </c>
      <c r="N23" s="22">
        <v>67</v>
      </c>
      <c r="O23" s="19">
        <v>212.1</v>
      </c>
      <c r="P23" s="22">
        <f t="shared" si="1"/>
        <v>116</v>
      </c>
      <c r="Q23" s="19">
        <v>201.6</v>
      </c>
      <c r="R23" s="35">
        <v>165</v>
      </c>
      <c r="S23" s="19">
        <v>172.9</v>
      </c>
      <c r="T23" s="33">
        <v>214</v>
      </c>
      <c r="U23" s="19">
        <v>201.4</v>
      </c>
    </row>
    <row r="24" spans="1:21" ht="15.75" x14ac:dyDescent="0.25">
      <c r="A24" s="22">
        <v>19</v>
      </c>
      <c r="B24" s="19">
        <v>211</v>
      </c>
      <c r="C24" s="22">
        <v>68</v>
      </c>
      <c r="D24" s="19">
        <v>205.9</v>
      </c>
      <c r="E24" s="22">
        <f t="shared" si="0"/>
        <v>117</v>
      </c>
      <c r="F24" s="19">
        <v>164.4</v>
      </c>
      <c r="G24" s="35">
        <v>166</v>
      </c>
      <c r="H24" s="19">
        <v>212</v>
      </c>
      <c r="I24" s="33">
        <v>215</v>
      </c>
      <c r="J24" s="19">
        <v>190</v>
      </c>
      <c r="L24" s="22">
        <v>19</v>
      </c>
      <c r="M24" s="19">
        <v>211</v>
      </c>
      <c r="N24" s="22">
        <v>68</v>
      </c>
      <c r="O24" s="19">
        <v>205.9</v>
      </c>
      <c r="P24" s="22">
        <f t="shared" si="1"/>
        <v>117</v>
      </c>
      <c r="Q24" s="19">
        <v>164.4</v>
      </c>
      <c r="R24" s="35">
        <v>166</v>
      </c>
      <c r="S24" s="19">
        <v>212</v>
      </c>
      <c r="T24" s="33">
        <v>215</v>
      </c>
      <c r="U24" s="19">
        <v>190</v>
      </c>
    </row>
    <row r="25" spans="1:21" ht="15.75" x14ac:dyDescent="0.25">
      <c r="A25" s="22">
        <v>20</v>
      </c>
      <c r="B25" s="19">
        <v>188.7</v>
      </c>
      <c r="C25" s="22">
        <v>69</v>
      </c>
      <c r="D25" s="19">
        <v>209.5</v>
      </c>
      <c r="E25" s="22">
        <f t="shared" si="0"/>
        <v>118</v>
      </c>
      <c r="F25" s="19">
        <v>214.2</v>
      </c>
      <c r="G25" s="35">
        <v>167</v>
      </c>
      <c r="H25" s="19">
        <v>191.8</v>
      </c>
      <c r="I25" s="33">
        <v>216</v>
      </c>
      <c r="J25" s="19">
        <v>187.2</v>
      </c>
      <c r="L25" s="22">
        <v>20</v>
      </c>
      <c r="M25" s="19">
        <v>188.7</v>
      </c>
      <c r="N25" s="22">
        <v>69</v>
      </c>
      <c r="O25" s="19">
        <v>209.5</v>
      </c>
      <c r="P25" s="22">
        <f t="shared" si="1"/>
        <v>118</v>
      </c>
      <c r="Q25" s="19">
        <v>214.2</v>
      </c>
      <c r="R25" s="35">
        <v>167</v>
      </c>
      <c r="S25" s="19">
        <v>191.8</v>
      </c>
      <c r="T25" s="33">
        <v>216</v>
      </c>
      <c r="U25" s="19">
        <v>187.2</v>
      </c>
    </row>
    <row r="26" spans="1:21" ht="15.75" x14ac:dyDescent="0.25">
      <c r="A26" s="22">
        <v>21</v>
      </c>
      <c r="B26" s="19">
        <v>204.2</v>
      </c>
      <c r="C26" s="22">
        <v>70</v>
      </c>
      <c r="D26" s="19">
        <v>204.9</v>
      </c>
      <c r="E26" s="22">
        <f t="shared" si="0"/>
        <v>119</v>
      </c>
      <c r="F26" s="19">
        <v>161.5</v>
      </c>
      <c r="G26" s="35">
        <v>168</v>
      </c>
      <c r="H26" s="19">
        <v>206.8</v>
      </c>
      <c r="I26" s="33">
        <v>217</v>
      </c>
      <c r="J26" s="19">
        <v>204.7</v>
      </c>
      <c r="L26" s="22">
        <v>21</v>
      </c>
      <c r="M26" s="19">
        <v>204.2</v>
      </c>
      <c r="N26" s="22">
        <v>70</v>
      </c>
      <c r="O26" s="19">
        <v>204.9</v>
      </c>
      <c r="P26" s="22">
        <f t="shared" si="1"/>
        <v>119</v>
      </c>
      <c r="Q26" s="19">
        <v>161.5</v>
      </c>
      <c r="R26" s="35">
        <v>168</v>
      </c>
      <c r="S26" s="19">
        <v>206.8</v>
      </c>
      <c r="T26" s="33">
        <v>217</v>
      </c>
      <c r="U26" s="19">
        <v>204.7</v>
      </c>
    </row>
    <row r="27" spans="1:21" ht="15.75" x14ac:dyDescent="0.25">
      <c r="A27" s="22">
        <v>22</v>
      </c>
      <c r="B27" s="19">
        <v>212.5</v>
      </c>
      <c r="C27" s="22">
        <v>71</v>
      </c>
      <c r="D27" s="19">
        <v>207.4</v>
      </c>
      <c r="E27" s="22">
        <f t="shared" si="0"/>
        <v>120</v>
      </c>
      <c r="F27" s="19">
        <v>200.9</v>
      </c>
      <c r="G27" s="35">
        <v>169</v>
      </c>
      <c r="H27" s="19">
        <v>209.9</v>
      </c>
      <c r="I27" s="33">
        <v>218</v>
      </c>
      <c r="J27" s="19">
        <v>206.9</v>
      </c>
      <c r="L27" s="22">
        <v>22</v>
      </c>
      <c r="M27" s="19">
        <v>212.5</v>
      </c>
      <c r="N27" s="22">
        <v>71</v>
      </c>
      <c r="O27" s="19">
        <v>207.4</v>
      </c>
      <c r="P27" s="22">
        <f t="shared" si="1"/>
        <v>120</v>
      </c>
      <c r="Q27" s="19">
        <v>200.9</v>
      </c>
      <c r="R27" s="35">
        <v>169</v>
      </c>
      <c r="S27" s="19">
        <v>209.9</v>
      </c>
      <c r="T27" s="33">
        <v>218</v>
      </c>
      <c r="U27" s="19">
        <v>206.9</v>
      </c>
    </row>
    <row r="28" spans="1:21" ht="15.75" x14ac:dyDescent="0.25">
      <c r="A28" s="22">
        <v>23</v>
      </c>
      <c r="B28" s="19">
        <v>205.1</v>
      </c>
      <c r="C28" s="22">
        <v>72</v>
      </c>
      <c r="D28" s="19">
        <v>195.9</v>
      </c>
      <c r="E28" s="22">
        <f t="shared" si="0"/>
        <v>121</v>
      </c>
      <c r="F28" s="19">
        <v>209.3</v>
      </c>
      <c r="G28" s="35">
        <v>170</v>
      </c>
      <c r="H28" s="19">
        <v>175.5</v>
      </c>
      <c r="I28" s="33">
        <v>219</v>
      </c>
      <c r="J28" s="19">
        <v>185.6</v>
      </c>
      <c r="L28" s="22">
        <v>23</v>
      </c>
      <c r="M28" s="19">
        <v>205.1</v>
      </c>
      <c r="N28" s="22">
        <v>72</v>
      </c>
      <c r="O28" s="19">
        <v>195.9</v>
      </c>
      <c r="P28" s="22">
        <f t="shared" si="1"/>
        <v>121</v>
      </c>
      <c r="Q28" s="19">
        <v>209.3</v>
      </c>
      <c r="R28" s="35">
        <v>170</v>
      </c>
      <c r="S28" s="19">
        <v>175.5</v>
      </c>
      <c r="T28" s="33">
        <v>219</v>
      </c>
      <c r="U28" s="19">
        <v>185.6</v>
      </c>
    </row>
    <row r="29" spans="1:21" ht="15.75" x14ac:dyDescent="0.25">
      <c r="A29" s="22">
        <v>24</v>
      </c>
      <c r="B29" s="19">
        <v>205.53</v>
      </c>
      <c r="C29" s="22">
        <v>73</v>
      </c>
      <c r="D29" s="19">
        <v>212.8</v>
      </c>
      <c r="E29" s="22">
        <f t="shared" si="0"/>
        <v>122</v>
      </c>
      <c r="F29" s="19">
        <v>184.6</v>
      </c>
      <c r="G29" s="35">
        <v>171</v>
      </c>
      <c r="H29" s="19">
        <v>197</v>
      </c>
      <c r="I29" s="33">
        <v>220</v>
      </c>
      <c r="J29" s="19">
        <v>204.7</v>
      </c>
      <c r="L29" s="22">
        <v>24</v>
      </c>
      <c r="M29" s="19">
        <v>205.53</v>
      </c>
      <c r="N29" s="22">
        <v>73</v>
      </c>
      <c r="O29" s="19">
        <v>212.8</v>
      </c>
      <c r="P29" s="22">
        <f t="shared" si="1"/>
        <v>122</v>
      </c>
      <c r="Q29" s="19">
        <v>184.6</v>
      </c>
      <c r="R29" s="35">
        <v>171</v>
      </c>
      <c r="S29" s="19">
        <v>197</v>
      </c>
      <c r="T29" s="33">
        <v>220</v>
      </c>
      <c r="U29" s="19">
        <v>204.7</v>
      </c>
    </row>
    <row r="30" spans="1:21" ht="15.75" x14ac:dyDescent="0.25">
      <c r="A30" s="22">
        <v>25</v>
      </c>
      <c r="B30" s="19">
        <v>211.7</v>
      </c>
      <c r="C30" s="22">
        <v>74</v>
      </c>
      <c r="D30" s="19">
        <v>212</v>
      </c>
      <c r="E30" s="22">
        <f t="shared" si="0"/>
        <v>123</v>
      </c>
      <c r="F30" s="19">
        <v>207.3</v>
      </c>
      <c r="G30" s="35">
        <v>172</v>
      </c>
      <c r="H30" s="19">
        <v>206.4</v>
      </c>
      <c r="I30" s="20"/>
      <c r="J30" s="36"/>
      <c r="L30" s="22">
        <v>25</v>
      </c>
      <c r="M30" s="19">
        <v>211.7</v>
      </c>
      <c r="N30" s="22">
        <v>74</v>
      </c>
      <c r="O30" s="19">
        <v>212</v>
      </c>
      <c r="P30" s="22">
        <f t="shared" si="1"/>
        <v>123</v>
      </c>
      <c r="Q30" s="19">
        <v>207.3</v>
      </c>
      <c r="R30" s="35">
        <v>172</v>
      </c>
      <c r="S30" s="19">
        <v>206.4</v>
      </c>
      <c r="T30" s="20"/>
      <c r="U30" s="36"/>
    </row>
    <row r="31" spans="1:21" ht="15.75" x14ac:dyDescent="0.25">
      <c r="A31" s="22">
        <v>26</v>
      </c>
      <c r="B31" s="19">
        <v>214.6</v>
      </c>
      <c r="C31" s="22">
        <v>75</v>
      </c>
      <c r="D31" s="19">
        <v>177.3</v>
      </c>
      <c r="E31" s="22">
        <f t="shared" si="0"/>
        <v>124</v>
      </c>
      <c r="F31" s="19">
        <v>206.5</v>
      </c>
      <c r="G31" s="35">
        <v>173</v>
      </c>
      <c r="H31" s="19">
        <v>183.6</v>
      </c>
      <c r="I31" s="20"/>
      <c r="J31" s="36"/>
      <c r="L31" s="22">
        <v>26</v>
      </c>
      <c r="M31" s="19">
        <v>214.6</v>
      </c>
      <c r="N31" s="22">
        <v>75</v>
      </c>
      <c r="O31" s="19">
        <v>177.3</v>
      </c>
      <c r="P31" s="22">
        <f t="shared" si="1"/>
        <v>124</v>
      </c>
      <c r="Q31" s="19">
        <v>206.5</v>
      </c>
      <c r="R31" s="35">
        <v>173</v>
      </c>
      <c r="S31" s="19">
        <v>183.6</v>
      </c>
      <c r="T31" s="20"/>
      <c r="U31" s="36"/>
    </row>
    <row r="32" spans="1:21" ht="15.75" x14ac:dyDescent="0.25">
      <c r="A32" s="22">
        <v>27</v>
      </c>
      <c r="B32" s="19">
        <v>214.7</v>
      </c>
      <c r="C32" s="22">
        <v>76</v>
      </c>
      <c r="D32" s="19">
        <v>212.1</v>
      </c>
      <c r="E32" s="22">
        <f t="shared" si="0"/>
        <v>125</v>
      </c>
      <c r="F32" s="19">
        <v>169.1</v>
      </c>
      <c r="G32" s="33">
        <v>174</v>
      </c>
      <c r="H32" s="19">
        <v>203.7</v>
      </c>
      <c r="I32" s="21"/>
      <c r="J32" s="36"/>
      <c r="L32" s="22">
        <v>27</v>
      </c>
      <c r="M32" s="19">
        <v>214.7</v>
      </c>
      <c r="N32" s="22">
        <v>76</v>
      </c>
      <c r="O32" s="19">
        <v>212.1</v>
      </c>
      <c r="P32" s="22">
        <f t="shared" si="1"/>
        <v>125</v>
      </c>
      <c r="Q32" s="19">
        <v>169.1</v>
      </c>
      <c r="R32" s="33">
        <v>174</v>
      </c>
      <c r="S32" s="19">
        <v>203.7</v>
      </c>
      <c r="T32" s="21"/>
      <c r="U32" s="36"/>
    </row>
    <row r="33" spans="1:21" ht="15.75" x14ac:dyDescent="0.25">
      <c r="A33" s="22">
        <v>28</v>
      </c>
      <c r="B33" s="19">
        <v>212.8</v>
      </c>
      <c r="C33" s="22">
        <v>77</v>
      </c>
      <c r="D33" s="19">
        <v>211</v>
      </c>
      <c r="E33" s="22">
        <f t="shared" si="0"/>
        <v>126</v>
      </c>
      <c r="F33" s="19">
        <v>209.6</v>
      </c>
      <c r="G33" s="33">
        <v>175</v>
      </c>
      <c r="H33" s="19">
        <v>212.2</v>
      </c>
      <c r="I33" s="20"/>
      <c r="J33" s="36"/>
      <c r="L33" s="22">
        <v>28</v>
      </c>
      <c r="M33" s="19">
        <v>212.8</v>
      </c>
      <c r="N33" s="22">
        <v>77</v>
      </c>
      <c r="O33" s="19">
        <v>211</v>
      </c>
      <c r="P33" s="22">
        <f t="shared" si="1"/>
        <v>126</v>
      </c>
      <c r="Q33" s="19">
        <v>209.6</v>
      </c>
      <c r="R33" s="33">
        <v>175</v>
      </c>
      <c r="S33" s="19">
        <v>212.2</v>
      </c>
      <c r="T33" s="20"/>
      <c r="U33" s="36"/>
    </row>
    <row r="34" spans="1:21" ht="15.75" x14ac:dyDescent="0.25">
      <c r="A34" s="22">
        <v>29</v>
      </c>
      <c r="B34" s="19">
        <v>209.8</v>
      </c>
      <c r="C34" s="22">
        <v>78</v>
      </c>
      <c r="D34" s="19">
        <v>207.5</v>
      </c>
      <c r="E34" s="22">
        <f t="shared" si="0"/>
        <v>127</v>
      </c>
      <c r="F34" s="19">
        <v>194.9</v>
      </c>
      <c r="G34" s="33">
        <v>176</v>
      </c>
      <c r="H34" s="19">
        <v>208.4</v>
      </c>
      <c r="I34" s="20"/>
      <c r="J34" s="36"/>
      <c r="L34" s="22">
        <v>29</v>
      </c>
      <c r="M34" s="19">
        <v>209.8</v>
      </c>
      <c r="N34" s="22">
        <v>78</v>
      </c>
      <c r="O34" s="19">
        <v>207.5</v>
      </c>
      <c r="P34" s="22">
        <f t="shared" si="1"/>
        <v>127</v>
      </c>
      <c r="Q34" s="19">
        <v>194.9</v>
      </c>
      <c r="R34" s="33">
        <v>176</v>
      </c>
      <c r="S34" s="19">
        <v>208.4</v>
      </c>
      <c r="T34" s="20"/>
      <c r="U34" s="36"/>
    </row>
    <row r="35" spans="1:21" ht="15.75" x14ac:dyDescent="0.25">
      <c r="A35" s="22">
        <v>30</v>
      </c>
      <c r="B35" s="19">
        <v>189.4</v>
      </c>
      <c r="C35" s="22">
        <v>79</v>
      </c>
      <c r="D35" s="19">
        <v>206.6</v>
      </c>
      <c r="E35" s="22">
        <f t="shared" si="0"/>
        <v>128</v>
      </c>
      <c r="F35" s="19">
        <v>212.3</v>
      </c>
      <c r="G35" s="33">
        <v>177</v>
      </c>
      <c r="H35" s="19">
        <v>174.1</v>
      </c>
      <c r="I35" s="21"/>
      <c r="J35" s="36"/>
      <c r="L35" s="22">
        <v>30</v>
      </c>
      <c r="M35" s="19">
        <v>189.4</v>
      </c>
      <c r="N35" s="22">
        <v>79</v>
      </c>
      <c r="O35" s="19">
        <v>206.6</v>
      </c>
      <c r="P35" s="22">
        <f t="shared" si="1"/>
        <v>128</v>
      </c>
      <c r="Q35" s="19">
        <v>212.3</v>
      </c>
      <c r="R35" s="33">
        <v>177</v>
      </c>
      <c r="S35" s="19">
        <v>174.1</v>
      </c>
      <c r="T35" s="21"/>
      <c r="U35" s="36"/>
    </row>
    <row r="36" spans="1:21" ht="15.75" x14ac:dyDescent="0.25">
      <c r="A36" s="22">
        <v>31</v>
      </c>
      <c r="B36" s="19">
        <v>207.5</v>
      </c>
      <c r="C36" s="22">
        <v>80</v>
      </c>
      <c r="D36" s="19">
        <v>180.6</v>
      </c>
      <c r="E36" s="22">
        <f t="shared" si="0"/>
        <v>129</v>
      </c>
      <c r="F36" s="19">
        <v>203.9</v>
      </c>
      <c r="G36" s="33">
        <v>178</v>
      </c>
      <c r="H36" s="19">
        <v>215.2</v>
      </c>
      <c r="I36" s="20"/>
      <c r="J36" s="36"/>
      <c r="L36" s="22">
        <v>31</v>
      </c>
      <c r="M36" s="19">
        <v>207.5</v>
      </c>
      <c r="N36" s="22">
        <v>80</v>
      </c>
      <c r="O36" s="19">
        <v>180.6</v>
      </c>
      <c r="P36" s="22">
        <f t="shared" si="1"/>
        <v>129</v>
      </c>
      <c r="Q36" s="19">
        <v>203.9</v>
      </c>
      <c r="R36" s="33">
        <v>178</v>
      </c>
      <c r="S36" s="19">
        <v>215.2</v>
      </c>
      <c r="T36" s="20"/>
      <c r="U36" s="36"/>
    </row>
    <row r="37" spans="1:21" ht="15.75" x14ac:dyDescent="0.25">
      <c r="A37" s="22">
        <v>32</v>
      </c>
      <c r="B37" s="19">
        <v>196</v>
      </c>
      <c r="C37" s="22">
        <v>81</v>
      </c>
      <c r="D37" s="19">
        <v>207.9</v>
      </c>
      <c r="E37" s="22">
        <f t="shared" si="0"/>
        <v>130</v>
      </c>
      <c r="F37" s="19">
        <v>181.8</v>
      </c>
      <c r="G37" s="33">
        <v>179</v>
      </c>
      <c r="H37" s="19">
        <v>211.1</v>
      </c>
      <c r="I37" s="20"/>
      <c r="J37" s="36"/>
      <c r="L37" s="22">
        <v>32</v>
      </c>
      <c r="M37" s="19">
        <v>196</v>
      </c>
      <c r="N37" s="22">
        <v>81</v>
      </c>
      <c r="O37" s="19">
        <v>207.9</v>
      </c>
      <c r="P37" s="22">
        <f t="shared" si="1"/>
        <v>130</v>
      </c>
      <c r="Q37" s="19">
        <v>181.8</v>
      </c>
      <c r="R37" s="33">
        <v>179</v>
      </c>
      <c r="S37" s="19">
        <v>211.1</v>
      </c>
      <c r="T37" s="20"/>
      <c r="U37" s="36"/>
    </row>
    <row r="38" spans="1:21" ht="15.75" x14ac:dyDescent="0.25">
      <c r="A38" s="22">
        <v>33</v>
      </c>
      <c r="B38" s="19">
        <v>209.8</v>
      </c>
      <c r="C38" s="22">
        <v>82</v>
      </c>
      <c r="D38" s="19">
        <v>183.4</v>
      </c>
      <c r="E38" s="22">
        <f t="shared" si="0"/>
        <v>131</v>
      </c>
      <c r="F38" s="19">
        <v>209.6</v>
      </c>
      <c r="G38" s="33">
        <v>180</v>
      </c>
      <c r="H38" s="19">
        <v>183.7</v>
      </c>
      <c r="I38" s="21"/>
      <c r="J38" s="36"/>
      <c r="L38" s="22">
        <v>33</v>
      </c>
      <c r="M38" s="19">
        <v>209.8</v>
      </c>
      <c r="N38" s="22">
        <v>82</v>
      </c>
      <c r="O38" s="19">
        <v>183.4</v>
      </c>
      <c r="P38" s="22">
        <f t="shared" si="1"/>
        <v>131</v>
      </c>
      <c r="Q38" s="19">
        <v>209.6</v>
      </c>
      <c r="R38" s="33">
        <v>180</v>
      </c>
      <c r="S38" s="19">
        <v>183.7</v>
      </c>
      <c r="T38" s="21"/>
      <c r="U38" s="36"/>
    </row>
    <row r="39" spans="1:21" ht="15.75" x14ac:dyDescent="0.25">
      <c r="A39" s="22">
        <v>34</v>
      </c>
      <c r="B39" s="19">
        <v>160</v>
      </c>
      <c r="C39" s="22">
        <v>83</v>
      </c>
      <c r="D39" s="19">
        <v>208.4</v>
      </c>
      <c r="E39" s="22">
        <f t="shared" si="0"/>
        <v>132</v>
      </c>
      <c r="F39" s="19">
        <v>206</v>
      </c>
      <c r="G39" s="33">
        <v>181</v>
      </c>
      <c r="H39" s="19">
        <v>202.9</v>
      </c>
      <c r="I39" s="21"/>
      <c r="J39" s="36"/>
      <c r="L39" s="22">
        <v>34</v>
      </c>
      <c r="M39" s="19">
        <v>160</v>
      </c>
      <c r="N39" s="22">
        <v>83</v>
      </c>
      <c r="O39" s="19">
        <v>208.4</v>
      </c>
      <c r="P39" s="22">
        <f t="shared" si="1"/>
        <v>132</v>
      </c>
      <c r="Q39" s="19">
        <v>206</v>
      </c>
      <c r="R39" s="33">
        <v>181</v>
      </c>
      <c r="S39" s="19">
        <v>202.9</v>
      </c>
      <c r="T39" s="21"/>
      <c r="U39" s="36"/>
    </row>
    <row r="40" spans="1:21" ht="15.75" x14ac:dyDescent="0.25">
      <c r="A40" s="22">
        <v>35</v>
      </c>
      <c r="B40" s="19">
        <v>209</v>
      </c>
      <c r="C40" s="22">
        <v>84</v>
      </c>
      <c r="D40" s="19">
        <v>212.7</v>
      </c>
      <c r="E40" s="22">
        <f t="shared" si="0"/>
        <v>133</v>
      </c>
      <c r="F40" s="19">
        <v>186.1</v>
      </c>
      <c r="G40" s="33">
        <v>182</v>
      </c>
      <c r="H40" s="19">
        <v>182.6</v>
      </c>
      <c r="I40" s="20"/>
      <c r="J40" s="36"/>
      <c r="L40" s="22">
        <v>35</v>
      </c>
      <c r="M40" s="19">
        <v>209</v>
      </c>
      <c r="N40" s="22">
        <v>84</v>
      </c>
      <c r="O40" s="19">
        <v>212.7</v>
      </c>
      <c r="P40" s="22">
        <f t="shared" si="1"/>
        <v>133</v>
      </c>
      <c r="Q40" s="19">
        <v>186.1</v>
      </c>
      <c r="R40" s="33">
        <v>182</v>
      </c>
      <c r="S40" s="19">
        <v>182.6</v>
      </c>
      <c r="T40" s="20"/>
      <c r="U40" s="36"/>
    </row>
    <row r="41" spans="1:21" ht="15.75" x14ac:dyDescent="0.25">
      <c r="A41" s="22">
        <v>36</v>
      </c>
      <c r="B41" s="19">
        <v>197.6</v>
      </c>
      <c r="C41" s="22">
        <v>85</v>
      </c>
      <c r="D41" s="19">
        <v>186.9</v>
      </c>
      <c r="E41" s="22">
        <f t="shared" si="0"/>
        <v>134</v>
      </c>
      <c r="F41" s="19">
        <v>215.3</v>
      </c>
      <c r="G41" s="33">
        <v>183</v>
      </c>
      <c r="H41" s="19">
        <v>207</v>
      </c>
      <c r="I41" s="20"/>
      <c r="J41" s="36"/>
      <c r="L41" s="22">
        <v>36</v>
      </c>
      <c r="M41" s="19">
        <v>197.6</v>
      </c>
      <c r="N41" s="22">
        <v>85</v>
      </c>
      <c r="O41" s="19">
        <v>186.9</v>
      </c>
      <c r="P41" s="22">
        <f t="shared" si="1"/>
        <v>134</v>
      </c>
      <c r="Q41" s="19">
        <v>215.3</v>
      </c>
      <c r="R41" s="33">
        <v>183</v>
      </c>
      <c r="S41" s="19">
        <v>207</v>
      </c>
      <c r="T41" s="20"/>
      <c r="U41" s="36"/>
    </row>
    <row r="42" spans="1:21" ht="15.75" x14ac:dyDescent="0.25">
      <c r="A42" s="22">
        <v>37</v>
      </c>
      <c r="B42" s="19">
        <v>213.7</v>
      </c>
      <c r="C42" s="22">
        <v>86</v>
      </c>
      <c r="D42" s="19">
        <v>212.2</v>
      </c>
      <c r="E42" s="22">
        <f t="shared" si="0"/>
        <v>135</v>
      </c>
      <c r="F42" s="19">
        <v>169.1</v>
      </c>
      <c r="G42" s="33">
        <v>184</v>
      </c>
      <c r="H42" s="19">
        <v>202.4</v>
      </c>
      <c r="I42" s="21"/>
      <c r="J42" s="36"/>
      <c r="L42" s="22">
        <v>37</v>
      </c>
      <c r="M42" s="19">
        <v>213.7</v>
      </c>
      <c r="N42" s="22">
        <v>86</v>
      </c>
      <c r="O42" s="19">
        <v>212.2</v>
      </c>
      <c r="P42" s="22">
        <f t="shared" si="1"/>
        <v>135</v>
      </c>
      <c r="Q42" s="19">
        <v>169.1</v>
      </c>
      <c r="R42" s="33">
        <v>184</v>
      </c>
      <c r="S42" s="19">
        <v>202.4</v>
      </c>
      <c r="T42" s="21"/>
      <c r="U42" s="36"/>
    </row>
    <row r="43" spans="1:21" ht="15.75" x14ac:dyDescent="0.25">
      <c r="A43" s="22">
        <v>38</v>
      </c>
      <c r="B43" s="19">
        <v>189.6</v>
      </c>
      <c r="C43" s="22">
        <v>87</v>
      </c>
      <c r="D43" s="19">
        <v>209</v>
      </c>
      <c r="E43" s="22">
        <f t="shared" si="0"/>
        <v>136</v>
      </c>
      <c r="F43" s="19">
        <v>212.4</v>
      </c>
      <c r="G43" s="33">
        <v>185</v>
      </c>
      <c r="H43" s="19">
        <v>178.7</v>
      </c>
      <c r="I43" s="20"/>
      <c r="J43" s="36"/>
      <c r="L43" s="22">
        <v>38</v>
      </c>
      <c r="M43" s="19">
        <v>189.6</v>
      </c>
      <c r="N43" s="22">
        <v>87</v>
      </c>
      <c r="O43" s="19">
        <v>209</v>
      </c>
      <c r="P43" s="22">
        <f t="shared" si="1"/>
        <v>136</v>
      </c>
      <c r="Q43" s="19">
        <v>212.4</v>
      </c>
      <c r="R43" s="33">
        <v>185</v>
      </c>
      <c r="S43" s="19">
        <v>178.7</v>
      </c>
      <c r="T43" s="20"/>
      <c r="U43" s="36"/>
    </row>
    <row r="44" spans="1:21" ht="15.75" x14ac:dyDescent="0.25">
      <c r="A44" s="22">
        <v>39</v>
      </c>
      <c r="B44" s="19">
        <v>210.1</v>
      </c>
      <c r="C44" s="22">
        <v>88</v>
      </c>
      <c r="D44" s="19">
        <v>204.3</v>
      </c>
      <c r="E44" s="22">
        <f t="shared" si="0"/>
        <v>137</v>
      </c>
      <c r="F44" s="19">
        <v>213</v>
      </c>
      <c r="G44" s="33">
        <v>186</v>
      </c>
      <c r="H44" s="19">
        <v>203.4</v>
      </c>
      <c r="I44" s="20"/>
      <c r="J44" s="36"/>
      <c r="L44" s="22">
        <v>39</v>
      </c>
      <c r="M44" s="19">
        <v>210.1</v>
      </c>
      <c r="N44" s="22">
        <v>88</v>
      </c>
      <c r="O44" s="19">
        <v>204.3</v>
      </c>
      <c r="P44" s="22">
        <f t="shared" si="1"/>
        <v>137</v>
      </c>
      <c r="Q44" s="19">
        <v>213</v>
      </c>
      <c r="R44" s="33">
        <v>186</v>
      </c>
      <c r="S44" s="19">
        <v>203.4</v>
      </c>
      <c r="T44" s="20"/>
      <c r="U44" s="36"/>
    </row>
    <row r="45" spans="1:21" ht="15.75" x14ac:dyDescent="0.25">
      <c r="A45" s="22">
        <v>40</v>
      </c>
      <c r="B45" s="19">
        <v>180.9</v>
      </c>
      <c r="C45" s="22">
        <v>89</v>
      </c>
      <c r="D45" s="19">
        <v>208.6</v>
      </c>
      <c r="E45" s="22">
        <f t="shared" si="0"/>
        <v>138</v>
      </c>
      <c r="F45" s="19">
        <v>210.1</v>
      </c>
      <c r="G45" s="33">
        <v>187</v>
      </c>
      <c r="H45" s="19">
        <v>210.9</v>
      </c>
      <c r="I45" s="21"/>
      <c r="J45" s="36"/>
      <c r="L45" s="22">
        <v>40</v>
      </c>
      <c r="M45" s="19">
        <v>180.9</v>
      </c>
      <c r="N45" s="22">
        <v>89</v>
      </c>
      <c r="O45" s="19">
        <v>208.6</v>
      </c>
      <c r="P45" s="22">
        <f t="shared" si="1"/>
        <v>138</v>
      </c>
      <c r="Q45" s="19">
        <v>210.1</v>
      </c>
      <c r="R45" s="33">
        <v>187</v>
      </c>
      <c r="S45" s="19">
        <v>210.9</v>
      </c>
      <c r="T45" s="21"/>
      <c r="U45" s="36"/>
    </row>
    <row r="46" spans="1:21" ht="15.75" x14ac:dyDescent="0.25">
      <c r="A46" s="22">
        <v>41</v>
      </c>
      <c r="B46" s="19">
        <v>210.1</v>
      </c>
      <c r="C46" s="22">
        <v>90</v>
      </c>
      <c r="D46" s="19">
        <v>189.5</v>
      </c>
      <c r="E46" s="22">
        <f t="shared" si="0"/>
        <v>139</v>
      </c>
      <c r="F46" s="19">
        <v>207.7</v>
      </c>
      <c r="G46" s="33">
        <v>188</v>
      </c>
      <c r="H46" s="19">
        <v>176.3</v>
      </c>
      <c r="I46" s="20"/>
      <c r="J46" s="36"/>
      <c r="L46" s="22">
        <v>41</v>
      </c>
      <c r="M46" s="19">
        <v>210.1</v>
      </c>
      <c r="N46" s="22">
        <v>90</v>
      </c>
      <c r="O46" s="19">
        <v>189.5</v>
      </c>
      <c r="P46" s="22">
        <f t="shared" si="1"/>
        <v>139</v>
      </c>
      <c r="Q46" s="19">
        <v>207.7</v>
      </c>
      <c r="R46" s="33">
        <v>188</v>
      </c>
      <c r="S46" s="19">
        <v>176.3</v>
      </c>
      <c r="T46" s="20"/>
      <c r="U46" s="36"/>
    </row>
    <row r="47" spans="1:21" ht="15.75" x14ac:dyDescent="0.25">
      <c r="A47" s="22">
        <v>42</v>
      </c>
      <c r="B47" s="19">
        <v>201.1</v>
      </c>
      <c r="C47" s="22">
        <v>91</v>
      </c>
      <c r="D47" s="19">
        <v>212.5</v>
      </c>
      <c r="E47" s="22">
        <f t="shared" si="0"/>
        <v>140</v>
      </c>
      <c r="F47" s="19">
        <v>187.9</v>
      </c>
      <c r="G47" s="33">
        <v>189</v>
      </c>
      <c r="H47" s="19">
        <v>205.7</v>
      </c>
      <c r="I47" s="20"/>
      <c r="J47" s="36"/>
      <c r="L47" s="22">
        <v>42</v>
      </c>
      <c r="M47" s="19">
        <v>201.1</v>
      </c>
      <c r="N47" s="22">
        <v>91</v>
      </c>
      <c r="O47" s="19">
        <v>212.5</v>
      </c>
      <c r="P47" s="22">
        <f t="shared" si="1"/>
        <v>140</v>
      </c>
      <c r="Q47" s="19">
        <v>187.9</v>
      </c>
      <c r="R47" s="33">
        <v>189</v>
      </c>
      <c r="S47" s="19">
        <v>205.7</v>
      </c>
      <c r="T47" s="20"/>
      <c r="U47" s="36"/>
    </row>
    <row r="48" spans="1:21" ht="15.75" x14ac:dyDescent="0.25">
      <c r="A48" s="22">
        <v>43</v>
      </c>
      <c r="B48" s="19">
        <v>209.9</v>
      </c>
      <c r="C48" s="22">
        <v>92</v>
      </c>
      <c r="D48" s="19">
        <v>174.7</v>
      </c>
      <c r="E48" s="22">
        <f t="shared" si="0"/>
        <v>141</v>
      </c>
      <c r="F48" s="19">
        <v>166.4</v>
      </c>
      <c r="G48" s="33">
        <v>190</v>
      </c>
      <c r="H48" s="19">
        <v>174.7</v>
      </c>
      <c r="I48" s="21"/>
      <c r="J48" s="36"/>
      <c r="L48" s="22">
        <v>43</v>
      </c>
      <c r="M48" s="19">
        <v>209.9</v>
      </c>
      <c r="N48" s="22">
        <v>92</v>
      </c>
      <c r="O48" s="19">
        <v>174.7</v>
      </c>
      <c r="P48" s="22">
        <f t="shared" si="1"/>
        <v>141</v>
      </c>
      <c r="Q48" s="19">
        <v>166.4</v>
      </c>
      <c r="R48" s="33">
        <v>190</v>
      </c>
      <c r="S48" s="19">
        <v>174.7</v>
      </c>
      <c r="T48" s="21"/>
      <c r="U48" s="36"/>
    </row>
    <row r="49" spans="1:21" ht="15.75" x14ac:dyDescent="0.25">
      <c r="A49" s="22">
        <v>44</v>
      </c>
      <c r="B49" s="19">
        <v>192</v>
      </c>
      <c r="C49" s="22">
        <v>93</v>
      </c>
      <c r="D49" s="19">
        <v>211.4</v>
      </c>
      <c r="E49" s="22">
        <f t="shared" si="0"/>
        <v>142</v>
      </c>
      <c r="F49" s="19">
        <v>208.2</v>
      </c>
      <c r="G49" s="33">
        <v>191</v>
      </c>
      <c r="H49" s="19">
        <v>199.8</v>
      </c>
      <c r="I49" s="21"/>
      <c r="J49" s="36"/>
      <c r="L49" s="22">
        <v>44</v>
      </c>
      <c r="M49" s="19">
        <v>192</v>
      </c>
      <c r="N49" s="22">
        <v>93</v>
      </c>
      <c r="O49" s="19">
        <v>211.4</v>
      </c>
      <c r="P49" s="22">
        <f t="shared" si="1"/>
        <v>142</v>
      </c>
      <c r="Q49" s="19">
        <v>208.2</v>
      </c>
      <c r="R49" s="33">
        <v>191</v>
      </c>
      <c r="S49" s="19">
        <v>199.8</v>
      </c>
      <c r="T49" s="21"/>
      <c r="U49" s="36"/>
    </row>
    <row r="50" spans="1:21" ht="15.75" x14ac:dyDescent="0.25">
      <c r="A50" s="22">
        <v>45</v>
      </c>
      <c r="B50" s="19">
        <v>213.4</v>
      </c>
      <c r="C50" s="22">
        <v>94</v>
      </c>
      <c r="D50" s="19">
        <v>213.5</v>
      </c>
      <c r="E50" s="22">
        <f t="shared" si="0"/>
        <v>143</v>
      </c>
      <c r="F50" s="19">
        <v>210.9</v>
      </c>
      <c r="G50" s="33">
        <v>192</v>
      </c>
      <c r="H50" s="19">
        <v>205.7</v>
      </c>
      <c r="I50" s="20"/>
      <c r="J50" s="36"/>
      <c r="L50" s="22">
        <v>45</v>
      </c>
      <c r="M50" s="19">
        <v>213.4</v>
      </c>
      <c r="N50" s="22">
        <v>94</v>
      </c>
      <c r="O50" s="19">
        <v>213.5</v>
      </c>
      <c r="P50" s="22">
        <f t="shared" si="1"/>
        <v>143</v>
      </c>
      <c r="Q50" s="19">
        <v>210.9</v>
      </c>
      <c r="R50" s="33">
        <v>192</v>
      </c>
      <c r="S50" s="19">
        <v>205.7</v>
      </c>
      <c r="T50" s="20"/>
      <c r="U50" s="36"/>
    </row>
    <row r="51" spans="1:21" ht="15.75" x14ac:dyDescent="0.25">
      <c r="A51" s="22">
        <v>46</v>
      </c>
      <c r="B51" s="19">
        <v>192.9</v>
      </c>
      <c r="C51" s="22">
        <v>95</v>
      </c>
      <c r="D51" s="19">
        <v>198.4</v>
      </c>
      <c r="E51" s="22">
        <f t="shared" si="0"/>
        <v>144</v>
      </c>
      <c r="F51" s="19">
        <v>213.6</v>
      </c>
      <c r="G51" s="33">
        <v>193</v>
      </c>
      <c r="H51" s="19">
        <v>201.7</v>
      </c>
      <c r="I51" s="20"/>
      <c r="J51" s="36"/>
      <c r="L51" s="22">
        <v>46</v>
      </c>
      <c r="M51" s="19">
        <v>192.9</v>
      </c>
      <c r="N51" s="22">
        <v>95</v>
      </c>
      <c r="O51" s="19">
        <v>198.4</v>
      </c>
      <c r="P51" s="22">
        <f t="shared" si="1"/>
        <v>144</v>
      </c>
      <c r="Q51" s="19">
        <v>213.6</v>
      </c>
      <c r="R51" s="33">
        <v>193</v>
      </c>
      <c r="S51" s="19">
        <v>201.7</v>
      </c>
      <c r="T51" s="20"/>
      <c r="U51" s="36"/>
    </row>
    <row r="52" spans="1:21" ht="15.75" x14ac:dyDescent="0.25">
      <c r="A52" s="22">
        <v>47</v>
      </c>
      <c r="B52" s="19">
        <v>212.1</v>
      </c>
      <c r="C52" s="22">
        <v>96</v>
      </c>
      <c r="D52" s="19">
        <v>213.1</v>
      </c>
      <c r="E52" s="22">
        <f t="shared" si="0"/>
        <v>145</v>
      </c>
      <c r="F52" s="19">
        <v>199.9</v>
      </c>
      <c r="G52" s="33">
        <v>194</v>
      </c>
      <c r="H52" s="19">
        <v>214.8</v>
      </c>
      <c r="I52" s="21"/>
      <c r="J52" s="36"/>
      <c r="L52" s="22">
        <v>47</v>
      </c>
      <c r="M52" s="19">
        <v>212.1</v>
      </c>
      <c r="N52" s="22">
        <v>96</v>
      </c>
      <c r="O52" s="19">
        <v>213.1</v>
      </c>
      <c r="P52" s="22">
        <f t="shared" si="1"/>
        <v>145</v>
      </c>
      <c r="Q52" s="19">
        <v>199.9</v>
      </c>
      <c r="R52" s="33">
        <v>194</v>
      </c>
      <c r="S52" s="19">
        <v>214.8</v>
      </c>
      <c r="T52" s="21"/>
      <c r="U52" s="36"/>
    </row>
    <row r="53" spans="1:21" ht="15.75" x14ac:dyDescent="0.25">
      <c r="A53" s="22">
        <v>48</v>
      </c>
      <c r="B53" s="19">
        <v>208.4</v>
      </c>
      <c r="C53" s="22">
        <v>97</v>
      </c>
      <c r="D53" s="19">
        <v>172.7</v>
      </c>
      <c r="E53" s="22">
        <f t="shared" si="0"/>
        <v>146</v>
      </c>
      <c r="F53" s="19">
        <v>204.1</v>
      </c>
      <c r="G53" s="33">
        <v>195</v>
      </c>
      <c r="H53" s="19">
        <v>172</v>
      </c>
      <c r="I53" s="20"/>
      <c r="J53" s="36"/>
      <c r="L53" s="22">
        <v>48</v>
      </c>
      <c r="M53" s="19">
        <v>208.4</v>
      </c>
      <c r="N53" s="22">
        <v>97</v>
      </c>
      <c r="O53" s="19">
        <v>172.7</v>
      </c>
      <c r="P53" s="22">
        <f t="shared" si="1"/>
        <v>146</v>
      </c>
      <c r="Q53" s="19">
        <v>204.1</v>
      </c>
      <c r="R53" s="33">
        <v>195</v>
      </c>
      <c r="S53" s="19">
        <v>172</v>
      </c>
      <c r="T53" s="20"/>
      <c r="U53" s="36"/>
    </row>
    <row r="54" spans="1:21" ht="15.75" x14ac:dyDescent="0.25">
      <c r="A54" s="37">
        <v>49</v>
      </c>
      <c r="B54" s="19">
        <v>209.3</v>
      </c>
      <c r="C54" s="37">
        <v>98</v>
      </c>
      <c r="D54" s="19">
        <v>213.1</v>
      </c>
      <c r="E54" s="22">
        <f t="shared" si="0"/>
        <v>147</v>
      </c>
      <c r="F54" s="19">
        <v>199.9</v>
      </c>
      <c r="G54" s="38">
        <v>196</v>
      </c>
      <c r="H54" s="19">
        <v>204.8</v>
      </c>
      <c r="I54" s="39"/>
      <c r="J54" s="40"/>
      <c r="L54" s="37">
        <v>49</v>
      </c>
      <c r="M54" s="19">
        <v>209.3</v>
      </c>
      <c r="N54" s="37">
        <v>98</v>
      </c>
      <c r="O54" s="19">
        <v>213.1</v>
      </c>
      <c r="P54" s="22">
        <f t="shared" si="1"/>
        <v>147</v>
      </c>
      <c r="Q54" s="19">
        <v>199.9</v>
      </c>
      <c r="R54" s="38">
        <v>196</v>
      </c>
      <c r="S54" s="19">
        <v>204.8</v>
      </c>
      <c r="T54" s="39"/>
      <c r="U54" s="40"/>
    </row>
    <row r="55" spans="1:21" ht="15.75" x14ac:dyDescent="0.25">
      <c r="A55" s="41"/>
      <c r="B55" s="23">
        <f>SUM(B6:B54)</f>
        <v>9905.73</v>
      </c>
      <c r="C55" s="23"/>
      <c r="D55" s="23">
        <f>SUM(D6:D54)</f>
        <v>9909</v>
      </c>
      <c r="E55" s="23"/>
      <c r="F55" s="23">
        <f>SUM(F6:F54)</f>
        <v>9713.1</v>
      </c>
      <c r="G55" s="23"/>
      <c r="H55" s="23">
        <f>SUM(H6:H54)</f>
        <v>9671.2999999999975</v>
      </c>
      <c r="I55" s="41"/>
      <c r="J55" s="41">
        <f>SUM(J6:J54)</f>
        <v>4663.5</v>
      </c>
      <c r="L55" s="41"/>
      <c r="M55" s="23">
        <f>SUM(M6:M54)</f>
        <v>9905.73</v>
      </c>
      <c r="N55" s="23"/>
      <c r="O55" s="23">
        <f>SUM(O6:O54)</f>
        <v>9909</v>
      </c>
      <c r="P55" s="23"/>
      <c r="Q55" s="23">
        <f>SUM(Q6:Q54)</f>
        <v>9713.1</v>
      </c>
      <c r="R55" s="23"/>
      <c r="S55" s="23">
        <f>SUM(S6:S54)</f>
        <v>9671.2999999999975</v>
      </c>
      <c r="T55" s="41"/>
      <c r="U55" s="41">
        <f>SUM(U6:U54)</f>
        <v>4663.5</v>
      </c>
    </row>
    <row r="56" spans="1:21" ht="15.75" x14ac:dyDescent="0.25">
      <c r="A56" s="42" t="s">
        <v>5</v>
      </c>
      <c r="B56" s="43">
        <f>COUNT(B6:B54,D6:D54,F6:F54,H6:H54,J6:J54)</f>
        <v>220</v>
      </c>
      <c r="C56" s="13" t="s">
        <v>6</v>
      </c>
      <c r="D56" s="44"/>
      <c r="E56" s="45">
        <f>B55+D55+F55+H55+J55</f>
        <v>43862.63</v>
      </c>
      <c r="F56" s="24" t="s">
        <v>7</v>
      </c>
      <c r="G56" s="1">
        <f>B56*2.2</f>
        <v>484.00000000000006</v>
      </c>
      <c r="H56" s="13" t="s">
        <v>8</v>
      </c>
      <c r="I56" s="44"/>
      <c r="J56" s="45">
        <f>E56-G56</f>
        <v>43378.63</v>
      </c>
      <c r="L56" s="42" t="s">
        <v>5</v>
      </c>
      <c r="M56" s="43">
        <f>COUNT(M6:M54,O6:O54,Q6:Q54,S6:S54,U6:U54)</f>
        <v>220</v>
      </c>
      <c r="N56" s="13" t="s">
        <v>6</v>
      </c>
      <c r="O56" s="44"/>
      <c r="P56" s="45">
        <f>M55+O55+Q55+S55+U55</f>
        <v>43862.63</v>
      </c>
      <c r="Q56" s="24" t="s">
        <v>7</v>
      </c>
      <c r="R56" s="1">
        <f>M56*2.2</f>
        <v>484.00000000000006</v>
      </c>
      <c r="S56" s="13" t="s">
        <v>8</v>
      </c>
      <c r="T56" s="44"/>
      <c r="U56" s="45">
        <f>P56-R56</f>
        <v>43378.63</v>
      </c>
    </row>
    <row r="57" spans="1:21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  <c r="L57" s="42" t="s">
        <v>9</v>
      </c>
      <c r="M57" s="25"/>
      <c r="N57" s="46"/>
      <c r="O57" s="44"/>
      <c r="P57" s="47"/>
      <c r="Q57" s="25"/>
      <c r="R57" s="48"/>
      <c r="S57" s="46"/>
      <c r="T57" s="44"/>
      <c r="U57" s="49"/>
    </row>
    <row r="59" spans="1:21" x14ac:dyDescent="0.25">
      <c r="F59" s="112" t="s">
        <v>61</v>
      </c>
      <c r="G59" s="112">
        <v>2.2000000000000002</v>
      </c>
      <c r="Q59" s="112" t="s">
        <v>61</v>
      </c>
      <c r="R59" s="112">
        <v>2.2000000000000002</v>
      </c>
    </row>
  </sheetData>
  <protectedRanges>
    <protectedRange password="CCE1" sqref="C6:C54 G6:G54 E6:E54 I6:I29 N6:N54 R6:R54 P6:P54 T6:T29" name="Диапазон1_3_1_7_2_1_1_1_1_1_1_1"/>
  </protectedRanges>
  <mergeCells count="4">
    <mergeCell ref="A1:J1"/>
    <mergeCell ref="I4:J4"/>
    <mergeCell ref="L1:U1"/>
    <mergeCell ref="T4:U4"/>
  </mergeCells>
  <pageMargins left="0.7" right="0.7" top="0.75" bottom="0.75" header="0.3" footer="0.3"/>
  <pageSetup paperSize="9" scale="83" orientation="portrait" verticalDpi="0" r:id="rId1"/>
  <rowBreaks count="1" manualBreakCount="1">
    <brk id="57" max="16383" man="1"/>
  </rowBreaks>
  <colBreaks count="1" manualBreakCount="1">
    <brk id="10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9"/>
  <sheetViews>
    <sheetView view="pageBreakPreview" topLeftCell="H37" zoomScale="60" zoomScaleNormal="100" workbookViewId="0">
      <selection activeCell="J59" sqref="J59"/>
    </sheetView>
  </sheetViews>
  <sheetFormatPr defaultRowHeight="15" x14ac:dyDescent="0.25"/>
  <cols>
    <col min="11" max="11" width="2.140625" customWidth="1"/>
    <col min="22" max="22" width="1.85546875" customWidth="1"/>
    <col min="33" max="33" width="2" customWidth="1"/>
  </cols>
  <sheetData>
    <row r="1" spans="1:43" ht="18.75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L1" s="204" t="s">
        <v>0</v>
      </c>
      <c r="M1" s="204"/>
      <c r="N1" s="204"/>
      <c r="O1" s="204"/>
      <c r="P1" s="204"/>
      <c r="Q1" s="204"/>
      <c r="R1" s="204"/>
      <c r="S1" s="204"/>
      <c r="T1" s="204"/>
      <c r="U1" s="204"/>
      <c r="W1" s="204" t="s">
        <v>0</v>
      </c>
      <c r="X1" s="204"/>
      <c r="Y1" s="204"/>
      <c r="Z1" s="204"/>
      <c r="AA1" s="204"/>
      <c r="AB1" s="204"/>
      <c r="AC1" s="204"/>
      <c r="AD1" s="204"/>
      <c r="AE1" s="204"/>
      <c r="AF1" s="204"/>
      <c r="AH1" s="204" t="s">
        <v>0</v>
      </c>
      <c r="AI1" s="204"/>
      <c r="AJ1" s="204"/>
      <c r="AK1" s="204"/>
      <c r="AL1" s="204"/>
      <c r="AM1" s="204"/>
      <c r="AN1" s="204"/>
      <c r="AO1" s="204"/>
      <c r="AP1" s="204"/>
      <c r="AQ1" s="204"/>
    </row>
    <row r="2" spans="1:43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  <c r="L2" s="13" t="s">
        <v>1</v>
      </c>
      <c r="M2" s="13"/>
      <c r="N2" s="13"/>
      <c r="O2" s="13"/>
      <c r="P2" s="13"/>
      <c r="Q2" s="13"/>
      <c r="R2" s="27"/>
      <c r="S2" s="13"/>
      <c r="T2" s="13"/>
      <c r="U2" s="13"/>
      <c r="W2" s="13" t="s">
        <v>1</v>
      </c>
      <c r="X2" s="13"/>
      <c r="Y2" s="13"/>
      <c r="Z2" s="13"/>
      <c r="AA2" s="13"/>
      <c r="AB2" s="13"/>
      <c r="AC2" s="27"/>
      <c r="AD2" s="13"/>
      <c r="AE2" s="13"/>
      <c r="AF2" s="13"/>
      <c r="AH2" s="13" t="s">
        <v>1</v>
      </c>
      <c r="AI2" s="13"/>
      <c r="AJ2" s="13"/>
      <c r="AK2" s="13"/>
      <c r="AL2" s="13"/>
      <c r="AM2" s="13"/>
      <c r="AN2" s="27"/>
      <c r="AO2" s="13"/>
      <c r="AP2" s="13"/>
      <c r="AQ2" s="13"/>
    </row>
    <row r="3" spans="1:43" ht="15.75" x14ac:dyDescent="0.25">
      <c r="A3" s="25" t="s">
        <v>2</v>
      </c>
      <c r="B3" s="27">
        <v>230</v>
      </c>
      <c r="C3" s="14"/>
      <c r="D3" s="15"/>
      <c r="E3" s="16"/>
      <c r="F3" s="16"/>
      <c r="G3" s="16"/>
      <c r="H3" s="16"/>
      <c r="I3" s="16" t="s">
        <v>33</v>
      </c>
      <c r="J3" s="16"/>
      <c r="L3" s="25" t="s">
        <v>2</v>
      </c>
      <c r="M3" s="27">
        <v>230</v>
      </c>
      <c r="N3" s="14"/>
      <c r="O3" s="15"/>
      <c r="P3" s="16"/>
      <c r="Q3" s="16"/>
      <c r="R3" s="16"/>
      <c r="S3" s="16"/>
      <c r="T3" s="16" t="s">
        <v>33</v>
      </c>
      <c r="U3" s="16"/>
      <c r="W3" s="25" t="s">
        <v>2</v>
      </c>
      <c r="X3" s="27">
        <v>230</v>
      </c>
      <c r="Y3" s="14"/>
      <c r="Z3" s="15"/>
      <c r="AA3" s="16"/>
      <c r="AB3" s="16"/>
      <c r="AC3" s="16"/>
      <c r="AD3" s="16"/>
      <c r="AE3" s="16" t="s">
        <v>33</v>
      </c>
      <c r="AF3" s="16"/>
      <c r="AH3" s="25" t="s">
        <v>2</v>
      </c>
      <c r="AI3" s="27">
        <v>230</v>
      </c>
      <c r="AJ3" s="14"/>
      <c r="AK3" s="15"/>
      <c r="AL3" s="16"/>
      <c r="AM3" s="16"/>
      <c r="AN3" s="16"/>
      <c r="AO3" s="16"/>
      <c r="AP3" s="16" t="s">
        <v>33</v>
      </c>
      <c r="AQ3" s="16"/>
    </row>
    <row r="4" spans="1:43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  <c r="L4" s="17"/>
      <c r="M4" s="17"/>
      <c r="N4" s="17"/>
      <c r="O4" s="17"/>
      <c r="P4" s="17"/>
      <c r="Q4" s="17"/>
      <c r="R4" s="17"/>
      <c r="S4" s="28"/>
      <c r="T4" s="205" t="s">
        <v>48</v>
      </c>
      <c r="U4" s="206"/>
      <c r="W4" s="17"/>
      <c r="X4" s="17"/>
      <c r="Y4" s="17"/>
      <c r="Z4" s="17"/>
      <c r="AA4" s="17"/>
      <c r="AB4" s="17"/>
      <c r="AC4" s="17"/>
      <c r="AD4" s="28"/>
      <c r="AE4" s="205" t="s">
        <v>50</v>
      </c>
      <c r="AF4" s="206"/>
      <c r="AH4" s="17"/>
      <c r="AI4" s="17"/>
      <c r="AJ4" s="17"/>
      <c r="AK4" s="17"/>
      <c r="AL4" s="17"/>
      <c r="AM4" s="17"/>
      <c r="AN4" s="17"/>
      <c r="AO4" s="28"/>
      <c r="AP4" s="205" t="s">
        <v>47</v>
      </c>
      <c r="AQ4" s="206"/>
    </row>
    <row r="5" spans="1:43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  <c r="L5" s="29" t="s">
        <v>3</v>
      </c>
      <c r="M5" s="18" t="s">
        <v>4</v>
      </c>
      <c r="N5" s="29" t="s">
        <v>3</v>
      </c>
      <c r="O5" s="18" t="s">
        <v>4</v>
      </c>
      <c r="P5" s="29" t="s">
        <v>3</v>
      </c>
      <c r="Q5" s="18" t="s">
        <v>4</v>
      </c>
      <c r="R5" s="29" t="s">
        <v>3</v>
      </c>
      <c r="S5" s="30" t="s">
        <v>4</v>
      </c>
      <c r="T5" s="31" t="s">
        <v>3</v>
      </c>
      <c r="U5" s="32" t="s">
        <v>4</v>
      </c>
      <c r="W5" s="29" t="s">
        <v>3</v>
      </c>
      <c r="X5" s="18" t="s">
        <v>4</v>
      </c>
      <c r="Y5" s="29" t="s">
        <v>3</v>
      </c>
      <c r="Z5" s="18" t="s">
        <v>4</v>
      </c>
      <c r="AA5" s="29" t="s">
        <v>3</v>
      </c>
      <c r="AB5" s="18" t="s">
        <v>4</v>
      </c>
      <c r="AC5" s="29" t="s">
        <v>3</v>
      </c>
      <c r="AD5" s="30" t="s">
        <v>4</v>
      </c>
      <c r="AE5" s="31" t="s">
        <v>3</v>
      </c>
      <c r="AF5" s="32" t="s">
        <v>4</v>
      </c>
      <c r="AH5" s="29" t="s">
        <v>3</v>
      </c>
      <c r="AI5" s="18" t="s">
        <v>4</v>
      </c>
      <c r="AJ5" s="29" t="s">
        <v>3</v>
      </c>
      <c r="AK5" s="18" t="s">
        <v>4</v>
      </c>
      <c r="AL5" s="29" t="s">
        <v>3</v>
      </c>
      <c r="AM5" s="18" t="s">
        <v>4</v>
      </c>
      <c r="AN5" s="29" t="s">
        <v>3</v>
      </c>
      <c r="AO5" s="30" t="s">
        <v>4</v>
      </c>
      <c r="AP5" s="31" t="s">
        <v>3</v>
      </c>
      <c r="AQ5" s="32" t="s">
        <v>4</v>
      </c>
    </row>
    <row r="6" spans="1:43" ht="15.75" x14ac:dyDescent="0.25">
      <c r="A6" s="22">
        <v>1</v>
      </c>
      <c r="B6" s="19">
        <v>216.8</v>
      </c>
      <c r="C6" s="22">
        <v>50</v>
      </c>
      <c r="D6" s="19">
        <v>199</v>
      </c>
      <c r="E6" s="22">
        <v>99</v>
      </c>
      <c r="F6" s="19">
        <v>211.4</v>
      </c>
      <c r="G6" s="33">
        <v>148</v>
      </c>
      <c r="H6" s="19">
        <v>206.7</v>
      </c>
      <c r="I6" s="34">
        <v>197</v>
      </c>
      <c r="J6" s="19">
        <v>202.4</v>
      </c>
      <c r="L6" s="22">
        <v>1</v>
      </c>
      <c r="M6" s="19"/>
      <c r="N6" s="22">
        <v>50</v>
      </c>
      <c r="O6" s="19"/>
      <c r="P6" s="22">
        <v>99</v>
      </c>
      <c r="Q6" s="19">
        <v>211.4</v>
      </c>
      <c r="R6" s="33">
        <v>148</v>
      </c>
      <c r="S6" s="19"/>
      <c r="T6" s="34">
        <v>197</v>
      </c>
      <c r="U6" s="19"/>
      <c r="W6" s="22">
        <v>1</v>
      </c>
      <c r="X6" s="19"/>
      <c r="Y6" s="22">
        <v>50</v>
      </c>
      <c r="Z6" s="19">
        <v>199</v>
      </c>
      <c r="AA6" s="22">
        <v>99</v>
      </c>
      <c r="AB6" s="19"/>
      <c r="AC6" s="33">
        <v>148</v>
      </c>
      <c r="AD6" s="19">
        <v>206.7</v>
      </c>
      <c r="AE6" s="34">
        <v>197</v>
      </c>
      <c r="AF6" s="19">
        <v>202.4</v>
      </c>
      <c r="AH6" s="22">
        <v>1</v>
      </c>
      <c r="AI6" s="19">
        <v>216.8</v>
      </c>
      <c r="AJ6" s="22">
        <v>50</v>
      </c>
      <c r="AK6" s="19"/>
      <c r="AL6" s="22">
        <v>99</v>
      </c>
      <c r="AM6" s="19"/>
      <c r="AN6" s="33">
        <v>148</v>
      </c>
      <c r="AO6" s="19"/>
      <c r="AP6" s="34">
        <v>197</v>
      </c>
      <c r="AQ6" s="19"/>
    </row>
    <row r="7" spans="1:43" ht="15.75" x14ac:dyDescent="0.25">
      <c r="A7" s="22">
        <v>2</v>
      </c>
      <c r="B7" s="19">
        <v>211.8</v>
      </c>
      <c r="C7" s="22">
        <v>51</v>
      </c>
      <c r="D7" s="19">
        <v>209.8</v>
      </c>
      <c r="E7" s="22">
        <v>100</v>
      </c>
      <c r="F7" s="19">
        <v>204.2</v>
      </c>
      <c r="G7" s="33">
        <v>149</v>
      </c>
      <c r="H7" s="19">
        <v>206.3</v>
      </c>
      <c r="I7" s="33">
        <v>198</v>
      </c>
      <c r="J7" s="19">
        <v>207.3</v>
      </c>
      <c r="L7" s="22">
        <v>2</v>
      </c>
      <c r="M7" s="19"/>
      <c r="N7" s="22">
        <v>51</v>
      </c>
      <c r="O7" s="19">
        <v>209.8</v>
      </c>
      <c r="P7" s="22">
        <v>100</v>
      </c>
      <c r="Q7" s="19">
        <v>204.2</v>
      </c>
      <c r="R7" s="33">
        <v>149</v>
      </c>
      <c r="S7" s="19"/>
      <c r="T7" s="33">
        <v>198</v>
      </c>
      <c r="U7" s="19"/>
      <c r="W7" s="22">
        <v>2</v>
      </c>
      <c r="X7" s="19"/>
      <c r="Y7" s="22">
        <v>51</v>
      </c>
      <c r="Z7" s="19"/>
      <c r="AA7" s="22">
        <v>100</v>
      </c>
      <c r="AB7" s="19"/>
      <c r="AC7" s="33">
        <v>149</v>
      </c>
      <c r="AD7" s="19">
        <v>206.3</v>
      </c>
      <c r="AE7" s="33">
        <v>198</v>
      </c>
      <c r="AF7" s="19">
        <v>207.3</v>
      </c>
      <c r="AH7" s="22">
        <v>2</v>
      </c>
      <c r="AI7" s="19">
        <v>211.8</v>
      </c>
      <c r="AJ7" s="22">
        <v>51</v>
      </c>
      <c r="AK7" s="19"/>
      <c r="AL7" s="22">
        <v>100</v>
      </c>
      <c r="AM7" s="19"/>
      <c r="AN7" s="33">
        <v>149</v>
      </c>
      <c r="AO7" s="19"/>
      <c r="AP7" s="33">
        <v>198</v>
      </c>
      <c r="AQ7" s="19"/>
    </row>
    <row r="8" spans="1:43" ht="15.75" x14ac:dyDescent="0.25">
      <c r="A8" s="22">
        <v>3</v>
      </c>
      <c r="B8" s="19">
        <v>214.6</v>
      </c>
      <c r="C8" s="22">
        <v>52</v>
      </c>
      <c r="D8" s="19">
        <v>202.1</v>
      </c>
      <c r="E8" s="22">
        <f t="shared" ref="E8:E54" si="0">+E7+1</f>
        <v>101</v>
      </c>
      <c r="F8" s="19">
        <v>206.7</v>
      </c>
      <c r="G8" s="33">
        <v>150</v>
      </c>
      <c r="H8" s="19">
        <v>206</v>
      </c>
      <c r="I8" s="33">
        <v>199</v>
      </c>
      <c r="J8" s="19">
        <v>209.8</v>
      </c>
      <c r="L8" s="22">
        <v>3</v>
      </c>
      <c r="M8" s="19"/>
      <c r="N8" s="22">
        <v>52</v>
      </c>
      <c r="O8" s="19">
        <v>202.1</v>
      </c>
      <c r="P8" s="22">
        <f t="shared" ref="P8:P54" si="1">+P7+1</f>
        <v>101</v>
      </c>
      <c r="Q8" s="19">
        <v>206.7</v>
      </c>
      <c r="R8" s="33">
        <v>150</v>
      </c>
      <c r="S8" s="19"/>
      <c r="T8" s="33">
        <v>199</v>
      </c>
      <c r="U8" s="19"/>
      <c r="W8" s="22">
        <v>3</v>
      </c>
      <c r="X8" s="19"/>
      <c r="Y8" s="22">
        <v>52</v>
      </c>
      <c r="Z8" s="19"/>
      <c r="AA8" s="22">
        <f t="shared" ref="AA8:AA54" si="2">+AA7+1</f>
        <v>101</v>
      </c>
      <c r="AB8" s="19"/>
      <c r="AC8" s="33">
        <v>150</v>
      </c>
      <c r="AD8" s="19">
        <v>206</v>
      </c>
      <c r="AE8" s="33">
        <v>199</v>
      </c>
      <c r="AF8" s="19">
        <v>209.8</v>
      </c>
      <c r="AH8" s="22">
        <v>3</v>
      </c>
      <c r="AI8" s="19">
        <v>214.6</v>
      </c>
      <c r="AJ8" s="22">
        <v>52</v>
      </c>
      <c r="AK8" s="19"/>
      <c r="AL8" s="22">
        <f t="shared" ref="AL8:AL54" si="3">+AL7+1</f>
        <v>101</v>
      </c>
      <c r="AM8" s="19"/>
      <c r="AN8" s="33">
        <v>150</v>
      </c>
      <c r="AO8" s="19"/>
      <c r="AP8" s="33">
        <v>199</v>
      </c>
      <c r="AQ8" s="19"/>
    </row>
    <row r="9" spans="1:43" ht="15.75" x14ac:dyDescent="0.25">
      <c r="A9" s="22">
        <v>4</v>
      </c>
      <c r="B9" s="19">
        <v>210</v>
      </c>
      <c r="C9" s="22">
        <v>53</v>
      </c>
      <c r="D9" s="19">
        <v>191.1</v>
      </c>
      <c r="E9" s="22">
        <f t="shared" si="0"/>
        <v>102</v>
      </c>
      <c r="F9" s="19">
        <v>215.8</v>
      </c>
      <c r="G9" s="33">
        <v>151</v>
      </c>
      <c r="H9" s="19">
        <v>171.3</v>
      </c>
      <c r="I9" s="33">
        <v>200</v>
      </c>
      <c r="J9" s="19">
        <v>177</v>
      </c>
      <c r="L9" s="22">
        <v>4</v>
      </c>
      <c r="M9" s="19"/>
      <c r="N9" s="22">
        <v>53</v>
      </c>
      <c r="O9" s="19">
        <v>191.1</v>
      </c>
      <c r="P9" s="22">
        <f t="shared" si="1"/>
        <v>102</v>
      </c>
      <c r="Q9" s="19">
        <v>215.8</v>
      </c>
      <c r="R9" s="33">
        <v>151</v>
      </c>
      <c r="S9" s="19"/>
      <c r="T9" s="33">
        <v>200</v>
      </c>
      <c r="U9" s="19"/>
      <c r="W9" s="22">
        <v>4</v>
      </c>
      <c r="X9" s="19"/>
      <c r="Y9" s="22">
        <v>53</v>
      </c>
      <c r="Z9" s="19"/>
      <c r="AA9" s="22">
        <f t="shared" si="2"/>
        <v>102</v>
      </c>
      <c r="AB9" s="19"/>
      <c r="AC9" s="33">
        <v>151</v>
      </c>
      <c r="AD9" s="19">
        <v>171.3</v>
      </c>
      <c r="AE9" s="33">
        <v>200</v>
      </c>
      <c r="AF9" s="19">
        <v>177</v>
      </c>
      <c r="AH9" s="22">
        <v>4</v>
      </c>
      <c r="AI9" s="19">
        <v>210</v>
      </c>
      <c r="AJ9" s="22">
        <v>53</v>
      </c>
      <c r="AK9" s="19"/>
      <c r="AL9" s="22">
        <f t="shared" si="3"/>
        <v>102</v>
      </c>
      <c r="AM9" s="19"/>
      <c r="AN9" s="33">
        <v>151</v>
      </c>
      <c r="AO9" s="19"/>
      <c r="AP9" s="33">
        <v>200</v>
      </c>
      <c r="AQ9" s="19"/>
    </row>
    <row r="10" spans="1:43" ht="15.75" x14ac:dyDescent="0.25">
      <c r="A10" s="22">
        <v>5</v>
      </c>
      <c r="B10" s="19">
        <v>215.1</v>
      </c>
      <c r="C10" s="22">
        <v>54</v>
      </c>
      <c r="D10" s="19">
        <v>193.8</v>
      </c>
      <c r="E10" s="22">
        <f t="shared" si="0"/>
        <v>103</v>
      </c>
      <c r="F10" s="19">
        <v>210.7</v>
      </c>
      <c r="G10" s="33">
        <v>152</v>
      </c>
      <c r="H10" s="19">
        <v>209.9</v>
      </c>
      <c r="I10" s="33">
        <v>201</v>
      </c>
      <c r="J10" s="19">
        <v>207.9</v>
      </c>
      <c r="L10" s="22">
        <v>5</v>
      </c>
      <c r="M10" s="19"/>
      <c r="N10" s="22">
        <v>54</v>
      </c>
      <c r="O10" s="19">
        <v>193.8</v>
      </c>
      <c r="P10" s="22">
        <f t="shared" si="1"/>
        <v>103</v>
      </c>
      <c r="Q10" s="19">
        <v>210.7</v>
      </c>
      <c r="R10" s="33">
        <v>152</v>
      </c>
      <c r="S10" s="19"/>
      <c r="T10" s="33">
        <v>201</v>
      </c>
      <c r="U10" s="19"/>
      <c r="W10" s="22">
        <v>5</v>
      </c>
      <c r="X10" s="19"/>
      <c r="Y10" s="22">
        <v>54</v>
      </c>
      <c r="Z10" s="19"/>
      <c r="AA10" s="22">
        <f t="shared" si="2"/>
        <v>103</v>
      </c>
      <c r="AB10" s="19"/>
      <c r="AC10" s="33">
        <v>152</v>
      </c>
      <c r="AD10" s="19">
        <v>209.9</v>
      </c>
      <c r="AE10" s="33">
        <v>201</v>
      </c>
      <c r="AF10" s="19">
        <v>207.9</v>
      </c>
      <c r="AH10" s="22">
        <v>5</v>
      </c>
      <c r="AI10" s="19">
        <v>215.1</v>
      </c>
      <c r="AJ10" s="22">
        <v>54</v>
      </c>
      <c r="AK10" s="19"/>
      <c r="AL10" s="22">
        <f t="shared" si="3"/>
        <v>103</v>
      </c>
      <c r="AM10" s="19"/>
      <c r="AN10" s="33">
        <v>152</v>
      </c>
      <c r="AO10" s="19"/>
      <c r="AP10" s="33">
        <v>201</v>
      </c>
      <c r="AQ10" s="19"/>
    </row>
    <row r="11" spans="1:43" ht="15.75" x14ac:dyDescent="0.25">
      <c r="A11" s="22">
        <v>6</v>
      </c>
      <c r="B11" s="19">
        <v>210.1</v>
      </c>
      <c r="C11" s="22">
        <v>55</v>
      </c>
      <c r="D11" s="19">
        <v>208.4</v>
      </c>
      <c r="E11" s="22">
        <f t="shared" si="0"/>
        <v>104</v>
      </c>
      <c r="F11" s="19">
        <v>209.2</v>
      </c>
      <c r="G11" s="33">
        <v>153</v>
      </c>
      <c r="H11" s="19">
        <v>211.2</v>
      </c>
      <c r="I11" s="33">
        <v>202</v>
      </c>
      <c r="J11" s="19">
        <v>211.1</v>
      </c>
      <c r="L11" s="22">
        <v>6</v>
      </c>
      <c r="M11" s="19"/>
      <c r="N11" s="22">
        <v>55</v>
      </c>
      <c r="O11" s="19">
        <v>208.4</v>
      </c>
      <c r="P11" s="22">
        <f t="shared" si="1"/>
        <v>104</v>
      </c>
      <c r="Q11" s="19">
        <v>209.2</v>
      </c>
      <c r="R11" s="33">
        <v>153</v>
      </c>
      <c r="S11" s="19"/>
      <c r="T11" s="33">
        <v>202</v>
      </c>
      <c r="U11" s="19"/>
      <c r="W11" s="22">
        <v>6</v>
      </c>
      <c r="X11" s="19"/>
      <c r="Y11" s="22">
        <v>55</v>
      </c>
      <c r="Z11" s="19"/>
      <c r="AA11" s="22">
        <f t="shared" si="2"/>
        <v>104</v>
      </c>
      <c r="AB11" s="19"/>
      <c r="AC11" s="33">
        <v>153</v>
      </c>
      <c r="AD11" s="19">
        <v>211.2</v>
      </c>
      <c r="AE11" s="33">
        <v>202</v>
      </c>
      <c r="AF11" s="19">
        <v>211.1</v>
      </c>
      <c r="AH11" s="22">
        <v>6</v>
      </c>
      <c r="AI11" s="19">
        <v>210.1</v>
      </c>
      <c r="AJ11" s="22">
        <v>55</v>
      </c>
      <c r="AK11" s="19"/>
      <c r="AL11" s="22">
        <f t="shared" si="3"/>
        <v>104</v>
      </c>
      <c r="AM11" s="19"/>
      <c r="AN11" s="33">
        <v>153</v>
      </c>
      <c r="AO11" s="19"/>
      <c r="AP11" s="33">
        <v>202</v>
      </c>
      <c r="AQ11" s="19"/>
    </row>
    <row r="12" spans="1:43" ht="15.75" x14ac:dyDescent="0.25">
      <c r="A12" s="22">
        <v>7</v>
      </c>
      <c r="B12" s="19">
        <v>202.9</v>
      </c>
      <c r="C12" s="22">
        <v>56</v>
      </c>
      <c r="D12" s="19">
        <v>205.9</v>
      </c>
      <c r="E12" s="22">
        <f t="shared" si="0"/>
        <v>105</v>
      </c>
      <c r="F12" s="19">
        <v>212.2</v>
      </c>
      <c r="G12" s="33">
        <v>154</v>
      </c>
      <c r="H12" s="19">
        <v>182.5</v>
      </c>
      <c r="I12" s="33">
        <v>203</v>
      </c>
      <c r="J12" s="19">
        <v>177.3</v>
      </c>
      <c r="L12" s="22">
        <v>7</v>
      </c>
      <c r="M12" s="19"/>
      <c r="N12" s="22">
        <v>56</v>
      </c>
      <c r="O12" s="19">
        <v>205.9</v>
      </c>
      <c r="P12" s="22">
        <f t="shared" si="1"/>
        <v>105</v>
      </c>
      <c r="Q12" s="19">
        <v>212.2</v>
      </c>
      <c r="R12" s="33">
        <v>154</v>
      </c>
      <c r="S12" s="19"/>
      <c r="T12" s="33">
        <v>203</v>
      </c>
      <c r="U12" s="19"/>
      <c r="W12" s="22">
        <v>7</v>
      </c>
      <c r="X12" s="19"/>
      <c r="Y12" s="22">
        <v>56</v>
      </c>
      <c r="Z12" s="19"/>
      <c r="AA12" s="22">
        <f t="shared" si="2"/>
        <v>105</v>
      </c>
      <c r="AB12" s="19"/>
      <c r="AC12" s="33">
        <v>154</v>
      </c>
      <c r="AD12" s="19">
        <v>182.5</v>
      </c>
      <c r="AE12" s="33">
        <v>203</v>
      </c>
      <c r="AF12" s="19">
        <v>177.3</v>
      </c>
      <c r="AH12" s="22">
        <v>7</v>
      </c>
      <c r="AI12" s="19">
        <v>202.9</v>
      </c>
      <c r="AJ12" s="22">
        <v>56</v>
      </c>
      <c r="AK12" s="19"/>
      <c r="AL12" s="22">
        <f t="shared" si="3"/>
        <v>105</v>
      </c>
      <c r="AM12" s="19"/>
      <c r="AN12" s="33">
        <v>154</v>
      </c>
      <c r="AO12" s="19"/>
      <c r="AP12" s="33">
        <v>203</v>
      </c>
      <c r="AQ12" s="19"/>
    </row>
    <row r="13" spans="1:43" ht="15.75" x14ac:dyDescent="0.25">
      <c r="A13" s="22">
        <v>8</v>
      </c>
      <c r="B13" s="19">
        <v>209.3</v>
      </c>
      <c r="C13" s="22">
        <v>57</v>
      </c>
      <c r="D13" s="19">
        <v>199</v>
      </c>
      <c r="E13" s="22">
        <f t="shared" si="0"/>
        <v>106</v>
      </c>
      <c r="F13" s="19">
        <v>212.2</v>
      </c>
      <c r="G13" s="33">
        <v>155</v>
      </c>
      <c r="H13" s="19">
        <v>203.1</v>
      </c>
      <c r="I13" s="33">
        <v>204</v>
      </c>
      <c r="J13" s="19">
        <v>208.5</v>
      </c>
      <c r="L13" s="22">
        <v>8</v>
      </c>
      <c r="M13" s="19"/>
      <c r="N13" s="22">
        <v>57</v>
      </c>
      <c r="O13" s="19">
        <v>199</v>
      </c>
      <c r="P13" s="22">
        <f t="shared" si="1"/>
        <v>106</v>
      </c>
      <c r="Q13" s="19">
        <v>212.2</v>
      </c>
      <c r="R13" s="33">
        <v>155</v>
      </c>
      <c r="S13" s="19"/>
      <c r="T13" s="33">
        <v>204</v>
      </c>
      <c r="U13" s="19"/>
      <c r="W13" s="22">
        <v>8</v>
      </c>
      <c r="X13" s="19"/>
      <c r="Y13" s="22">
        <v>57</v>
      </c>
      <c r="Z13" s="19"/>
      <c r="AA13" s="22">
        <f t="shared" si="2"/>
        <v>106</v>
      </c>
      <c r="AB13" s="19"/>
      <c r="AC13" s="33">
        <v>155</v>
      </c>
      <c r="AD13" s="19">
        <v>203.1</v>
      </c>
      <c r="AE13" s="33">
        <v>204</v>
      </c>
      <c r="AF13" s="19">
        <v>208.5</v>
      </c>
      <c r="AH13" s="22">
        <v>8</v>
      </c>
      <c r="AI13" s="19">
        <v>209.3</v>
      </c>
      <c r="AJ13" s="22">
        <v>57</v>
      </c>
      <c r="AK13" s="19"/>
      <c r="AL13" s="22">
        <f t="shared" si="3"/>
        <v>106</v>
      </c>
      <c r="AM13" s="19"/>
      <c r="AN13" s="33">
        <v>155</v>
      </c>
      <c r="AO13" s="19"/>
      <c r="AP13" s="33">
        <v>204</v>
      </c>
      <c r="AQ13" s="19"/>
    </row>
    <row r="14" spans="1:43" ht="15.75" x14ac:dyDescent="0.25">
      <c r="A14" s="22">
        <v>9</v>
      </c>
      <c r="B14" s="19">
        <v>208.2</v>
      </c>
      <c r="C14" s="22">
        <v>58</v>
      </c>
      <c r="D14" s="19">
        <v>201.5</v>
      </c>
      <c r="E14" s="22">
        <f t="shared" si="0"/>
        <v>107</v>
      </c>
      <c r="F14" s="19">
        <v>212.5</v>
      </c>
      <c r="G14" s="33">
        <v>156</v>
      </c>
      <c r="H14" s="19">
        <v>204.3</v>
      </c>
      <c r="I14" s="33">
        <v>205</v>
      </c>
      <c r="J14" s="19">
        <v>212.1</v>
      </c>
      <c r="L14" s="22">
        <v>9</v>
      </c>
      <c r="M14" s="19"/>
      <c r="N14" s="22">
        <v>58</v>
      </c>
      <c r="O14" s="19">
        <v>201.5</v>
      </c>
      <c r="P14" s="22">
        <f t="shared" si="1"/>
        <v>107</v>
      </c>
      <c r="Q14" s="19">
        <v>212.5</v>
      </c>
      <c r="R14" s="33">
        <v>156</v>
      </c>
      <c r="S14" s="19"/>
      <c r="T14" s="33">
        <v>205</v>
      </c>
      <c r="U14" s="19"/>
      <c r="W14" s="22">
        <v>9</v>
      </c>
      <c r="X14" s="19"/>
      <c r="Y14" s="22">
        <v>58</v>
      </c>
      <c r="Z14" s="19"/>
      <c r="AA14" s="22">
        <f t="shared" si="2"/>
        <v>107</v>
      </c>
      <c r="AB14" s="19"/>
      <c r="AC14" s="33">
        <v>156</v>
      </c>
      <c r="AD14" s="19">
        <v>204.3</v>
      </c>
      <c r="AE14" s="33">
        <v>205</v>
      </c>
      <c r="AF14" s="19">
        <v>212.1</v>
      </c>
      <c r="AH14" s="22">
        <v>9</v>
      </c>
      <c r="AI14" s="19">
        <v>208.2</v>
      </c>
      <c r="AJ14" s="22">
        <v>58</v>
      </c>
      <c r="AK14" s="19"/>
      <c r="AL14" s="22">
        <f t="shared" si="3"/>
        <v>107</v>
      </c>
      <c r="AM14" s="19"/>
      <c r="AN14" s="33">
        <v>156</v>
      </c>
      <c r="AO14" s="19"/>
      <c r="AP14" s="33">
        <v>205</v>
      </c>
      <c r="AQ14" s="19"/>
    </row>
    <row r="15" spans="1:43" ht="15.75" x14ac:dyDescent="0.25">
      <c r="A15" s="22">
        <v>10</v>
      </c>
      <c r="B15" s="19">
        <v>216.6</v>
      </c>
      <c r="C15" s="22">
        <v>59</v>
      </c>
      <c r="D15" s="19">
        <v>204.6</v>
      </c>
      <c r="E15" s="22">
        <f t="shared" si="0"/>
        <v>108</v>
      </c>
      <c r="F15" s="19">
        <v>211.5</v>
      </c>
      <c r="G15" s="33">
        <v>157</v>
      </c>
      <c r="H15" s="19">
        <v>209.3</v>
      </c>
      <c r="I15" s="33">
        <v>206</v>
      </c>
      <c r="J15" s="19">
        <v>205.3</v>
      </c>
      <c r="L15" s="22">
        <v>10</v>
      </c>
      <c r="M15" s="19"/>
      <c r="N15" s="22">
        <v>59</v>
      </c>
      <c r="O15" s="19">
        <v>204.6</v>
      </c>
      <c r="P15" s="22">
        <f t="shared" si="1"/>
        <v>108</v>
      </c>
      <c r="Q15" s="19">
        <v>211.5</v>
      </c>
      <c r="R15" s="33">
        <v>157</v>
      </c>
      <c r="S15" s="19"/>
      <c r="T15" s="33">
        <v>206</v>
      </c>
      <c r="U15" s="19"/>
      <c r="W15" s="22">
        <v>10</v>
      </c>
      <c r="X15" s="19"/>
      <c r="Y15" s="22">
        <v>59</v>
      </c>
      <c r="Z15" s="19"/>
      <c r="AA15" s="22">
        <f t="shared" si="2"/>
        <v>108</v>
      </c>
      <c r="AB15" s="19"/>
      <c r="AC15" s="33">
        <v>157</v>
      </c>
      <c r="AD15" s="19">
        <v>209.3</v>
      </c>
      <c r="AE15" s="33">
        <v>206</v>
      </c>
      <c r="AF15" s="19">
        <v>205.3</v>
      </c>
      <c r="AH15" s="22">
        <v>10</v>
      </c>
      <c r="AI15" s="19">
        <v>216.6</v>
      </c>
      <c r="AJ15" s="22">
        <v>59</v>
      </c>
      <c r="AK15" s="19"/>
      <c r="AL15" s="22">
        <f t="shared" si="3"/>
        <v>108</v>
      </c>
      <c r="AM15" s="19"/>
      <c r="AN15" s="33">
        <v>157</v>
      </c>
      <c r="AO15" s="19"/>
      <c r="AP15" s="33">
        <v>206</v>
      </c>
      <c r="AQ15" s="19"/>
    </row>
    <row r="16" spans="1:43" ht="15.75" x14ac:dyDescent="0.25">
      <c r="A16" s="22">
        <v>11</v>
      </c>
      <c r="B16" s="19">
        <v>217.8</v>
      </c>
      <c r="C16" s="22">
        <v>60</v>
      </c>
      <c r="D16" s="19">
        <v>209.6</v>
      </c>
      <c r="E16" s="22">
        <f t="shared" si="0"/>
        <v>109</v>
      </c>
      <c r="F16" s="19">
        <v>205.6</v>
      </c>
      <c r="G16" s="33">
        <v>158</v>
      </c>
      <c r="H16" s="19">
        <v>204.5</v>
      </c>
      <c r="I16" s="33">
        <v>207</v>
      </c>
      <c r="J16" s="19">
        <v>206.7</v>
      </c>
      <c r="L16" s="22">
        <v>11</v>
      </c>
      <c r="M16" s="19"/>
      <c r="N16" s="22">
        <v>60</v>
      </c>
      <c r="O16" s="19">
        <v>209.6</v>
      </c>
      <c r="P16" s="22">
        <f t="shared" si="1"/>
        <v>109</v>
      </c>
      <c r="Q16" s="19">
        <v>205.6</v>
      </c>
      <c r="R16" s="33">
        <v>158</v>
      </c>
      <c r="S16" s="19"/>
      <c r="T16" s="33">
        <v>207</v>
      </c>
      <c r="U16" s="19"/>
      <c r="W16" s="22">
        <v>11</v>
      </c>
      <c r="X16" s="19">
        <v>217.8</v>
      </c>
      <c r="Y16" s="22">
        <v>60</v>
      </c>
      <c r="Z16" s="19"/>
      <c r="AA16" s="22">
        <f t="shared" si="2"/>
        <v>109</v>
      </c>
      <c r="AB16" s="19"/>
      <c r="AC16" s="33">
        <v>158</v>
      </c>
      <c r="AD16" s="19">
        <v>204.5</v>
      </c>
      <c r="AE16" s="33">
        <v>207</v>
      </c>
      <c r="AF16" s="19">
        <v>206.7</v>
      </c>
      <c r="AH16" s="22">
        <v>11</v>
      </c>
      <c r="AI16" s="19"/>
      <c r="AJ16" s="22">
        <v>60</v>
      </c>
      <c r="AK16" s="19"/>
      <c r="AL16" s="22">
        <f t="shared" si="3"/>
        <v>109</v>
      </c>
      <c r="AM16" s="19"/>
      <c r="AN16" s="33">
        <v>158</v>
      </c>
      <c r="AO16" s="19"/>
      <c r="AP16" s="33">
        <v>207</v>
      </c>
      <c r="AQ16" s="19"/>
    </row>
    <row r="17" spans="1:43" ht="15.75" x14ac:dyDescent="0.25">
      <c r="A17" s="22">
        <v>12</v>
      </c>
      <c r="B17" s="19">
        <v>213.9</v>
      </c>
      <c r="C17" s="22">
        <v>61</v>
      </c>
      <c r="D17" s="19">
        <v>200.7</v>
      </c>
      <c r="E17" s="22">
        <f t="shared" si="0"/>
        <v>110</v>
      </c>
      <c r="F17" s="19">
        <v>199.8</v>
      </c>
      <c r="G17" s="33">
        <v>159</v>
      </c>
      <c r="H17" s="19">
        <v>188.2</v>
      </c>
      <c r="I17" s="33">
        <v>208</v>
      </c>
      <c r="J17" s="19">
        <v>204.9</v>
      </c>
      <c r="L17" s="22">
        <v>12</v>
      </c>
      <c r="M17" s="19"/>
      <c r="N17" s="22">
        <v>61</v>
      </c>
      <c r="O17" s="19">
        <v>200.7</v>
      </c>
      <c r="P17" s="22">
        <f t="shared" si="1"/>
        <v>110</v>
      </c>
      <c r="Q17" s="19">
        <v>199.8</v>
      </c>
      <c r="R17" s="33">
        <v>159</v>
      </c>
      <c r="S17" s="19"/>
      <c r="T17" s="33">
        <v>208</v>
      </c>
      <c r="U17" s="19"/>
      <c r="W17" s="22">
        <v>12</v>
      </c>
      <c r="X17" s="19">
        <v>213.9</v>
      </c>
      <c r="Y17" s="22">
        <v>61</v>
      </c>
      <c r="Z17" s="19"/>
      <c r="AA17" s="22">
        <f t="shared" si="2"/>
        <v>110</v>
      </c>
      <c r="AB17" s="19"/>
      <c r="AC17" s="33">
        <v>159</v>
      </c>
      <c r="AD17" s="19">
        <v>188.2</v>
      </c>
      <c r="AE17" s="33">
        <v>208</v>
      </c>
      <c r="AF17" s="19">
        <v>204.9</v>
      </c>
      <c r="AH17" s="22">
        <v>12</v>
      </c>
      <c r="AI17" s="19"/>
      <c r="AJ17" s="22">
        <v>61</v>
      </c>
      <c r="AK17" s="19"/>
      <c r="AL17" s="22">
        <f t="shared" si="3"/>
        <v>110</v>
      </c>
      <c r="AM17" s="19"/>
      <c r="AN17" s="33">
        <v>159</v>
      </c>
      <c r="AO17" s="19"/>
      <c r="AP17" s="33">
        <v>208</v>
      </c>
      <c r="AQ17" s="19"/>
    </row>
    <row r="18" spans="1:43" ht="15.75" x14ac:dyDescent="0.25">
      <c r="A18" s="22">
        <v>13</v>
      </c>
      <c r="B18" s="19">
        <v>210.6</v>
      </c>
      <c r="C18" s="22">
        <v>62</v>
      </c>
      <c r="D18" s="19">
        <v>195.9</v>
      </c>
      <c r="E18" s="22">
        <f t="shared" si="0"/>
        <v>111</v>
      </c>
      <c r="F18" s="19">
        <v>200</v>
      </c>
      <c r="G18" s="33">
        <v>160</v>
      </c>
      <c r="H18" s="19">
        <v>206.6</v>
      </c>
      <c r="I18" s="33">
        <v>209</v>
      </c>
      <c r="J18" s="19">
        <v>211</v>
      </c>
      <c r="L18" s="22">
        <v>13</v>
      </c>
      <c r="M18" s="19"/>
      <c r="N18" s="22">
        <v>62</v>
      </c>
      <c r="O18" s="19">
        <v>195.9</v>
      </c>
      <c r="P18" s="22">
        <f t="shared" si="1"/>
        <v>111</v>
      </c>
      <c r="Q18" s="19">
        <v>200</v>
      </c>
      <c r="R18" s="33">
        <v>160</v>
      </c>
      <c r="S18" s="19"/>
      <c r="T18" s="33">
        <v>209</v>
      </c>
      <c r="U18" s="19"/>
      <c r="W18" s="22">
        <v>13</v>
      </c>
      <c r="X18" s="19">
        <v>210.6</v>
      </c>
      <c r="Y18" s="22">
        <v>62</v>
      </c>
      <c r="Z18" s="19"/>
      <c r="AA18" s="22">
        <f t="shared" si="2"/>
        <v>111</v>
      </c>
      <c r="AB18" s="19"/>
      <c r="AC18" s="33">
        <v>160</v>
      </c>
      <c r="AD18" s="19">
        <v>206.6</v>
      </c>
      <c r="AE18" s="33">
        <v>209</v>
      </c>
      <c r="AF18" s="19">
        <v>211</v>
      </c>
      <c r="AH18" s="22">
        <v>13</v>
      </c>
      <c r="AI18" s="19"/>
      <c r="AJ18" s="22">
        <v>62</v>
      </c>
      <c r="AK18" s="19"/>
      <c r="AL18" s="22">
        <f t="shared" si="3"/>
        <v>111</v>
      </c>
      <c r="AM18" s="19"/>
      <c r="AN18" s="33">
        <v>160</v>
      </c>
      <c r="AO18" s="19"/>
      <c r="AP18" s="33">
        <v>209</v>
      </c>
      <c r="AQ18" s="19"/>
    </row>
    <row r="19" spans="1:43" ht="15.75" x14ac:dyDescent="0.25">
      <c r="A19" s="22">
        <v>14</v>
      </c>
      <c r="B19" s="19">
        <v>209.6</v>
      </c>
      <c r="C19" s="22">
        <v>63</v>
      </c>
      <c r="D19" s="19">
        <v>199.4</v>
      </c>
      <c r="E19" s="22">
        <f t="shared" si="0"/>
        <v>112</v>
      </c>
      <c r="F19" s="19">
        <v>196.3</v>
      </c>
      <c r="G19" s="33">
        <v>161</v>
      </c>
      <c r="H19" s="19">
        <v>206</v>
      </c>
      <c r="I19" s="33">
        <v>210</v>
      </c>
      <c r="J19" s="19">
        <v>206</v>
      </c>
      <c r="L19" s="22">
        <v>14</v>
      </c>
      <c r="M19" s="19"/>
      <c r="N19" s="22">
        <v>63</v>
      </c>
      <c r="O19" s="19">
        <v>199.4</v>
      </c>
      <c r="P19" s="22">
        <f t="shared" si="1"/>
        <v>112</v>
      </c>
      <c r="Q19" s="19">
        <v>196.3</v>
      </c>
      <c r="R19" s="33">
        <v>161</v>
      </c>
      <c r="S19" s="19"/>
      <c r="T19" s="33">
        <v>210</v>
      </c>
      <c r="U19" s="19"/>
      <c r="W19" s="22">
        <v>14</v>
      </c>
      <c r="X19" s="19">
        <v>209.6</v>
      </c>
      <c r="Y19" s="22">
        <v>63</v>
      </c>
      <c r="Z19" s="19"/>
      <c r="AA19" s="22">
        <f t="shared" si="2"/>
        <v>112</v>
      </c>
      <c r="AB19" s="19"/>
      <c r="AC19" s="33">
        <v>161</v>
      </c>
      <c r="AD19" s="19">
        <v>206</v>
      </c>
      <c r="AE19" s="33">
        <v>210</v>
      </c>
      <c r="AF19" s="19">
        <v>206</v>
      </c>
      <c r="AH19" s="22">
        <v>14</v>
      </c>
      <c r="AI19" s="19"/>
      <c r="AJ19" s="22">
        <v>63</v>
      </c>
      <c r="AK19" s="19"/>
      <c r="AL19" s="22">
        <f t="shared" si="3"/>
        <v>112</v>
      </c>
      <c r="AM19" s="19"/>
      <c r="AN19" s="33">
        <v>161</v>
      </c>
      <c r="AO19" s="19"/>
      <c r="AP19" s="33">
        <v>210</v>
      </c>
      <c r="AQ19" s="19"/>
    </row>
    <row r="20" spans="1:43" ht="15.75" x14ac:dyDescent="0.25">
      <c r="A20" s="22">
        <v>15</v>
      </c>
      <c r="B20" s="19">
        <v>205.9</v>
      </c>
      <c r="C20" s="22">
        <v>64</v>
      </c>
      <c r="D20" s="19">
        <v>202.8</v>
      </c>
      <c r="E20" s="22">
        <f t="shared" si="0"/>
        <v>113</v>
      </c>
      <c r="F20" s="19">
        <v>209.8</v>
      </c>
      <c r="G20" s="35">
        <v>162</v>
      </c>
      <c r="H20" s="19">
        <v>188.6</v>
      </c>
      <c r="I20" s="33">
        <v>211</v>
      </c>
      <c r="J20" s="19">
        <v>206.3</v>
      </c>
      <c r="L20" s="22">
        <v>15</v>
      </c>
      <c r="M20" s="19"/>
      <c r="N20" s="22">
        <v>64</v>
      </c>
      <c r="O20" s="19">
        <v>202.8</v>
      </c>
      <c r="P20" s="22">
        <f t="shared" si="1"/>
        <v>113</v>
      </c>
      <c r="Q20" s="19">
        <v>209.8</v>
      </c>
      <c r="R20" s="35">
        <v>162</v>
      </c>
      <c r="S20" s="19"/>
      <c r="T20" s="33">
        <v>211</v>
      </c>
      <c r="U20" s="19"/>
      <c r="W20" s="22">
        <v>15</v>
      </c>
      <c r="X20" s="19">
        <v>205.9</v>
      </c>
      <c r="Y20" s="22">
        <v>64</v>
      </c>
      <c r="Z20" s="19"/>
      <c r="AA20" s="22">
        <f t="shared" si="2"/>
        <v>113</v>
      </c>
      <c r="AB20" s="19"/>
      <c r="AC20" s="35">
        <v>162</v>
      </c>
      <c r="AD20" s="19">
        <v>188.6</v>
      </c>
      <c r="AE20" s="33">
        <v>211</v>
      </c>
      <c r="AF20" s="19">
        <v>206.3</v>
      </c>
      <c r="AH20" s="22">
        <v>15</v>
      </c>
      <c r="AI20" s="19"/>
      <c r="AJ20" s="22">
        <v>64</v>
      </c>
      <c r="AK20" s="19"/>
      <c r="AL20" s="22">
        <f t="shared" si="3"/>
        <v>113</v>
      </c>
      <c r="AM20" s="19"/>
      <c r="AN20" s="35">
        <v>162</v>
      </c>
      <c r="AO20" s="19"/>
      <c r="AP20" s="33">
        <v>211</v>
      </c>
      <c r="AQ20" s="19"/>
    </row>
    <row r="21" spans="1:43" ht="15.75" x14ac:dyDescent="0.25">
      <c r="A21" s="22">
        <v>16</v>
      </c>
      <c r="B21" s="19">
        <v>208.6</v>
      </c>
      <c r="C21" s="22">
        <v>65</v>
      </c>
      <c r="D21" s="19">
        <v>196.3</v>
      </c>
      <c r="E21" s="22">
        <f t="shared" si="0"/>
        <v>114</v>
      </c>
      <c r="F21" s="19">
        <v>209</v>
      </c>
      <c r="G21" s="35">
        <v>163</v>
      </c>
      <c r="H21" s="19">
        <v>208.2</v>
      </c>
      <c r="I21" s="33">
        <v>212</v>
      </c>
      <c r="J21" s="19">
        <v>207.6</v>
      </c>
      <c r="L21" s="22">
        <v>16</v>
      </c>
      <c r="M21" s="19"/>
      <c r="N21" s="22">
        <v>65</v>
      </c>
      <c r="O21" s="19">
        <v>196.3</v>
      </c>
      <c r="P21" s="22">
        <f t="shared" si="1"/>
        <v>114</v>
      </c>
      <c r="Q21" s="19">
        <v>209</v>
      </c>
      <c r="R21" s="35">
        <v>163</v>
      </c>
      <c r="S21" s="19"/>
      <c r="T21" s="33">
        <v>212</v>
      </c>
      <c r="U21" s="19"/>
      <c r="W21" s="22">
        <v>16</v>
      </c>
      <c r="X21" s="19">
        <v>208.6</v>
      </c>
      <c r="Y21" s="22">
        <v>65</v>
      </c>
      <c r="Z21" s="19"/>
      <c r="AA21" s="22">
        <f t="shared" si="2"/>
        <v>114</v>
      </c>
      <c r="AB21" s="19"/>
      <c r="AC21" s="35">
        <v>163</v>
      </c>
      <c r="AD21" s="19">
        <v>208.2</v>
      </c>
      <c r="AE21" s="33">
        <v>212</v>
      </c>
      <c r="AF21" s="19">
        <v>207.6</v>
      </c>
      <c r="AH21" s="22">
        <v>16</v>
      </c>
      <c r="AI21" s="19"/>
      <c r="AJ21" s="22">
        <v>65</v>
      </c>
      <c r="AK21" s="19"/>
      <c r="AL21" s="22">
        <f t="shared" si="3"/>
        <v>114</v>
      </c>
      <c r="AM21" s="19"/>
      <c r="AN21" s="35">
        <v>163</v>
      </c>
      <c r="AO21" s="19"/>
      <c r="AP21" s="33">
        <v>212</v>
      </c>
      <c r="AQ21" s="19"/>
    </row>
    <row r="22" spans="1:43" ht="15.75" x14ac:dyDescent="0.25">
      <c r="A22" s="22">
        <v>17</v>
      </c>
      <c r="B22" s="19">
        <v>206.3</v>
      </c>
      <c r="C22" s="22">
        <v>66</v>
      </c>
      <c r="D22" s="19">
        <v>194.1</v>
      </c>
      <c r="E22" s="22">
        <f t="shared" si="0"/>
        <v>115</v>
      </c>
      <c r="F22" s="19">
        <v>206.8</v>
      </c>
      <c r="G22" s="35">
        <v>164</v>
      </c>
      <c r="H22" s="19">
        <v>205.3</v>
      </c>
      <c r="I22" s="33">
        <v>213</v>
      </c>
      <c r="J22" s="19">
        <v>171.9</v>
      </c>
      <c r="L22" s="22">
        <v>17</v>
      </c>
      <c r="M22" s="19"/>
      <c r="N22" s="22">
        <v>66</v>
      </c>
      <c r="O22" s="19">
        <v>194.1</v>
      </c>
      <c r="P22" s="22">
        <f t="shared" si="1"/>
        <v>115</v>
      </c>
      <c r="Q22" s="19">
        <v>206.8</v>
      </c>
      <c r="R22" s="35">
        <v>164</v>
      </c>
      <c r="S22" s="19"/>
      <c r="T22" s="33">
        <v>213</v>
      </c>
      <c r="U22" s="19"/>
      <c r="W22" s="22">
        <v>17</v>
      </c>
      <c r="X22" s="19">
        <v>206.3</v>
      </c>
      <c r="Y22" s="22">
        <v>66</v>
      </c>
      <c r="Z22" s="19"/>
      <c r="AA22" s="22">
        <f t="shared" si="2"/>
        <v>115</v>
      </c>
      <c r="AB22" s="19"/>
      <c r="AC22" s="35">
        <v>164</v>
      </c>
      <c r="AD22" s="19">
        <v>205.3</v>
      </c>
      <c r="AE22" s="33">
        <v>213</v>
      </c>
      <c r="AF22" s="19">
        <v>171.9</v>
      </c>
      <c r="AH22" s="22">
        <v>17</v>
      </c>
      <c r="AI22" s="19"/>
      <c r="AJ22" s="22">
        <v>66</v>
      </c>
      <c r="AK22" s="19"/>
      <c r="AL22" s="22">
        <f t="shared" si="3"/>
        <v>115</v>
      </c>
      <c r="AM22" s="19"/>
      <c r="AN22" s="35">
        <v>164</v>
      </c>
      <c r="AO22" s="19"/>
      <c r="AP22" s="33">
        <v>213</v>
      </c>
      <c r="AQ22" s="19"/>
    </row>
    <row r="23" spans="1:43" ht="15.75" x14ac:dyDescent="0.25">
      <c r="A23" s="22">
        <v>18</v>
      </c>
      <c r="B23" s="19">
        <v>213.4</v>
      </c>
      <c r="C23" s="22">
        <v>67</v>
      </c>
      <c r="D23" s="19">
        <v>203.8</v>
      </c>
      <c r="E23" s="22">
        <f t="shared" si="0"/>
        <v>116</v>
      </c>
      <c r="F23" s="19">
        <v>206</v>
      </c>
      <c r="G23" s="35">
        <v>165</v>
      </c>
      <c r="H23" s="19">
        <v>186.6</v>
      </c>
      <c r="I23" s="33">
        <v>214</v>
      </c>
      <c r="J23" s="19">
        <v>210.5</v>
      </c>
      <c r="L23" s="22">
        <v>18</v>
      </c>
      <c r="M23" s="19"/>
      <c r="N23" s="22">
        <v>67</v>
      </c>
      <c r="O23" s="19">
        <v>203.8</v>
      </c>
      <c r="P23" s="22">
        <f t="shared" si="1"/>
        <v>116</v>
      </c>
      <c r="Q23" s="19">
        <v>206</v>
      </c>
      <c r="R23" s="35">
        <v>165</v>
      </c>
      <c r="S23" s="19"/>
      <c r="T23" s="33">
        <v>214</v>
      </c>
      <c r="U23" s="19"/>
      <c r="W23" s="22">
        <v>18</v>
      </c>
      <c r="X23" s="19">
        <v>213.4</v>
      </c>
      <c r="Y23" s="22">
        <v>67</v>
      </c>
      <c r="Z23" s="19"/>
      <c r="AA23" s="22">
        <f t="shared" si="2"/>
        <v>116</v>
      </c>
      <c r="AB23" s="19"/>
      <c r="AC23" s="35">
        <v>165</v>
      </c>
      <c r="AD23" s="19">
        <v>186.6</v>
      </c>
      <c r="AE23" s="33">
        <v>214</v>
      </c>
      <c r="AF23" s="19">
        <v>210.5</v>
      </c>
      <c r="AH23" s="22">
        <v>18</v>
      </c>
      <c r="AI23" s="19"/>
      <c r="AJ23" s="22">
        <v>67</v>
      </c>
      <c r="AK23" s="19"/>
      <c r="AL23" s="22">
        <f t="shared" si="3"/>
        <v>116</v>
      </c>
      <c r="AM23" s="19"/>
      <c r="AN23" s="35">
        <v>165</v>
      </c>
      <c r="AO23" s="19"/>
      <c r="AP23" s="33">
        <v>214</v>
      </c>
      <c r="AQ23" s="19"/>
    </row>
    <row r="24" spans="1:43" ht="15.75" x14ac:dyDescent="0.25">
      <c r="A24" s="22">
        <v>19</v>
      </c>
      <c r="B24" s="19">
        <v>214.6</v>
      </c>
      <c r="C24" s="22">
        <v>68</v>
      </c>
      <c r="D24" s="19">
        <v>195.6</v>
      </c>
      <c r="E24" s="22">
        <f t="shared" si="0"/>
        <v>117</v>
      </c>
      <c r="F24" s="19">
        <v>206.6</v>
      </c>
      <c r="G24" s="35">
        <v>166</v>
      </c>
      <c r="H24" s="19">
        <v>205.3</v>
      </c>
      <c r="I24" s="33">
        <v>215</v>
      </c>
      <c r="J24" s="19">
        <v>211.8</v>
      </c>
      <c r="L24" s="22">
        <v>19</v>
      </c>
      <c r="M24" s="19"/>
      <c r="N24" s="22">
        <v>68</v>
      </c>
      <c r="O24" s="19">
        <v>195.6</v>
      </c>
      <c r="P24" s="22">
        <f t="shared" si="1"/>
        <v>117</v>
      </c>
      <c r="Q24" s="19">
        <v>206.6</v>
      </c>
      <c r="R24" s="35">
        <v>166</v>
      </c>
      <c r="S24" s="19"/>
      <c r="T24" s="33">
        <v>215</v>
      </c>
      <c r="U24" s="19"/>
      <c r="W24" s="22">
        <v>19</v>
      </c>
      <c r="X24" s="19">
        <v>214.6</v>
      </c>
      <c r="Y24" s="22">
        <v>68</v>
      </c>
      <c r="Z24" s="19"/>
      <c r="AA24" s="22">
        <f t="shared" si="2"/>
        <v>117</v>
      </c>
      <c r="AB24" s="19"/>
      <c r="AC24" s="35">
        <v>166</v>
      </c>
      <c r="AD24" s="19">
        <v>205.3</v>
      </c>
      <c r="AE24" s="33">
        <v>215</v>
      </c>
      <c r="AF24" s="19">
        <v>211.8</v>
      </c>
      <c r="AH24" s="22">
        <v>19</v>
      </c>
      <c r="AI24" s="19"/>
      <c r="AJ24" s="22">
        <v>68</v>
      </c>
      <c r="AK24" s="19"/>
      <c r="AL24" s="22">
        <f t="shared" si="3"/>
        <v>117</v>
      </c>
      <c r="AM24" s="19"/>
      <c r="AN24" s="35">
        <v>166</v>
      </c>
      <c r="AO24" s="19"/>
      <c r="AP24" s="33">
        <v>215</v>
      </c>
      <c r="AQ24" s="19"/>
    </row>
    <row r="25" spans="1:43" ht="15.75" x14ac:dyDescent="0.25">
      <c r="A25" s="22">
        <v>20</v>
      </c>
      <c r="B25" s="19">
        <v>212.8</v>
      </c>
      <c r="C25" s="22">
        <v>69</v>
      </c>
      <c r="D25" s="19">
        <v>201.3</v>
      </c>
      <c r="E25" s="22">
        <f t="shared" si="0"/>
        <v>118</v>
      </c>
      <c r="F25" s="19">
        <v>204</v>
      </c>
      <c r="G25" s="35">
        <v>167</v>
      </c>
      <c r="H25" s="19">
        <v>199.7</v>
      </c>
      <c r="I25" s="33">
        <v>216</v>
      </c>
      <c r="J25" s="19">
        <v>210.7</v>
      </c>
      <c r="L25" s="22">
        <v>20</v>
      </c>
      <c r="M25" s="19"/>
      <c r="N25" s="22">
        <v>69</v>
      </c>
      <c r="O25" s="19">
        <v>201.3</v>
      </c>
      <c r="P25" s="22">
        <f t="shared" si="1"/>
        <v>118</v>
      </c>
      <c r="Q25" s="19">
        <v>204</v>
      </c>
      <c r="R25" s="35">
        <v>167</v>
      </c>
      <c r="S25" s="19"/>
      <c r="T25" s="33">
        <v>216</v>
      </c>
      <c r="U25" s="19"/>
      <c r="W25" s="22">
        <v>20</v>
      </c>
      <c r="X25" s="19">
        <v>212.8</v>
      </c>
      <c r="Y25" s="22">
        <v>69</v>
      </c>
      <c r="Z25" s="19"/>
      <c r="AA25" s="22">
        <f t="shared" si="2"/>
        <v>118</v>
      </c>
      <c r="AB25" s="19"/>
      <c r="AC25" s="35">
        <v>167</v>
      </c>
      <c r="AD25" s="19">
        <v>199.7</v>
      </c>
      <c r="AE25" s="33">
        <v>216</v>
      </c>
      <c r="AF25" s="19">
        <v>210.7</v>
      </c>
      <c r="AH25" s="22">
        <v>20</v>
      </c>
      <c r="AI25" s="19"/>
      <c r="AJ25" s="22">
        <v>69</v>
      </c>
      <c r="AK25" s="19"/>
      <c r="AL25" s="22">
        <f t="shared" si="3"/>
        <v>118</v>
      </c>
      <c r="AM25" s="19"/>
      <c r="AN25" s="35">
        <v>167</v>
      </c>
      <c r="AO25" s="19"/>
      <c r="AP25" s="33">
        <v>216</v>
      </c>
      <c r="AQ25" s="19"/>
    </row>
    <row r="26" spans="1:43" ht="15.75" x14ac:dyDescent="0.25">
      <c r="A26" s="22">
        <v>21</v>
      </c>
      <c r="B26" s="19">
        <v>187.3</v>
      </c>
      <c r="C26" s="22">
        <v>70</v>
      </c>
      <c r="D26" s="19">
        <v>205.9</v>
      </c>
      <c r="E26" s="22">
        <f t="shared" si="0"/>
        <v>119</v>
      </c>
      <c r="F26" s="19">
        <v>214.6</v>
      </c>
      <c r="G26" s="35">
        <v>168</v>
      </c>
      <c r="H26" s="19">
        <v>203.5</v>
      </c>
      <c r="I26" s="33">
        <v>217</v>
      </c>
      <c r="J26" s="19">
        <v>215.6</v>
      </c>
      <c r="L26" s="22">
        <v>21</v>
      </c>
      <c r="M26" s="19"/>
      <c r="N26" s="22">
        <v>70</v>
      </c>
      <c r="O26" s="19">
        <v>205.9</v>
      </c>
      <c r="P26" s="22">
        <f t="shared" si="1"/>
        <v>119</v>
      </c>
      <c r="Q26" s="19">
        <v>214.6</v>
      </c>
      <c r="R26" s="35">
        <v>168</v>
      </c>
      <c r="S26" s="19"/>
      <c r="T26" s="33">
        <v>217</v>
      </c>
      <c r="U26" s="19"/>
      <c r="W26" s="22">
        <v>21</v>
      </c>
      <c r="X26" s="19">
        <v>187.3</v>
      </c>
      <c r="Y26" s="22">
        <v>70</v>
      </c>
      <c r="Z26" s="19"/>
      <c r="AA26" s="22">
        <f t="shared" si="2"/>
        <v>119</v>
      </c>
      <c r="AB26" s="19"/>
      <c r="AC26" s="35">
        <v>168</v>
      </c>
      <c r="AD26" s="19">
        <v>203.5</v>
      </c>
      <c r="AE26" s="33">
        <v>217</v>
      </c>
      <c r="AF26" s="19">
        <v>215.6</v>
      </c>
      <c r="AH26" s="22">
        <v>21</v>
      </c>
      <c r="AI26" s="19"/>
      <c r="AJ26" s="22">
        <v>70</v>
      </c>
      <c r="AK26" s="19"/>
      <c r="AL26" s="22">
        <f t="shared" si="3"/>
        <v>119</v>
      </c>
      <c r="AM26" s="19"/>
      <c r="AN26" s="35">
        <v>168</v>
      </c>
      <c r="AO26" s="19"/>
      <c r="AP26" s="33">
        <v>217</v>
      </c>
      <c r="AQ26" s="19"/>
    </row>
    <row r="27" spans="1:43" ht="15.75" x14ac:dyDescent="0.25">
      <c r="A27" s="22">
        <v>22</v>
      </c>
      <c r="B27" s="19">
        <v>210.3</v>
      </c>
      <c r="C27" s="22">
        <v>71</v>
      </c>
      <c r="D27" s="19">
        <v>206.8</v>
      </c>
      <c r="E27" s="22">
        <f t="shared" si="0"/>
        <v>120</v>
      </c>
      <c r="F27" s="19">
        <v>206</v>
      </c>
      <c r="G27" s="35">
        <v>169</v>
      </c>
      <c r="H27" s="19">
        <v>206.6</v>
      </c>
      <c r="I27" s="33">
        <v>218</v>
      </c>
      <c r="J27" s="19">
        <v>189.5</v>
      </c>
      <c r="L27" s="22">
        <v>22</v>
      </c>
      <c r="M27" s="19"/>
      <c r="N27" s="22">
        <v>71</v>
      </c>
      <c r="O27" s="19">
        <v>206.8</v>
      </c>
      <c r="P27" s="22">
        <f t="shared" si="1"/>
        <v>120</v>
      </c>
      <c r="Q27" s="19">
        <v>206</v>
      </c>
      <c r="R27" s="35">
        <v>169</v>
      </c>
      <c r="S27" s="19"/>
      <c r="T27" s="33">
        <v>218</v>
      </c>
      <c r="U27" s="19"/>
      <c r="W27" s="22">
        <v>22</v>
      </c>
      <c r="X27" s="19">
        <v>210.3</v>
      </c>
      <c r="Y27" s="22">
        <v>71</v>
      </c>
      <c r="Z27" s="19"/>
      <c r="AA27" s="22">
        <f t="shared" si="2"/>
        <v>120</v>
      </c>
      <c r="AB27" s="19"/>
      <c r="AC27" s="35">
        <v>169</v>
      </c>
      <c r="AD27" s="19">
        <v>206.6</v>
      </c>
      <c r="AE27" s="33">
        <v>218</v>
      </c>
      <c r="AF27" s="19">
        <v>189.5</v>
      </c>
      <c r="AH27" s="22">
        <v>22</v>
      </c>
      <c r="AI27" s="19"/>
      <c r="AJ27" s="22">
        <v>71</v>
      </c>
      <c r="AK27" s="19"/>
      <c r="AL27" s="22">
        <f t="shared" si="3"/>
        <v>120</v>
      </c>
      <c r="AM27" s="19"/>
      <c r="AN27" s="35">
        <v>169</v>
      </c>
      <c r="AO27" s="19"/>
      <c r="AP27" s="33">
        <v>218</v>
      </c>
      <c r="AQ27" s="19"/>
    </row>
    <row r="28" spans="1:43" ht="15.75" x14ac:dyDescent="0.25">
      <c r="A28" s="22">
        <v>23</v>
      </c>
      <c r="B28" s="19">
        <v>203.8</v>
      </c>
      <c r="C28" s="22">
        <v>72</v>
      </c>
      <c r="D28" s="19">
        <v>204.8</v>
      </c>
      <c r="E28" s="22">
        <f t="shared" si="0"/>
        <v>121</v>
      </c>
      <c r="F28" s="19">
        <v>203</v>
      </c>
      <c r="G28" s="35">
        <v>170</v>
      </c>
      <c r="H28" s="19">
        <v>183.3</v>
      </c>
      <c r="I28" s="33">
        <v>219</v>
      </c>
      <c r="J28" s="19">
        <v>207.2</v>
      </c>
      <c r="L28" s="22">
        <v>23</v>
      </c>
      <c r="M28" s="19"/>
      <c r="N28" s="22">
        <v>72</v>
      </c>
      <c r="O28" s="19">
        <v>204.8</v>
      </c>
      <c r="P28" s="22">
        <f t="shared" si="1"/>
        <v>121</v>
      </c>
      <c r="Q28" s="19">
        <v>203</v>
      </c>
      <c r="R28" s="35">
        <v>170</v>
      </c>
      <c r="S28" s="19"/>
      <c r="T28" s="33">
        <v>219</v>
      </c>
      <c r="U28" s="19"/>
      <c r="W28" s="22">
        <v>23</v>
      </c>
      <c r="X28" s="19">
        <v>203.8</v>
      </c>
      <c r="Y28" s="22">
        <v>72</v>
      </c>
      <c r="Z28" s="19"/>
      <c r="AA28" s="22">
        <f t="shared" si="2"/>
        <v>121</v>
      </c>
      <c r="AB28" s="19"/>
      <c r="AC28" s="35">
        <v>170</v>
      </c>
      <c r="AD28" s="19">
        <v>183.3</v>
      </c>
      <c r="AE28" s="33">
        <v>219</v>
      </c>
      <c r="AF28" s="19">
        <v>207.2</v>
      </c>
      <c r="AH28" s="22">
        <v>23</v>
      </c>
      <c r="AI28" s="19"/>
      <c r="AJ28" s="22">
        <v>72</v>
      </c>
      <c r="AK28" s="19"/>
      <c r="AL28" s="22">
        <f t="shared" si="3"/>
        <v>121</v>
      </c>
      <c r="AM28" s="19"/>
      <c r="AN28" s="35">
        <v>170</v>
      </c>
      <c r="AO28" s="19"/>
      <c r="AP28" s="33">
        <v>219</v>
      </c>
      <c r="AQ28" s="19"/>
    </row>
    <row r="29" spans="1:43" ht="15.75" x14ac:dyDescent="0.25">
      <c r="A29" s="22">
        <v>24</v>
      </c>
      <c r="B29" s="19">
        <v>202.3</v>
      </c>
      <c r="C29" s="22">
        <v>73</v>
      </c>
      <c r="D29" s="19">
        <v>208.1</v>
      </c>
      <c r="E29" s="22">
        <f t="shared" si="0"/>
        <v>122</v>
      </c>
      <c r="F29" s="19">
        <v>201.1</v>
      </c>
      <c r="G29" s="35">
        <v>171</v>
      </c>
      <c r="H29" s="19">
        <v>207.7</v>
      </c>
      <c r="I29" s="33">
        <v>220</v>
      </c>
      <c r="J29" s="19">
        <v>207.1</v>
      </c>
      <c r="L29" s="22">
        <v>24</v>
      </c>
      <c r="M29" s="19"/>
      <c r="N29" s="22">
        <v>73</v>
      </c>
      <c r="O29" s="19">
        <v>208.1</v>
      </c>
      <c r="P29" s="22">
        <f t="shared" si="1"/>
        <v>122</v>
      </c>
      <c r="Q29" s="19">
        <v>201.1</v>
      </c>
      <c r="R29" s="35">
        <v>171</v>
      </c>
      <c r="S29" s="19"/>
      <c r="T29" s="33">
        <v>220</v>
      </c>
      <c r="U29" s="19"/>
      <c r="W29" s="22">
        <v>24</v>
      </c>
      <c r="X29" s="19">
        <v>202.3</v>
      </c>
      <c r="Y29" s="22">
        <v>73</v>
      </c>
      <c r="Z29" s="19"/>
      <c r="AA29" s="22">
        <f t="shared" si="2"/>
        <v>122</v>
      </c>
      <c r="AB29" s="19"/>
      <c r="AC29" s="35">
        <v>171</v>
      </c>
      <c r="AD29" s="19">
        <v>207.7</v>
      </c>
      <c r="AE29" s="33">
        <v>220</v>
      </c>
      <c r="AF29" s="19">
        <v>207.1</v>
      </c>
      <c r="AH29" s="22">
        <v>24</v>
      </c>
      <c r="AI29" s="19"/>
      <c r="AJ29" s="22">
        <v>73</v>
      </c>
      <c r="AK29" s="19"/>
      <c r="AL29" s="22">
        <f t="shared" si="3"/>
        <v>122</v>
      </c>
      <c r="AM29" s="19"/>
      <c r="AN29" s="35">
        <v>171</v>
      </c>
      <c r="AO29" s="19"/>
      <c r="AP29" s="33">
        <v>220</v>
      </c>
      <c r="AQ29" s="19"/>
    </row>
    <row r="30" spans="1:43" ht="15.75" x14ac:dyDescent="0.25">
      <c r="A30" s="22">
        <v>25</v>
      </c>
      <c r="B30" s="19">
        <v>208.8</v>
      </c>
      <c r="C30" s="22">
        <v>74</v>
      </c>
      <c r="D30" s="19">
        <v>204.7</v>
      </c>
      <c r="E30" s="22">
        <f t="shared" si="0"/>
        <v>123</v>
      </c>
      <c r="F30" s="19">
        <v>207.1</v>
      </c>
      <c r="G30" s="35">
        <v>172</v>
      </c>
      <c r="H30" s="19">
        <v>211.6</v>
      </c>
      <c r="I30" s="20"/>
      <c r="J30" s="36"/>
      <c r="L30" s="22">
        <v>25</v>
      </c>
      <c r="M30" s="19"/>
      <c r="N30" s="22">
        <v>74</v>
      </c>
      <c r="O30" s="19">
        <v>204.7</v>
      </c>
      <c r="P30" s="22">
        <f t="shared" si="1"/>
        <v>123</v>
      </c>
      <c r="Q30" s="19">
        <v>207.1</v>
      </c>
      <c r="R30" s="35">
        <v>172</v>
      </c>
      <c r="S30" s="19"/>
      <c r="T30" s="20"/>
      <c r="U30" s="36"/>
      <c r="W30" s="22">
        <v>25</v>
      </c>
      <c r="X30" s="19">
        <v>208.8</v>
      </c>
      <c r="Y30" s="22">
        <v>74</v>
      </c>
      <c r="Z30" s="19"/>
      <c r="AA30" s="22">
        <f t="shared" si="2"/>
        <v>123</v>
      </c>
      <c r="AB30" s="19"/>
      <c r="AC30" s="35">
        <v>172</v>
      </c>
      <c r="AD30" s="19">
        <v>211.6</v>
      </c>
      <c r="AE30" s="20"/>
      <c r="AF30" s="36"/>
      <c r="AH30" s="22">
        <v>25</v>
      </c>
      <c r="AI30" s="19"/>
      <c r="AJ30" s="22">
        <v>74</v>
      </c>
      <c r="AK30" s="19"/>
      <c r="AL30" s="22">
        <f t="shared" si="3"/>
        <v>123</v>
      </c>
      <c r="AM30" s="19"/>
      <c r="AN30" s="35">
        <v>172</v>
      </c>
      <c r="AO30" s="19"/>
      <c r="AP30" s="20"/>
      <c r="AQ30" s="36"/>
    </row>
    <row r="31" spans="1:43" ht="15.75" x14ac:dyDescent="0.25">
      <c r="A31" s="22">
        <v>26</v>
      </c>
      <c r="B31" s="19">
        <v>212.3</v>
      </c>
      <c r="C31" s="22">
        <v>75</v>
      </c>
      <c r="D31" s="19">
        <v>202.8</v>
      </c>
      <c r="E31" s="22">
        <f t="shared" si="0"/>
        <v>124</v>
      </c>
      <c r="F31" s="19">
        <v>208.9</v>
      </c>
      <c r="G31" s="35">
        <v>173</v>
      </c>
      <c r="H31" s="19">
        <v>190.4</v>
      </c>
      <c r="I31" s="20"/>
      <c r="J31" s="36"/>
      <c r="L31" s="22">
        <v>26</v>
      </c>
      <c r="M31" s="19"/>
      <c r="N31" s="22">
        <v>75</v>
      </c>
      <c r="O31" s="19">
        <v>202.8</v>
      </c>
      <c r="P31" s="22">
        <f t="shared" si="1"/>
        <v>124</v>
      </c>
      <c r="Q31" s="19">
        <v>208.9</v>
      </c>
      <c r="R31" s="35">
        <v>173</v>
      </c>
      <c r="S31" s="19"/>
      <c r="T31" s="20"/>
      <c r="U31" s="36"/>
      <c r="W31" s="22">
        <v>26</v>
      </c>
      <c r="X31" s="19">
        <v>212.3</v>
      </c>
      <c r="Y31" s="22">
        <v>75</v>
      </c>
      <c r="Z31" s="19"/>
      <c r="AA31" s="22">
        <f t="shared" si="2"/>
        <v>124</v>
      </c>
      <c r="AB31" s="19"/>
      <c r="AC31" s="35">
        <v>173</v>
      </c>
      <c r="AD31" s="19">
        <v>190.4</v>
      </c>
      <c r="AE31" s="20"/>
      <c r="AF31" s="36"/>
      <c r="AH31" s="22">
        <v>26</v>
      </c>
      <c r="AI31" s="19"/>
      <c r="AJ31" s="22">
        <v>75</v>
      </c>
      <c r="AK31" s="19"/>
      <c r="AL31" s="22">
        <f t="shared" si="3"/>
        <v>124</v>
      </c>
      <c r="AM31" s="19"/>
      <c r="AN31" s="35">
        <v>173</v>
      </c>
      <c r="AO31" s="19"/>
      <c r="AP31" s="20"/>
      <c r="AQ31" s="36"/>
    </row>
    <row r="32" spans="1:43" ht="15.75" x14ac:dyDescent="0.25">
      <c r="A32" s="22">
        <v>27</v>
      </c>
      <c r="B32" s="19">
        <v>216.3</v>
      </c>
      <c r="C32" s="22">
        <v>76</v>
      </c>
      <c r="D32" s="19">
        <v>205.7</v>
      </c>
      <c r="E32" s="22">
        <f t="shared" si="0"/>
        <v>125</v>
      </c>
      <c r="F32" s="19">
        <v>206.7</v>
      </c>
      <c r="G32" s="33">
        <v>174</v>
      </c>
      <c r="H32" s="19">
        <v>206.9</v>
      </c>
      <c r="I32" s="21"/>
      <c r="J32" s="36"/>
      <c r="L32" s="22">
        <v>27</v>
      </c>
      <c r="M32" s="19"/>
      <c r="N32" s="22">
        <v>76</v>
      </c>
      <c r="O32" s="19">
        <v>205.7</v>
      </c>
      <c r="P32" s="22">
        <f t="shared" si="1"/>
        <v>125</v>
      </c>
      <c r="Q32" s="19">
        <v>206.7</v>
      </c>
      <c r="R32" s="33">
        <v>174</v>
      </c>
      <c r="S32" s="19"/>
      <c r="T32" s="21"/>
      <c r="U32" s="36"/>
      <c r="W32" s="22">
        <v>27</v>
      </c>
      <c r="X32" s="19">
        <v>216.3</v>
      </c>
      <c r="Y32" s="22">
        <v>76</v>
      </c>
      <c r="Z32" s="19"/>
      <c r="AA32" s="22">
        <f t="shared" si="2"/>
        <v>125</v>
      </c>
      <c r="AB32" s="19"/>
      <c r="AC32" s="33">
        <v>174</v>
      </c>
      <c r="AD32" s="19">
        <v>206.9</v>
      </c>
      <c r="AE32" s="21"/>
      <c r="AF32" s="36"/>
      <c r="AH32" s="22">
        <v>27</v>
      </c>
      <c r="AI32" s="19"/>
      <c r="AJ32" s="22">
        <v>76</v>
      </c>
      <c r="AK32" s="19"/>
      <c r="AL32" s="22">
        <f t="shared" si="3"/>
        <v>125</v>
      </c>
      <c r="AM32" s="19"/>
      <c r="AN32" s="33">
        <v>174</v>
      </c>
      <c r="AO32" s="19"/>
      <c r="AP32" s="21"/>
      <c r="AQ32" s="36"/>
    </row>
    <row r="33" spans="1:43" ht="15.75" x14ac:dyDescent="0.25">
      <c r="A33" s="22">
        <v>28</v>
      </c>
      <c r="B33" s="19">
        <v>204.2</v>
      </c>
      <c r="C33" s="22">
        <v>77</v>
      </c>
      <c r="D33" s="19">
        <v>198</v>
      </c>
      <c r="E33" s="22">
        <f t="shared" si="0"/>
        <v>126</v>
      </c>
      <c r="F33" s="19">
        <v>206</v>
      </c>
      <c r="G33" s="33">
        <v>175</v>
      </c>
      <c r="H33" s="19">
        <v>192.3</v>
      </c>
      <c r="I33" s="20"/>
      <c r="J33" s="36"/>
      <c r="L33" s="22">
        <v>28</v>
      </c>
      <c r="M33" s="19"/>
      <c r="N33" s="22">
        <v>77</v>
      </c>
      <c r="O33" s="19">
        <v>198</v>
      </c>
      <c r="P33" s="22">
        <f t="shared" si="1"/>
        <v>126</v>
      </c>
      <c r="Q33" s="19">
        <v>206</v>
      </c>
      <c r="R33" s="33">
        <v>175</v>
      </c>
      <c r="S33" s="19"/>
      <c r="T33" s="20"/>
      <c r="U33" s="36"/>
      <c r="W33" s="22">
        <v>28</v>
      </c>
      <c r="X33" s="19">
        <v>204.2</v>
      </c>
      <c r="Y33" s="22">
        <v>77</v>
      </c>
      <c r="Z33" s="19"/>
      <c r="AA33" s="22">
        <f t="shared" si="2"/>
        <v>126</v>
      </c>
      <c r="AB33" s="19"/>
      <c r="AC33" s="33">
        <v>175</v>
      </c>
      <c r="AD33" s="19">
        <v>192.3</v>
      </c>
      <c r="AE33" s="20"/>
      <c r="AF33" s="36"/>
      <c r="AH33" s="22">
        <v>28</v>
      </c>
      <c r="AI33" s="19"/>
      <c r="AJ33" s="22">
        <v>77</v>
      </c>
      <c r="AK33" s="19"/>
      <c r="AL33" s="22">
        <f t="shared" si="3"/>
        <v>126</v>
      </c>
      <c r="AM33" s="19"/>
      <c r="AN33" s="33">
        <v>175</v>
      </c>
      <c r="AO33" s="19"/>
      <c r="AP33" s="20"/>
      <c r="AQ33" s="36"/>
    </row>
    <row r="34" spans="1:43" ht="15.75" x14ac:dyDescent="0.25">
      <c r="A34" s="22">
        <v>29</v>
      </c>
      <c r="B34" s="19">
        <v>206.5</v>
      </c>
      <c r="C34" s="22">
        <v>78</v>
      </c>
      <c r="D34" s="19">
        <v>200.6</v>
      </c>
      <c r="E34" s="22">
        <f t="shared" si="0"/>
        <v>127</v>
      </c>
      <c r="F34" s="19">
        <v>207.9</v>
      </c>
      <c r="G34" s="33">
        <v>176</v>
      </c>
      <c r="H34" s="19">
        <v>206.7</v>
      </c>
      <c r="I34" s="20"/>
      <c r="J34" s="36"/>
      <c r="L34" s="22">
        <v>29</v>
      </c>
      <c r="M34" s="19"/>
      <c r="N34" s="22">
        <v>78</v>
      </c>
      <c r="O34" s="19">
        <v>200.6</v>
      </c>
      <c r="P34" s="22">
        <f t="shared" si="1"/>
        <v>127</v>
      </c>
      <c r="Q34" s="19">
        <v>207.9</v>
      </c>
      <c r="R34" s="33">
        <v>176</v>
      </c>
      <c r="S34" s="19"/>
      <c r="T34" s="20"/>
      <c r="U34" s="36"/>
      <c r="W34" s="22">
        <v>29</v>
      </c>
      <c r="X34" s="19">
        <v>206.5</v>
      </c>
      <c r="Y34" s="22">
        <v>78</v>
      </c>
      <c r="Z34" s="19"/>
      <c r="AA34" s="22">
        <f t="shared" si="2"/>
        <v>127</v>
      </c>
      <c r="AB34" s="19"/>
      <c r="AC34" s="33">
        <v>176</v>
      </c>
      <c r="AD34" s="19">
        <v>206.7</v>
      </c>
      <c r="AE34" s="20"/>
      <c r="AF34" s="36"/>
      <c r="AH34" s="22">
        <v>29</v>
      </c>
      <c r="AI34" s="19"/>
      <c r="AJ34" s="22">
        <v>78</v>
      </c>
      <c r="AK34" s="19"/>
      <c r="AL34" s="22">
        <f t="shared" si="3"/>
        <v>127</v>
      </c>
      <c r="AM34" s="19"/>
      <c r="AN34" s="33">
        <v>176</v>
      </c>
      <c r="AO34" s="19"/>
      <c r="AP34" s="20"/>
      <c r="AQ34" s="36"/>
    </row>
    <row r="35" spans="1:43" ht="15.75" x14ac:dyDescent="0.25">
      <c r="A35" s="22">
        <v>30</v>
      </c>
      <c r="B35" s="19">
        <v>200.6</v>
      </c>
      <c r="C35" s="22">
        <v>79</v>
      </c>
      <c r="D35" s="19">
        <v>201.3</v>
      </c>
      <c r="E35" s="22">
        <f t="shared" si="0"/>
        <v>128</v>
      </c>
      <c r="F35" s="19">
        <v>210.9</v>
      </c>
      <c r="G35" s="33">
        <v>177</v>
      </c>
      <c r="H35" s="19">
        <v>169.6</v>
      </c>
      <c r="I35" s="21"/>
      <c r="J35" s="36"/>
      <c r="L35" s="22">
        <v>30</v>
      </c>
      <c r="M35" s="19"/>
      <c r="N35" s="22">
        <v>79</v>
      </c>
      <c r="O35" s="19">
        <v>201.3</v>
      </c>
      <c r="P35" s="22">
        <f t="shared" si="1"/>
        <v>128</v>
      </c>
      <c r="Q35" s="19">
        <v>210.9</v>
      </c>
      <c r="R35" s="33">
        <v>177</v>
      </c>
      <c r="S35" s="19"/>
      <c r="T35" s="21"/>
      <c r="U35" s="36"/>
      <c r="W35" s="22">
        <v>30</v>
      </c>
      <c r="X35" s="19">
        <v>200.6</v>
      </c>
      <c r="Y35" s="22">
        <v>79</v>
      </c>
      <c r="Z35" s="19"/>
      <c r="AA35" s="22">
        <f t="shared" si="2"/>
        <v>128</v>
      </c>
      <c r="AB35" s="19"/>
      <c r="AC35" s="33">
        <v>177</v>
      </c>
      <c r="AD35" s="19">
        <v>169.6</v>
      </c>
      <c r="AE35" s="21"/>
      <c r="AF35" s="36"/>
      <c r="AH35" s="22">
        <v>30</v>
      </c>
      <c r="AI35" s="19"/>
      <c r="AJ35" s="22">
        <v>79</v>
      </c>
      <c r="AK35" s="19"/>
      <c r="AL35" s="22">
        <f t="shared" si="3"/>
        <v>128</v>
      </c>
      <c r="AM35" s="19"/>
      <c r="AN35" s="33">
        <v>177</v>
      </c>
      <c r="AO35" s="19"/>
      <c r="AP35" s="21"/>
      <c r="AQ35" s="36"/>
    </row>
    <row r="36" spans="1:43" ht="15.75" x14ac:dyDescent="0.25">
      <c r="A36" s="22">
        <v>31</v>
      </c>
      <c r="B36" s="19">
        <v>202.2</v>
      </c>
      <c r="C36" s="22">
        <v>80</v>
      </c>
      <c r="D36" s="19">
        <v>196.9</v>
      </c>
      <c r="E36" s="22">
        <f t="shared" si="0"/>
        <v>129</v>
      </c>
      <c r="F36" s="19">
        <v>205</v>
      </c>
      <c r="G36" s="33">
        <v>178</v>
      </c>
      <c r="H36" s="19">
        <v>205.5</v>
      </c>
      <c r="I36" s="20"/>
      <c r="J36" s="36"/>
      <c r="L36" s="22">
        <v>31</v>
      </c>
      <c r="M36" s="19"/>
      <c r="N36" s="22">
        <v>80</v>
      </c>
      <c r="O36" s="19">
        <v>196.9</v>
      </c>
      <c r="P36" s="22">
        <f t="shared" si="1"/>
        <v>129</v>
      </c>
      <c r="Q36" s="19">
        <v>205</v>
      </c>
      <c r="R36" s="33">
        <v>178</v>
      </c>
      <c r="S36" s="19"/>
      <c r="T36" s="20"/>
      <c r="U36" s="36"/>
      <c r="W36" s="22">
        <v>31</v>
      </c>
      <c r="X36" s="19">
        <v>202.2</v>
      </c>
      <c r="Y36" s="22">
        <v>80</v>
      </c>
      <c r="Z36" s="19"/>
      <c r="AA36" s="22">
        <f t="shared" si="2"/>
        <v>129</v>
      </c>
      <c r="AB36" s="19"/>
      <c r="AC36" s="33">
        <v>178</v>
      </c>
      <c r="AD36" s="19">
        <v>205.5</v>
      </c>
      <c r="AE36" s="20"/>
      <c r="AF36" s="36"/>
      <c r="AH36" s="22">
        <v>31</v>
      </c>
      <c r="AI36" s="19"/>
      <c r="AJ36" s="22">
        <v>80</v>
      </c>
      <c r="AK36" s="19"/>
      <c r="AL36" s="22">
        <f t="shared" si="3"/>
        <v>129</v>
      </c>
      <c r="AM36" s="19"/>
      <c r="AN36" s="33">
        <v>178</v>
      </c>
      <c r="AO36" s="19"/>
      <c r="AP36" s="20"/>
      <c r="AQ36" s="36"/>
    </row>
    <row r="37" spans="1:43" ht="15.75" x14ac:dyDescent="0.25">
      <c r="A37" s="22">
        <v>32</v>
      </c>
      <c r="B37" s="19">
        <v>204.1</v>
      </c>
      <c r="C37" s="22">
        <v>81</v>
      </c>
      <c r="D37" s="19">
        <v>196.2</v>
      </c>
      <c r="E37" s="22">
        <f t="shared" si="0"/>
        <v>130</v>
      </c>
      <c r="F37" s="19">
        <v>203.5</v>
      </c>
      <c r="G37" s="33">
        <v>179</v>
      </c>
      <c r="H37" s="19">
        <v>211.9</v>
      </c>
      <c r="I37" s="20"/>
      <c r="J37" s="36"/>
      <c r="L37" s="22">
        <v>32</v>
      </c>
      <c r="M37" s="19"/>
      <c r="N37" s="22">
        <v>81</v>
      </c>
      <c r="O37" s="19">
        <v>196.2</v>
      </c>
      <c r="P37" s="22">
        <f t="shared" si="1"/>
        <v>130</v>
      </c>
      <c r="Q37" s="19">
        <v>203.5</v>
      </c>
      <c r="R37" s="33">
        <v>179</v>
      </c>
      <c r="S37" s="19"/>
      <c r="T37" s="20"/>
      <c r="U37" s="36"/>
      <c r="W37" s="22">
        <v>32</v>
      </c>
      <c r="X37" s="19">
        <v>204.1</v>
      </c>
      <c r="Y37" s="22">
        <v>81</v>
      </c>
      <c r="Z37" s="19"/>
      <c r="AA37" s="22">
        <f t="shared" si="2"/>
        <v>130</v>
      </c>
      <c r="AB37" s="19"/>
      <c r="AC37" s="33">
        <v>179</v>
      </c>
      <c r="AD37" s="19">
        <v>211.9</v>
      </c>
      <c r="AE37" s="20"/>
      <c r="AF37" s="36"/>
      <c r="AH37" s="22">
        <v>32</v>
      </c>
      <c r="AI37" s="19"/>
      <c r="AJ37" s="22">
        <v>81</v>
      </c>
      <c r="AK37" s="19"/>
      <c r="AL37" s="22">
        <f t="shared" si="3"/>
        <v>130</v>
      </c>
      <c r="AM37" s="19"/>
      <c r="AN37" s="33">
        <v>179</v>
      </c>
      <c r="AO37" s="19"/>
      <c r="AP37" s="20"/>
      <c r="AQ37" s="36"/>
    </row>
    <row r="38" spans="1:43" ht="15.75" x14ac:dyDescent="0.25">
      <c r="A38" s="22">
        <v>33</v>
      </c>
      <c r="B38" s="19">
        <v>207.2</v>
      </c>
      <c r="C38" s="22">
        <v>82</v>
      </c>
      <c r="D38" s="19">
        <v>202.3</v>
      </c>
      <c r="E38" s="22">
        <f t="shared" si="0"/>
        <v>131</v>
      </c>
      <c r="F38" s="19">
        <v>209.3</v>
      </c>
      <c r="G38" s="33">
        <v>180</v>
      </c>
      <c r="H38" s="19">
        <v>192.2</v>
      </c>
      <c r="I38" s="21"/>
      <c r="J38" s="36"/>
      <c r="L38" s="22">
        <v>33</v>
      </c>
      <c r="M38" s="19"/>
      <c r="N38" s="22">
        <v>82</v>
      </c>
      <c r="O38" s="19">
        <v>202.3</v>
      </c>
      <c r="P38" s="22">
        <f t="shared" si="1"/>
        <v>131</v>
      </c>
      <c r="Q38" s="19">
        <v>209.3</v>
      </c>
      <c r="R38" s="33">
        <v>180</v>
      </c>
      <c r="S38" s="19"/>
      <c r="T38" s="21"/>
      <c r="U38" s="36"/>
      <c r="W38" s="22">
        <v>33</v>
      </c>
      <c r="X38" s="19">
        <v>207.2</v>
      </c>
      <c r="Y38" s="22">
        <v>82</v>
      </c>
      <c r="Z38" s="19"/>
      <c r="AA38" s="22">
        <f t="shared" si="2"/>
        <v>131</v>
      </c>
      <c r="AB38" s="19"/>
      <c r="AC38" s="33">
        <v>180</v>
      </c>
      <c r="AD38" s="19">
        <v>192.2</v>
      </c>
      <c r="AE38" s="21"/>
      <c r="AF38" s="36"/>
      <c r="AH38" s="22">
        <v>33</v>
      </c>
      <c r="AI38" s="19"/>
      <c r="AJ38" s="22">
        <v>82</v>
      </c>
      <c r="AK38" s="19"/>
      <c r="AL38" s="22">
        <f t="shared" si="3"/>
        <v>131</v>
      </c>
      <c r="AM38" s="19"/>
      <c r="AN38" s="33">
        <v>180</v>
      </c>
      <c r="AO38" s="19"/>
      <c r="AP38" s="21"/>
      <c r="AQ38" s="36"/>
    </row>
    <row r="39" spans="1:43" ht="15.75" x14ac:dyDescent="0.25">
      <c r="A39" s="22">
        <v>34</v>
      </c>
      <c r="B39" s="19">
        <v>204.9</v>
      </c>
      <c r="C39" s="22">
        <v>83</v>
      </c>
      <c r="D39" s="19">
        <v>199.6</v>
      </c>
      <c r="E39" s="22">
        <f t="shared" si="0"/>
        <v>132</v>
      </c>
      <c r="F39" s="19">
        <v>205.9</v>
      </c>
      <c r="G39" s="33">
        <v>181</v>
      </c>
      <c r="H39" s="19">
        <v>202.6</v>
      </c>
      <c r="I39" s="21"/>
      <c r="J39" s="36"/>
      <c r="L39" s="22">
        <v>34</v>
      </c>
      <c r="M39" s="19"/>
      <c r="N39" s="22">
        <v>83</v>
      </c>
      <c r="O39" s="19">
        <v>199.6</v>
      </c>
      <c r="P39" s="22">
        <f t="shared" si="1"/>
        <v>132</v>
      </c>
      <c r="Q39" s="19">
        <v>205.9</v>
      </c>
      <c r="R39" s="33">
        <v>181</v>
      </c>
      <c r="S39" s="19"/>
      <c r="T39" s="21"/>
      <c r="U39" s="36"/>
      <c r="W39" s="22">
        <v>34</v>
      </c>
      <c r="X39" s="19">
        <v>204.9</v>
      </c>
      <c r="Y39" s="22">
        <v>83</v>
      </c>
      <c r="Z39" s="19"/>
      <c r="AA39" s="22">
        <f t="shared" si="2"/>
        <v>132</v>
      </c>
      <c r="AB39" s="19"/>
      <c r="AC39" s="33">
        <v>181</v>
      </c>
      <c r="AD39" s="19">
        <v>202.6</v>
      </c>
      <c r="AE39" s="21"/>
      <c r="AF39" s="36"/>
      <c r="AH39" s="22">
        <v>34</v>
      </c>
      <c r="AI39" s="19"/>
      <c r="AJ39" s="22">
        <v>83</v>
      </c>
      <c r="AK39" s="19"/>
      <c r="AL39" s="22">
        <f t="shared" si="3"/>
        <v>132</v>
      </c>
      <c r="AM39" s="19"/>
      <c r="AN39" s="33">
        <v>181</v>
      </c>
      <c r="AO39" s="19"/>
      <c r="AP39" s="21"/>
      <c r="AQ39" s="36"/>
    </row>
    <row r="40" spans="1:43" ht="15.75" x14ac:dyDescent="0.25">
      <c r="A40" s="22">
        <v>35</v>
      </c>
      <c r="B40" s="19">
        <v>213.1</v>
      </c>
      <c r="C40" s="22">
        <v>84</v>
      </c>
      <c r="D40" s="19">
        <v>205.4</v>
      </c>
      <c r="E40" s="22">
        <f t="shared" si="0"/>
        <v>133</v>
      </c>
      <c r="F40" s="19">
        <v>207.3</v>
      </c>
      <c r="G40" s="33">
        <v>182</v>
      </c>
      <c r="H40" s="19">
        <v>207.1</v>
      </c>
      <c r="I40" s="20"/>
      <c r="J40" s="36"/>
      <c r="L40" s="22">
        <v>35</v>
      </c>
      <c r="M40" s="19"/>
      <c r="N40" s="22">
        <v>84</v>
      </c>
      <c r="O40" s="19">
        <v>205.4</v>
      </c>
      <c r="P40" s="22">
        <f t="shared" si="1"/>
        <v>133</v>
      </c>
      <c r="Q40" s="19">
        <v>207.3</v>
      </c>
      <c r="R40" s="33">
        <v>182</v>
      </c>
      <c r="S40" s="19"/>
      <c r="T40" s="20"/>
      <c r="U40" s="36"/>
      <c r="W40" s="22">
        <v>35</v>
      </c>
      <c r="X40" s="19">
        <v>213.1</v>
      </c>
      <c r="Y40" s="22">
        <v>84</v>
      </c>
      <c r="Z40" s="19"/>
      <c r="AA40" s="22">
        <f t="shared" si="2"/>
        <v>133</v>
      </c>
      <c r="AB40" s="19"/>
      <c r="AC40" s="33">
        <v>182</v>
      </c>
      <c r="AD40" s="19">
        <v>207.1</v>
      </c>
      <c r="AE40" s="20"/>
      <c r="AF40" s="36"/>
      <c r="AH40" s="22">
        <v>35</v>
      </c>
      <c r="AI40" s="19"/>
      <c r="AJ40" s="22">
        <v>84</v>
      </c>
      <c r="AK40" s="19"/>
      <c r="AL40" s="22">
        <f t="shared" si="3"/>
        <v>133</v>
      </c>
      <c r="AM40" s="19"/>
      <c r="AN40" s="33">
        <v>182</v>
      </c>
      <c r="AO40" s="19"/>
      <c r="AP40" s="20"/>
      <c r="AQ40" s="36"/>
    </row>
    <row r="41" spans="1:43" ht="15.75" x14ac:dyDescent="0.25">
      <c r="A41" s="22">
        <v>36</v>
      </c>
      <c r="B41" s="19">
        <v>208</v>
      </c>
      <c r="C41" s="22">
        <v>85</v>
      </c>
      <c r="D41" s="19">
        <v>206.4</v>
      </c>
      <c r="E41" s="22">
        <f t="shared" si="0"/>
        <v>134</v>
      </c>
      <c r="F41" s="19">
        <v>200.6</v>
      </c>
      <c r="G41" s="33">
        <v>183</v>
      </c>
      <c r="H41" s="19">
        <v>185.5</v>
      </c>
      <c r="I41" s="20"/>
      <c r="J41" s="36"/>
      <c r="L41" s="22">
        <v>36</v>
      </c>
      <c r="M41" s="19"/>
      <c r="N41" s="22">
        <v>85</v>
      </c>
      <c r="O41" s="19">
        <v>206.4</v>
      </c>
      <c r="P41" s="22">
        <f t="shared" si="1"/>
        <v>134</v>
      </c>
      <c r="Q41" s="19">
        <v>200.6</v>
      </c>
      <c r="R41" s="33">
        <v>183</v>
      </c>
      <c r="S41" s="19"/>
      <c r="T41" s="20"/>
      <c r="U41" s="36"/>
      <c r="W41" s="22">
        <v>36</v>
      </c>
      <c r="X41" s="19">
        <v>208</v>
      </c>
      <c r="Y41" s="22">
        <v>85</v>
      </c>
      <c r="Z41" s="19"/>
      <c r="AA41" s="22">
        <f t="shared" si="2"/>
        <v>134</v>
      </c>
      <c r="AB41" s="19"/>
      <c r="AC41" s="33">
        <v>183</v>
      </c>
      <c r="AD41" s="19">
        <v>185.5</v>
      </c>
      <c r="AE41" s="20"/>
      <c r="AF41" s="36"/>
      <c r="AH41" s="22">
        <v>36</v>
      </c>
      <c r="AI41" s="19"/>
      <c r="AJ41" s="22">
        <v>85</v>
      </c>
      <c r="AK41" s="19"/>
      <c r="AL41" s="22">
        <f t="shared" si="3"/>
        <v>134</v>
      </c>
      <c r="AM41" s="19"/>
      <c r="AN41" s="33">
        <v>183</v>
      </c>
      <c r="AO41" s="19"/>
      <c r="AP41" s="20"/>
      <c r="AQ41" s="36"/>
    </row>
    <row r="42" spans="1:43" ht="15.75" x14ac:dyDescent="0.25">
      <c r="A42" s="22">
        <v>37</v>
      </c>
      <c r="B42" s="19">
        <v>206.1</v>
      </c>
      <c r="C42" s="22">
        <v>86</v>
      </c>
      <c r="D42" s="19">
        <v>205.4</v>
      </c>
      <c r="E42" s="22">
        <f t="shared" si="0"/>
        <v>135</v>
      </c>
      <c r="F42" s="19">
        <v>201.7</v>
      </c>
      <c r="G42" s="33">
        <v>184</v>
      </c>
      <c r="H42" s="19">
        <v>201.4</v>
      </c>
      <c r="I42" s="21"/>
      <c r="J42" s="36"/>
      <c r="L42" s="22">
        <v>37</v>
      </c>
      <c r="M42" s="19"/>
      <c r="N42" s="22">
        <v>86</v>
      </c>
      <c r="O42" s="19">
        <v>205.4</v>
      </c>
      <c r="P42" s="22">
        <f t="shared" si="1"/>
        <v>135</v>
      </c>
      <c r="Q42" s="19">
        <v>201.7</v>
      </c>
      <c r="R42" s="33">
        <v>184</v>
      </c>
      <c r="S42" s="19"/>
      <c r="T42" s="21"/>
      <c r="U42" s="36"/>
      <c r="W42" s="22">
        <v>37</v>
      </c>
      <c r="X42" s="19">
        <v>206.1</v>
      </c>
      <c r="Y42" s="22">
        <v>86</v>
      </c>
      <c r="Z42" s="19"/>
      <c r="AA42" s="22">
        <f t="shared" si="2"/>
        <v>135</v>
      </c>
      <c r="AB42" s="19"/>
      <c r="AC42" s="33">
        <v>184</v>
      </c>
      <c r="AD42" s="19">
        <v>201.4</v>
      </c>
      <c r="AE42" s="21"/>
      <c r="AF42" s="36"/>
      <c r="AH42" s="22">
        <v>37</v>
      </c>
      <c r="AI42" s="19"/>
      <c r="AJ42" s="22">
        <v>86</v>
      </c>
      <c r="AK42" s="19"/>
      <c r="AL42" s="22">
        <f t="shared" si="3"/>
        <v>135</v>
      </c>
      <c r="AM42" s="19"/>
      <c r="AN42" s="33">
        <v>184</v>
      </c>
      <c r="AO42" s="19"/>
      <c r="AP42" s="21"/>
      <c r="AQ42" s="36"/>
    </row>
    <row r="43" spans="1:43" ht="15.75" x14ac:dyDescent="0.25">
      <c r="A43" s="22">
        <v>38</v>
      </c>
      <c r="B43" s="19">
        <v>209.4</v>
      </c>
      <c r="C43" s="22">
        <v>87</v>
      </c>
      <c r="D43" s="19">
        <v>207</v>
      </c>
      <c r="E43" s="22">
        <f t="shared" si="0"/>
        <v>136</v>
      </c>
      <c r="F43" s="19">
        <v>209.6</v>
      </c>
      <c r="G43" s="33">
        <v>185</v>
      </c>
      <c r="H43" s="19">
        <v>205.3</v>
      </c>
      <c r="I43" s="20"/>
      <c r="J43" s="36"/>
      <c r="L43" s="22">
        <v>38</v>
      </c>
      <c r="M43" s="19"/>
      <c r="N43" s="22">
        <v>87</v>
      </c>
      <c r="O43" s="19">
        <v>207</v>
      </c>
      <c r="P43" s="22">
        <f t="shared" si="1"/>
        <v>136</v>
      </c>
      <c r="Q43" s="19">
        <v>209.6</v>
      </c>
      <c r="R43" s="33">
        <v>185</v>
      </c>
      <c r="S43" s="19"/>
      <c r="T43" s="20"/>
      <c r="U43" s="36"/>
      <c r="W43" s="22">
        <v>38</v>
      </c>
      <c r="X43" s="19">
        <v>209.4</v>
      </c>
      <c r="Y43" s="22">
        <v>87</v>
      </c>
      <c r="Z43" s="19"/>
      <c r="AA43" s="22">
        <f t="shared" si="2"/>
        <v>136</v>
      </c>
      <c r="AB43" s="19"/>
      <c r="AC43" s="33">
        <v>185</v>
      </c>
      <c r="AD43" s="19">
        <v>205.3</v>
      </c>
      <c r="AE43" s="20"/>
      <c r="AF43" s="36"/>
      <c r="AH43" s="22">
        <v>38</v>
      </c>
      <c r="AI43" s="19"/>
      <c r="AJ43" s="22">
        <v>87</v>
      </c>
      <c r="AK43" s="19"/>
      <c r="AL43" s="22">
        <f t="shared" si="3"/>
        <v>136</v>
      </c>
      <c r="AM43" s="19"/>
      <c r="AN43" s="33">
        <v>185</v>
      </c>
      <c r="AO43" s="19"/>
      <c r="AP43" s="20"/>
      <c r="AQ43" s="36"/>
    </row>
    <row r="44" spans="1:43" ht="15.75" x14ac:dyDescent="0.25">
      <c r="A44" s="22">
        <v>39</v>
      </c>
      <c r="B44" s="19">
        <v>200</v>
      </c>
      <c r="C44" s="22">
        <v>88</v>
      </c>
      <c r="D44" s="19">
        <v>212.7</v>
      </c>
      <c r="E44" s="22">
        <f t="shared" si="0"/>
        <v>137</v>
      </c>
      <c r="F44" s="19">
        <v>215.1</v>
      </c>
      <c r="G44" s="33">
        <v>186</v>
      </c>
      <c r="H44" s="19">
        <v>206.7</v>
      </c>
      <c r="I44" s="20"/>
      <c r="J44" s="36"/>
      <c r="L44" s="22">
        <v>39</v>
      </c>
      <c r="M44" s="19"/>
      <c r="N44" s="22">
        <v>88</v>
      </c>
      <c r="O44" s="19">
        <v>212.7</v>
      </c>
      <c r="P44" s="22">
        <f t="shared" si="1"/>
        <v>137</v>
      </c>
      <c r="Q44" s="19">
        <v>215.1</v>
      </c>
      <c r="R44" s="33">
        <v>186</v>
      </c>
      <c r="S44" s="19"/>
      <c r="T44" s="20"/>
      <c r="U44" s="36"/>
      <c r="W44" s="22">
        <v>39</v>
      </c>
      <c r="X44" s="19">
        <v>200</v>
      </c>
      <c r="Y44" s="22">
        <v>88</v>
      </c>
      <c r="Z44" s="19"/>
      <c r="AA44" s="22">
        <f t="shared" si="2"/>
        <v>137</v>
      </c>
      <c r="AB44" s="19"/>
      <c r="AC44" s="33">
        <v>186</v>
      </c>
      <c r="AD44" s="19">
        <v>206.7</v>
      </c>
      <c r="AE44" s="20"/>
      <c r="AF44" s="36"/>
      <c r="AH44" s="22">
        <v>39</v>
      </c>
      <c r="AI44" s="19"/>
      <c r="AJ44" s="22">
        <v>88</v>
      </c>
      <c r="AK44" s="19"/>
      <c r="AL44" s="22">
        <f t="shared" si="3"/>
        <v>137</v>
      </c>
      <c r="AM44" s="19"/>
      <c r="AN44" s="33">
        <v>186</v>
      </c>
      <c r="AO44" s="19"/>
      <c r="AP44" s="20"/>
      <c r="AQ44" s="36"/>
    </row>
    <row r="45" spans="1:43" ht="15.75" x14ac:dyDescent="0.25">
      <c r="A45" s="22">
        <v>40</v>
      </c>
      <c r="B45" s="19">
        <v>207</v>
      </c>
      <c r="C45" s="22">
        <v>89</v>
      </c>
      <c r="D45" s="19">
        <v>205.6</v>
      </c>
      <c r="E45" s="22">
        <f t="shared" si="0"/>
        <v>138</v>
      </c>
      <c r="F45" s="19">
        <v>210.1</v>
      </c>
      <c r="G45" s="33">
        <v>187</v>
      </c>
      <c r="H45" s="19">
        <v>171.1</v>
      </c>
      <c r="I45" s="21"/>
      <c r="J45" s="36"/>
      <c r="L45" s="22">
        <v>40</v>
      </c>
      <c r="M45" s="19"/>
      <c r="N45" s="22">
        <v>89</v>
      </c>
      <c r="O45" s="19">
        <v>205.6</v>
      </c>
      <c r="P45" s="22">
        <f t="shared" si="1"/>
        <v>138</v>
      </c>
      <c r="Q45" s="19">
        <v>210.1</v>
      </c>
      <c r="R45" s="33">
        <v>187</v>
      </c>
      <c r="S45" s="19"/>
      <c r="T45" s="21"/>
      <c r="U45" s="36"/>
      <c r="W45" s="22">
        <v>40</v>
      </c>
      <c r="X45" s="19">
        <v>207</v>
      </c>
      <c r="Y45" s="22">
        <v>89</v>
      </c>
      <c r="Z45" s="19"/>
      <c r="AA45" s="22">
        <f t="shared" si="2"/>
        <v>138</v>
      </c>
      <c r="AB45" s="19"/>
      <c r="AC45" s="33">
        <v>187</v>
      </c>
      <c r="AD45" s="19">
        <v>171.1</v>
      </c>
      <c r="AE45" s="21"/>
      <c r="AF45" s="36"/>
      <c r="AH45" s="22">
        <v>40</v>
      </c>
      <c r="AI45" s="19"/>
      <c r="AJ45" s="22">
        <v>89</v>
      </c>
      <c r="AK45" s="19"/>
      <c r="AL45" s="22">
        <f t="shared" si="3"/>
        <v>138</v>
      </c>
      <c r="AM45" s="19"/>
      <c r="AN45" s="33">
        <v>187</v>
      </c>
      <c r="AO45" s="19"/>
      <c r="AP45" s="21"/>
      <c r="AQ45" s="36"/>
    </row>
    <row r="46" spans="1:43" ht="15.75" x14ac:dyDescent="0.25">
      <c r="A46" s="22">
        <v>41</v>
      </c>
      <c r="B46" s="19">
        <v>205.5</v>
      </c>
      <c r="C46" s="22">
        <v>90</v>
      </c>
      <c r="D46" s="19">
        <v>203.7</v>
      </c>
      <c r="E46" s="22">
        <f t="shared" si="0"/>
        <v>139</v>
      </c>
      <c r="F46" s="19">
        <v>196</v>
      </c>
      <c r="G46" s="33">
        <v>188</v>
      </c>
      <c r="H46" s="19">
        <v>208.5</v>
      </c>
      <c r="I46" s="20"/>
      <c r="J46" s="36"/>
      <c r="L46" s="22">
        <v>41</v>
      </c>
      <c r="M46" s="19"/>
      <c r="N46" s="22">
        <v>90</v>
      </c>
      <c r="O46" s="19">
        <v>203.7</v>
      </c>
      <c r="P46" s="22">
        <f t="shared" si="1"/>
        <v>139</v>
      </c>
      <c r="Q46" s="19">
        <v>196</v>
      </c>
      <c r="R46" s="33">
        <v>188</v>
      </c>
      <c r="S46" s="19"/>
      <c r="T46" s="20"/>
      <c r="U46" s="36"/>
      <c r="W46" s="22">
        <v>41</v>
      </c>
      <c r="X46" s="19">
        <v>205.5</v>
      </c>
      <c r="Y46" s="22">
        <v>90</v>
      </c>
      <c r="Z46" s="19"/>
      <c r="AA46" s="22">
        <f t="shared" si="2"/>
        <v>139</v>
      </c>
      <c r="AB46" s="19"/>
      <c r="AC46" s="33">
        <v>188</v>
      </c>
      <c r="AD46" s="19">
        <v>208.5</v>
      </c>
      <c r="AE46" s="20"/>
      <c r="AF46" s="36"/>
      <c r="AH46" s="22">
        <v>41</v>
      </c>
      <c r="AI46" s="19"/>
      <c r="AJ46" s="22">
        <v>90</v>
      </c>
      <c r="AK46" s="19"/>
      <c r="AL46" s="22">
        <f t="shared" si="3"/>
        <v>139</v>
      </c>
      <c r="AM46" s="19"/>
      <c r="AN46" s="33">
        <v>188</v>
      </c>
      <c r="AO46" s="19"/>
      <c r="AP46" s="20"/>
      <c r="AQ46" s="36"/>
    </row>
    <row r="47" spans="1:43" ht="15.75" x14ac:dyDescent="0.25">
      <c r="A47" s="22">
        <v>42</v>
      </c>
      <c r="B47" s="19">
        <v>202.4</v>
      </c>
      <c r="C47" s="22">
        <v>91</v>
      </c>
      <c r="D47" s="19">
        <v>204.4</v>
      </c>
      <c r="E47" s="22">
        <f t="shared" si="0"/>
        <v>140</v>
      </c>
      <c r="F47" s="19">
        <v>210.5</v>
      </c>
      <c r="G47" s="33">
        <v>189</v>
      </c>
      <c r="H47" s="19">
        <v>206</v>
      </c>
      <c r="I47" s="20"/>
      <c r="J47" s="36"/>
      <c r="L47" s="22">
        <v>42</v>
      </c>
      <c r="M47" s="19"/>
      <c r="N47" s="22">
        <v>91</v>
      </c>
      <c r="O47" s="19">
        <v>204.4</v>
      </c>
      <c r="P47" s="22">
        <f t="shared" si="1"/>
        <v>140</v>
      </c>
      <c r="Q47" s="19">
        <v>210.5</v>
      </c>
      <c r="R47" s="33">
        <v>189</v>
      </c>
      <c r="S47" s="19"/>
      <c r="T47" s="20"/>
      <c r="U47" s="36"/>
      <c r="W47" s="22">
        <v>42</v>
      </c>
      <c r="X47" s="19">
        <v>202.4</v>
      </c>
      <c r="Y47" s="22">
        <v>91</v>
      </c>
      <c r="Z47" s="19"/>
      <c r="AA47" s="22">
        <f t="shared" si="2"/>
        <v>140</v>
      </c>
      <c r="AB47" s="19"/>
      <c r="AC47" s="33">
        <v>189</v>
      </c>
      <c r="AD47" s="19">
        <v>206</v>
      </c>
      <c r="AE47" s="20"/>
      <c r="AF47" s="36"/>
      <c r="AH47" s="22">
        <v>42</v>
      </c>
      <c r="AI47" s="19"/>
      <c r="AJ47" s="22">
        <v>91</v>
      </c>
      <c r="AK47" s="19"/>
      <c r="AL47" s="22">
        <f t="shared" si="3"/>
        <v>140</v>
      </c>
      <c r="AM47" s="19"/>
      <c r="AN47" s="33">
        <v>189</v>
      </c>
      <c r="AO47" s="19"/>
      <c r="AP47" s="20"/>
      <c r="AQ47" s="36"/>
    </row>
    <row r="48" spans="1:43" ht="15.75" x14ac:dyDescent="0.25">
      <c r="A48" s="22">
        <v>43</v>
      </c>
      <c r="B48" s="19">
        <v>197.4</v>
      </c>
      <c r="C48" s="22">
        <v>92</v>
      </c>
      <c r="D48" s="19">
        <v>205.7</v>
      </c>
      <c r="E48" s="22">
        <f t="shared" si="0"/>
        <v>141</v>
      </c>
      <c r="F48" s="19">
        <v>184.1</v>
      </c>
      <c r="G48" s="33">
        <v>190</v>
      </c>
      <c r="H48" s="19">
        <v>199.5</v>
      </c>
      <c r="I48" s="21"/>
      <c r="J48" s="36"/>
      <c r="L48" s="22">
        <v>43</v>
      </c>
      <c r="M48" s="19"/>
      <c r="N48" s="22">
        <v>92</v>
      </c>
      <c r="O48" s="19">
        <v>205.7</v>
      </c>
      <c r="P48" s="22">
        <f t="shared" si="1"/>
        <v>141</v>
      </c>
      <c r="Q48" s="19"/>
      <c r="R48" s="33">
        <v>190</v>
      </c>
      <c r="S48" s="19"/>
      <c r="T48" s="21"/>
      <c r="U48" s="36"/>
      <c r="W48" s="22">
        <v>43</v>
      </c>
      <c r="X48" s="19">
        <v>197.4</v>
      </c>
      <c r="Y48" s="22">
        <v>92</v>
      </c>
      <c r="Z48" s="19"/>
      <c r="AA48" s="22">
        <f t="shared" si="2"/>
        <v>141</v>
      </c>
      <c r="AB48" s="19">
        <v>184.1</v>
      </c>
      <c r="AC48" s="33">
        <v>190</v>
      </c>
      <c r="AD48" s="19">
        <v>199.5</v>
      </c>
      <c r="AE48" s="21"/>
      <c r="AF48" s="36"/>
      <c r="AH48" s="22">
        <v>43</v>
      </c>
      <c r="AI48" s="19"/>
      <c r="AJ48" s="22">
        <v>92</v>
      </c>
      <c r="AK48" s="19"/>
      <c r="AL48" s="22">
        <f t="shared" si="3"/>
        <v>141</v>
      </c>
      <c r="AM48" s="19"/>
      <c r="AN48" s="33">
        <v>190</v>
      </c>
      <c r="AO48" s="19"/>
      <c r="AP48" s="21"/>
      <c r="AQ48" s="36"/>
    </row>
    <row r="49" spans="1:43" ht="15.75" x14ac:dyDescent="0.25">
      <c r="A49" s="22">
        <v>44</v>
      </c>
      <c r="B49" s="19">
        <v>204.5</v>
      </c>
      <c r="C49" s="22">
        <v>93</v>
      </c>
      <c r="D49" s="19">
        <v>204.2</v>
      </c>
      <c r="E49" s="22">
        <f t="shared" si="0"/>
        <v>142</v>
      </c>
      <c r="F49" s="19">
        <v>205.2</v>
      </c>
      <c r="G49" s="33">
        <v>191</v>
      </c>
      <c r="H49" s="19">
        <v>188.4</v>
      </c>
      <c r="I49" s="21"/>
      <c r="J49" s="36"/>
      <c r="L49" s="22">
        <v>44</v>
      </c>
      <c r="M49" s="19"/>
      <c r="N49" s="22">
        <v>93</v>
      </c>
      <c r="O49" s="19">
        <v>204.2</v>
      </c>
      <c r="P49" s="22">
        <f t="shared" si="1"/>
        <v>142</v>
      </c>
      <c r="Q49" s="19"/>
      <c r="R49" s="33">
        <v>191</v>
      </c>
      <c r="S49" s="19"/>
      <c r="T49" s="21"/>
      <c r="U49" s="36"/>
      <c r="W49" s="22">
        <v>44</v>
      </c>
      <c r="X49" s="19">
        <v>204.5</v>
      </c>
      <c r="Y49" s="22">
        <v>93</v>
      </c>
      <c r="Z49" s="19"/>
      <c r="AA49" s="22">
        <f t="shared" si="2"/>
        <v>142</v>
      </c>
      <c r="AB49" s="19">
        <v>205.2</v>
      </c>
      <c r="AC49" s="33">
        <v>191</v>
      </c>
      <c r="AD49" s="19">
        <v>188.4</v>
      </c>
      <c r="AE49" s="21"/>
      <c r="AF49" s="36"/>
      <c r="AH49" s="22">
        <v>44</v>
      </c>
      <c r="AI49" s="19"/>
      <c r="AJ49" s="22">
        <v>93</v>
      </c>
      <c r="AK49" s="19"/>
      <c r="AL49" s="22">
        <f t="shared" si="3"/>
        <v>142</v>
      </c>
      <c r="AM49" s="19"/>
      <c r="AN49" s="33">
        <v>191</v>
      </c>
      <c r="AO49" s="19"/>
      <c r="AP49" s="21"/>
      <c r="AQ49" s="36"/>
    </row>
    <row r="50" spans="1:43" ht="15.75" x14ac:dyDescent="0.25">
      <c r="A50" s="22">
        <v>45</v>
      </c>
      <c r="B50" s="19">
        <v>201.2</v>
      </c>
      <c r="C50" s="22">
        <v>94</v>
      </c>
      <c r="D50" s="19">
        <v>202.3</v>
      </c>
      <c r="E50" s="22">
        <f t="shared" si="0"/>
        <v>143</v>
      </c>
      <c r="F50" s="19">
        <v>199</v>
      </c>
      <c r="G50" s="33">
        <v>192</v>
      </c>
      <c r="H50" s="19">
        <v>204.5</v>
      </c>
      <c r="I50" s="20"/>
      <c r="J50" s="36"/>
      <c r="L50" s="22">
        <v>45</v>
      </c>
      <c r="M50" s="19"/>
      <c r="N50" s="22">
        <v>94</v>
      </c>
      <c r="O50" s="19">
        <v>202.3</v>
      </c>
      <c r="P50" s="22">
        <f t="shared" si="1"/>
        <v>143</v>
      </c>
      <c r="Q50" s="19"/>
      <c r="R50" s="33">
        <v>192</v>
      </c>
      <c r="S50" s="19"/>
      <c r="T50" s="20"/>
      <c r="U50" s="36"/>
      <c r="W50" s="22">
        <v>45</v>
      </c>
      <c r="X50" s="19">
        <v>201.2</v>
      </c>
      <c r="Y50" s="22">
        <v>94</v>
      </c>
      <c r="Z50" s="19"/>
      <c r="AA50" s="22">
        <f t="shared" si="2"/>
        <v>143</v>
      </c>
      <c r="AB50" s="19">
        <v>199</v>
      </c>
      <c r="AC50" s="33">
        <v>192</v>
      </c>
      <c r="AD50" s="19">
        <v>204.5</v>
      </c>
      <c r="AE50" s="20"/>
      <c r="AF50" s="36"/>
      <c r="AH50" s="22">
        <v>45</v>
      </c>
      <c r="AI50" s="19"/>
      <c r="AJ50" s="22">
        <v>94</v>
      </c>
      <c r="AK50" s="19"/>
      <c r="AL50" s="22">
        <f t="shared" si="3"/>
        <v>143</v>
      </c>
      <c r="AM50" s="19"/>
      <c r="AN50" s="33">
        <v>192</v>
      </c>
      <c r="AO50" s="19"/>
      <c r="AP50" s="20"/>
      <c r="AQ50" s="36"/>
    </row>
    <row r="51" spans="1:43" ht="15.75" x14ac:dyDescent="0.25">
      <c r="A51" s="22">
        <v>46</v>
      </c>
      <c r="B51" s="19">
        <v>203.7</v>
      </c>
      <c r="C51" s="22">
        <v>95</v>
      </c>
      <c r="D51" s="19">
        <v>203.8</v>
      </c>
      <c r="E51" s="22">
        <f t="shared" si="0"/>
        <v>144</v>
      </c>
      <c r="F51" s="19">
        <v>181.6</v>
      </c>
      <c r="G51" s="33">
        <v>193</v>
      </c>
      <c r="H51" s="19">
        <v>199.5</v>
      </c>
      <c r="I51" s="20"/>
      <c r="J51" s="36"/>
      <c r="L51" s="22">
        <v>46</v>
      </c>
      <c r="M51" s="19"/>
      <c r="N51" s="22">
        <v>95</v>
      </c>
      <c r="O51" s="19">
        <v>203.8</v>
      </c>
      <c r="P51" s="22">
        <f t="shared" si="1"/>
        <v>144</v>
      </c>
      <c r="Q51" s="19"/>
      <c r="R51" s="33">
        <v>193</v>
      </c>
      <c r="S51" s="19"/>
      <c r="T51" s="20"/>
      <c r="U51" s="36"/>
      <c r="W51" s="22">
        <v>46</v>
      </c>
      <c r="X51" s="19">
        <v>203.7</v>
      </c>
      <c r="Y51" s="22">
        <v>95</v>
      </c>
      <c r="Z51" s="19"/>
      <c r="AA51" s="22">
        <f t="shared" si="2"/>
        <v>144</v>
      </c>
      <c r="AB51" s="19">
        <v>181.6</v>
      </c>
      <c r="AC51" s="33">
        <v>193</v>
      </c>
      <c r="AD51" s="19">
        <v>199.5</v>
      </c>
      <c r="AE51" s="20"/>
      <c r="AF51" s="36"/>
      <c r="AH51" s="22">
        <v>46</v>
      </c>
      <c r="AI51" s="19"/>
      <c r="AJ51" s="22">
        <v>95</v>
      </c>
      <c r="AK51" s="19"/>
      <c r="AL51" s="22">
        <f t="shared" si="3"/>
        <v>144</v>
      </c>
      <c r="AM51" s="19"/>
      <c r="AN51" s="33">
        <v>193</v>
      </c>
      <c r="AO51" s="19"/>
      <c r="AP51" s="20"/>
      <c r="AQ51" s="36"/>
    </row>
    <row r="52" spans="1:43" ht="15.75" x14ac:dyDescent="0.25">
      <c r="A52" s="22">
        <v>47</v>
      </c>
      <c r="B52" s="19">
        <v>201.4</v>
      </c>
      <c r="C52" s="22">
        <v>96</v>
      </c>
      <c r="D52" s="19">
        <v>211.4</v>
      </c>
      <c r="E52" s="22">
        <f t="shared" si="0"/>
        <v>145</v>
      </c>
      <c r="F52" s="19">
        <v>204</v>
      </c>
      <c r="G52" s="33">
        <v>194</v>
      </c>
      <c r="H52" s="19">
        <v>207.6</v>
      </c>
      <c r="I52" s="21"/>
      <c r="J52" s="36"/>
      <c r="L52" s="22">
        <v>47</v>
      </c>
      <c r="M52" s="19"/>
      <c r="N52" s="22">
        <v>96</v>
      </c>
      <c r="O52" s="19">
        <v>211.4</v>
      </c>
      <c r="P52" s="22">
        <f t="shared" si="1"/>
        <v>145</v>
      </c>
      <c r="Q52" s="19"/>
      <c r="R52" s="33">
        <v>194</v>
      </c>
      <c r="S52" s="19"/>
      <c r="T52" s="21"/>
      <c r="U52" s="36"/>
      <c r="W52" s="22">
        <v>47</v>
      </c>
      <c r="X52" s="19">
        <v>201.4</v>
      </c>
      <c r="Y52" s="22">
        <v>96</v>
      </c>
      <c r="Z52" s="19"/>
      <c r="AA52" s="22">
        <f t="shared" si="2"/>
        <v>145</v>
      </c>
      <c r="AB52" s="19">
        <v>204</v>
      </c>
      <c r="AC52" s="33">
        <v>194</v>
      </c>
      <c r="AD52" s="19">
        <v>207.6</v>
      </c>
      <c r="AE52" s="21"/>
      <c r="AF52" s="36"/>
      <c r="AH52" s="22">
        <v>47</v>
      </c>
      <c r="AI52" s="19"/>
      <c r="AJ52" s="22">
        <v>96</v>
      </c>
      <c r="AK52" s="19"/>
      <c r="AL52" s="22">
        <f t="shared" si="3"/>
        <v>145</v>
      </c>
      <c r="AM52" s="19"/>
      <c r="AN52" s="33">
        <v>194</v>
      </c>
      <c r="AO52" s="19"/>
      <c r="AP52" s="21"/>
      <c r="AQ52" s="36"/>
    </row>
    <row r="53" spans="1:43" ht="15.75" x14ac:dyDescent="0.25">
      <c r="A53" s="22">
        <v>48</v>
      </c>
      <c r="B53" s="19">
        <v>202.6</v>
      </c>
      <c r="C53" s="22">
        <v>97</v>
      </c>
      <c r="D53" s="19">
        <v>196.2</v>
      </c>
      <c r="E53" s="22">
        <f t="shared" si="0"/>
        <v>146</v>
      </c>
      <c r="F53" s="19">
        <v>211.1</v>
      </c>
      <c r="G53" s="33">
        <v>195</v>
      </c>
      <c r="H53" s="19">
        <v>170</v>
      </c>
      <c r="I53" s="20"/>
      <c r="J53" s="36"/>
      <c r="L53" s="22">
        <v>48</v>
      </c>
      <c r="M53" s="19"/>
      <c r="N53" s="22">
        <v>97</v>
      </c>
      <c r="O53" s="19">
        <v>196.2</v>
      </c>
      <c r="P53" s="22">
        <f t="shared" si="1"/>
        <v>146</v>
      </c>
      <c r="Q53" s="19"/>
      <c r="R53" s="33">
        <v>195</v>
      </c>
      <c r="S53" s="19"/>
      <c r="T53" s="20"/>
      <c r="U53" s="36"/>
      <c r="W53" s="22">
        <v>48</v>
      </c>
      <c r="X53" s="19">
        <v>202.6</v>
      </c>
      <c r="Y53" s="22">
        <v>97</v>
      </c>
      <c r="Z53" s="19"/>
      <c r="AA53" s="22">
        <f t="shared" si="2"/>
        <v>146</v>
      </c>
      <c r="AB53" s="19">
        <v>211.1</v>
      </c>
      <c r="AC53" s="33">
        <v>195</v>
      </c>
      <c r="AD53" s="19">
        <v>170</v>
      </c>
      <c r="AE53" s="20"/>
      <c r="AF53" s="36"/>
      <c r="AH53" s="22">
        <v>48</v>
      </c>
      <c r="AI53" s="19"/>
      <c r="AJ53" s="22">
        <v>97</v>
      </c>
      <c r="AK53" s="19"/>
      <c r="AL53" s="22">
        <f t="shared" si="3"/>
        <v>146</v>
      </c>
      <c r="AM53" s="19"/>
      <c r="AN53" s="33">
        <v>195</v>
      </c>
      <c r="AO53" s="19"/>
      <c r="AP53" s="20"/>
      <c r="AQ53" s="36"/>
    </row>
    <row r="54" spans="1:43" ht="15.75" x14ac:dyDescent="0.25">
      <c r="A54" s="37">
        <v>49</v>
      </c>
      <c r="B54" s="19">
        <v>200.2</v>
      </c>
      <c r="C54" s="37">
        <v>98</v>
      </c>
      <c r="D54" s="19">
        <v>208.3</v>
      </c>
      <c r="E54" s="22">
        <f t="shared" si="0"/>
        <v>147</v>
      </c>
      <c r="F54" s="19">
        <v>207.1</v>
      </c>
      <c r="G54" s="38">
        <v>196</v>
      </c>
      <c r="H54" s="19">
        <v>208.1</v>
      </c>
      <c r="I54" s="39"/>
      <c r="J54" s="40"/>
      <c r="L54" s="37">
        <v>49</v>
      </c>
      <c r="M54" s="19"/>
      <c r="N54" s="37">
        <v>98</v>
      </c>
      <c r="O54" s="19">
        <v>208.3</v>
      </c>
      <c r="P54" s="22">
        <f t="shared" si="1"/>
        <v>147</v>
      </c>
      <c r="Q54" s="19"/>
      <c r="R54" s="38">
        <v>196</v>
      </c>
      <c r="S54" s="19"/>
      <c r="T54" s="39"/>
      <c r="U54" s="40"/>
      <c r="W54" s="37">
        <v>49</v>
      </c>
      <c r="X54" s="19">
        <v>200.2</v>
      </c>
      <c r="Y54" s="37">
        <v>98</v>
      </c>
      <c r="Z54" s="19"/>
      <c r="AA54" s="22">
        <f t="shared" si="2"/>
        <v>147</v>
      </c>
      <c r="AB54" s="19">
        <v>207.1</v>
      </c>
      <c r="AC54" s="38">
        <v>196</v>
      </c>
      <c r="AD54" s="19">
        <v>208.1</v>
      </c>
      <c r="AE54" s="39"/>
      <c r="AF54" s="40"/>
      <c r="AH54" s="37">
        <v>49</v>
      </c>
      <c r="AI54" s="19"/>
      <c r="AJ54" s="37">
        <v>98</v>
      </c>
      <c r="AK54" s="19"/>
      <c r="AL54" s="22">
        <f t="shared" si="3"/>
        <v>147</v>
      </c>
      <c r="AM54" s="19"/>
      <c r="AN54" s="38">
        <v>196</v>
      </c>
      <c r="AO54" s="19"/>
      <c r="AP54" s="39"/>
      <c r="AQ54" s="40"/>
    </row>
    <row r="55" spans="1:43" ht="15.75" x14ac:dyDescent="0.25">
      <c r="A55" s="41"/>
      <c r="B55" s="23">
        <f>SUM(B6:B54)</f>
        <v>10162.200000000004</v>
      </c>
      <c r="C55" s="23"/>
      <c r="D55" s="23">
        <f>SUM(D6:D54)</f>
        <v>9930.9</v>
      </c>
      <c r="E55" s="23"/>
      <c r="F55" s="23">
        <f>SUM(F6:F54)</f>
        <v>10089.200000000004</v>
      </c>
      <c r="G55" s="23"/>
      <c r="H55" s="23">
        <f>SUM(H6:H54)</f>
        <v>9769.6</v>
      </c>
      <c r="I55" s="41"/>
      <c r="J55" s="41">
        <f>SUM(J6:J54)</f>
        <v>4885.5</v>
      </c>
      <c r="L55" s="41"/>
      <c r="M55" s="23">
        <f>SUM(M6:M54)</f>
        <v>0</v>
      </c>
      <c r="N55" s="23"/>
      <c r="O55" s="23">
        <f>SUM(O6:O54)</f>
        <v>9731.9</v>
      </c>
      <c r="P55" s="23"/>
      <c r="Q55" s="23">
        <f>SUM(Q6:Q54)</f>
        <v>8697.1000000000022</v>
      </c>
      <c r="R55" s="23"/>
      <c r="S55" s="23">
        <f>SUM(S6:S54)</f>
        <v>0</v>
      </c>
      <c r="T55" s="41"/>
      <c r="U55" s="41">
        <f>SUM(U6:U54)</f>
        <v>0</v>
      </c>
      <c r="W55" s="41"/>
      <c r="X55" s="23">
        <f>SUM(X6:X54)</f>
        <v>8046.8</v>
      </c>
      <c r="Y55" s="23"/>
      <c r="Z55" s="23">
        <f>SUM(Z6:Z54)</f>
        <v>199</v>
      </c>
      <c r="AA55" s="23"/>
      <c r="AB55" s="23">
        <f>SUM(AB6:AB54)</f>
        <v>1392.1</v>
      </c>
      <c r="AC55" s="23"/>
      <c r="AD55" s="23">
        <f>SUM(AD6:AD54)</f>
        <v>9769.6</v>
      </c>
      <c r="AE55" s="41"/>
      <c r="AF55" s="41">
        <f>SUM(AF6:AF54)</f>
        <v>4885.5</v>
      </c>
      <c r="AH55" s="41"/>
      <c r="AI55" s="23">
        <f>SUM(AI6:AI54)</f>
        <v>2115.4</v>
      </c>
      <c r="AJ55" s="23"/>
      <c r="AK55" s="23">
        <f>SUM(AK6:AK54)</f>
        <v>0</v>
      </c>
      <c r="AL55" s="23"/>
      <c r="AM55" s="23">
        <f>SUM(AM6:AM54)</f>
        <v>0</v>
      </c>
      <c r="AN55" s="23"/>
      <c r="AO55" s="23">
        <f>SUM(AO6:AO54)</f>
        <v>0</v>
      </c>
      <c r="AP55" s="41"/>
      <c r="AQ55" s="41">
        <f>SUM(AQ6:AQ54)</f>
        <v>0</v>
      </c>
    </row>
    <row r="56" spans="1:43" ht="15.75" x14ac:dyDescent="0.25">
      <c r="A56" s="42" t="s">
        <v>5</v>
      </c>
      <c r="B56" s="43">
        <f>COUNT(B6:B54,D6:D54,F6:F54,H6:H54,J6:J54)</f>
        <v>220</v>
      </c>
      <c r="C56" s="13" t="s">
        <v>6</v>
      </c>
      <c r="D56" s="44"/>
      <c r="E56" s="45">
        <f>B55+D55+F55+H55+J55</f>
        <v>44837.400000000009</v>
      </c>
      <c r="F56" s="24" t="s">
        <v>7</v>
      </c>
      <c r="G56" s="1">
        <f>B56*2.2</f>
        <v>484.00000000000006</v>
      </c>
      <c r="H56" s="13" t="s">
        <v>8</v>
      </c>
      <c r="I56" s="44"/>
      <c r="J56" s="45">
        <f>E56-G56</f>
        <v>44353.400000000009</v>
      </c>
      <c r="L56" s="42" t="s">
        <v>5</v>
      </c>
      <c r="M56" s="43">
        <f>COUNT(M6:M54,O6:O54,Q6:Q54,S6:S54,U6:U54)</f>
        <v>90</v>
      </c>
      <c r="N56" s="13" t="s">
        <v>6</v>
      </c>
      <c r="O56" s="44"/>
      <c r="P56" s="45">
        <f>M55+O55+Q55+S55+U55</f>
        <v>18429</v>
      </c>
      <c r="Q56" s="24" t="s">
        <v>7</v>
      </c>
      <c r="R56" s="1">
        <f>M56*2.2</f>
        <v>198.00000000000003</v>
      </c>
      <c r="S56" s="13" t="s">
        <v>8</v>
      </c>
      <c r="T56" s="44"/>
      <c r="U56" s="45">
        <f>P56-R56</f>
        <v>18231</v>
      </c>
      <c r="W56" s="42" t="s">
        <v>5</v>
      </c>
      <c r="X56" s="43">
        <f>COUNT(X6:X54,Z6:Z54,AB6:AB54,AD6:AD54,AF6:AF54)</f>
        <v>120</v>
      </c>
      <c r="Y56" s="13" t="s">
        <v>6</v>
      </c>
      <c r="Z56" s="44"/>
      <c r="AA56" s="45">
        <f>X55+Z55+AB55+AD55+AF55</f>
        <v>24293</v>
      </c>
      <c r="AB56" s="24" t="s">
        <v>7</v>
      </c>
      <c r="AC56" s="1">
        <f>X56*2.2</f>
        <v>264</v>
      </c>
      <c r="AD56" s="13" t="s">
        <v>8</v>
      </c>
      <c r="AE56" s="44"/>
      <c r="AF56" s="45">
        <f>AA56-AC56</f>
        <v>24029</v>
      </c>
      <c r="AH56" s="42" t="s">
        <v>5</v>
      </c>
      <c r="AI56" s="43">
        <f>COUNT(AI6:AI54,AK6:AK54,AM6:AM54,AO6:AO54,AQ6:AQ54)</f>
        <v>10</v>
      </c>
      <c r="AJ56" s="13" t="s">
        <v>6</v>
      </c>
      <c r="AK56" s="44"/>
      <c r="AL56" s="45">
        <f>AI55+AK55+AM55+AO55+AQ55</f>
        <v>2115.4</v>
      </c>
      <c r="AM56" s="24" t="s">
        <v>7</v>
      </c>
      <c r="AN56" s="1">
        <f>AI56*2.2</f>
        <v>22</v>
      </c>
      <c r="AO56" s="13" t="s">
        <v>8</v>
      </c>
      <c r="AP56" s="44"/>
      <c r="AQ56" s="45">
        <f>AL56-AN56</f>
        <v>2093.4</v>
      </c>
    </row>
    <row r="57" spans="1:43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  <c r="L57" s="42" t="s">
        <v>9</v>
      </c>
      <c r="M57" s="25"/>
      <c r="N57" s="46"/>
      <c r="O57" s="44"/>
      <c r="P57" s="47"/>
      <c r="Q57" s="25"/>
      <c r="R57" s="48"/>
      <c r="S57" s="46"/>
      <c r="T57" s="44"/>
      <c r="U57" s="49"/>
      <c r="W57" s="42" t="s">
        <v>9</v>
      </c>
      <c r="X57" s="25"/>
      <c r="Y57" s="46"/>
      <c r="Z57" s="44"/>
      <c r="AA57" s="47"/>
      <c r="AB57" s="25"/>
      <c r="AC57" s="48"/>
      <c r="AD57" s="46"/>
      <c r="AE57" s="44"/>
      <c r="AF57" s="49"/>
      <c r="AH57" s="42" t="s">
        <v>9</v>
      </c>
      <c r="AI57" s="25"/>
      <c r="AJ57" s="46"/>
      <c r="AK57" s="44"/>
      <c r="AL57" s="47"/>
      <c r="AM57" s="25"/>
      <c r="AN57" s="48"/>
      <c r="AO57" s="46"/>
      <c r="AP57" s="44"/>
      <c r="AQ57" s="49"/>
    </row>
    <row r="58" spans="1:43" x14ac:dyDescent="0.25">
      <c r="B58">
        <f>M56+X56+AI56</f>
        <v>220</v>
      </c>
      <c r="E58" s="80">
        <f>P56+AA56+AL56</f>
        <v>44837.4</v>
      </c>
      <c r="J58" s="80">
        <f>U56+AF56+AQ56</f>
        <v>44353.4</v>
      </c>
    </row>
    <row r="59" spans="1:43" x14ac:dyDescent="0.25">
      <c r="F59" s="112" t="s">
        <v>61</v>
      </c>
      <c r="G59" s="112">
        <v>2.2000000000000002</v>
      </c>
      <c r="Q59" s="112" t="s">
        <v>61</v>
      </c>
      <c r="R59" s="112">
        <v>2.2000000000000002</v>
      </c>
      <c r="AB59" s="112" t="s">
        <v>61</v>
      </c>
      <c r="AC59" s="112">
        <v>2.2000000000000002</v>
      </c>
      <c r="AM59" s="112" t="s">
        <v>61</v>
      </c>
      <c r="AN59" s="112">
        <v>2.2000000000000002</v>
      </c>
    </row>
  </sheetData>
  <protectedRanges>
    <protectedRange password="CCE1" sqref="C6:C54 G6:G54 E6:E54 I6:I29 N6:N54 R6:R54 P6:P54 T6:T29 Y6:Y54 AC6:AC54 AA6:AA54 AE6:AE29 AJ6:AJ54 AN6:AN54 AL6:AL54 AP6:AP29" name="Диапазон1_3_1_7_2_1_1_1_1_1_1_1"/>
  </protectedRanges>
  <mergeCells count="8">
    <mergeCell ref="AH1:AQ1"/>
    <mergeCell ref="AP4:AQ4"/>
    <mergeCell ref="A1:J1"/>
    <mergeCell ref="I4:J4"/>
    <mergeCell ref="L1:U1"/>
    <mergeCell ref="T4:U4"/>
    <mergeCell ref="W1:AF1"/>
    <mergeCell ref="AE4:AF4"/>
  </mergeCells>
  <pageMargins left="0.7" right="0.7" top="0.75" bottom="0.75" header="0.3" footer="0.3"/>
  <pageSetup paperSize="9" scale="83" orientation="portrait" verticalDpi="0" r:id="rId1"/>
  <colBreaks count="3" manualBreakCount="3">
    <brk id="10" max="56" man="1"/>
    <brk id="21" max="56" man="1"/>
    <brk id="32" max="56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9"/>
  <sheetViews>
    <sheetView topLeftCell="A16" zoomScale="90" zoomScaleNormal="90" workbookViewId="0">
      <selection activeCell="J59" sqref="J59"/>
    </sheetView>
  </sheetViews>
  <sheetFormatPr defaultRowHeight="15" x14ac:dyDescent="0.25"/>
  <cols>
    <col min="11" max="11" width="1.85546875" customWidth="1"/>
    <col min="22" max="22" width="2" customWidth="1"/>
    <col min="33" max="33" width="3.42578125" customWidth="1"/>
  </cols>
  <sheetData>
    <row r="1" spans="1:43" ht="18.75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L1" s="204" t="s">
        <v>0</v>
      </c>
      <c r="M1" s="204"/>
      <c r="N1" s="204"/>
      <c r="O1" s="204"/>
      <c r="P1" s="204"/>
      <c r="Q1" s="204"/>
      <c r="R1" s="204"/>
      <c r="S1" s="204"/>
      <c r="T1" s="204"/>
      <c r="U1" s="204"/>
      <c r="W1" s="204" t="s">
        <v>0</v>
      </c>
      <c r="X1" s="204"/>
      <c r="Y1" s="204"/>
      <c r="Z1" s="204"/>
      <c r="AA1" s="204"/>
      <c r="AB1" s="204"/>
      <c r="AC1" s="204"/>
      <c r="AD1" s="204"/>
      <c r="AE1" s="204"/>
      <c r="AF1" s="204"/>
      <c r="AH1" s="204" t="s">
        <v>0</v>
      </c>
      <c r="AI1" s="204"/>
      <c r="AJ1" s="204"/>
      <c r="AK1" s="204"/>
      <c r="AL1" s="204"/>
      <c r="AM1" s="204"/>
      <c r="AN1" s="204"/>
      <c r="AO1" s="204"/>
      <c r="AP1" s="204"/>
      <c r="AQ1" s="204"/>
    </row>
    <row r="2" spans="1:43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  <c r="L2" s="13" t="s">
        <v>1</v>
      </c>
      <c r="M2" s="13"/>
      <c r="N2" s="13"/>
      <c r="O2" s="13"/>
      <c r="P2" s="13"/>
      <c r="Q2" s="13"/>
      <c r="R2" s="27"/>
      <c r="S2" s="13"/>
      <c r="T2" s="13"/>
      <c r="U2" s="13"/>
      <c r="W2" s="13" t="s">
        <v>1</v>
      </c>
      <c r="X2" s="13"/>
      <c r="Y2" s="13"/>
      <c r="Z2" s="13"/>
      <c r="AA2" s="13"/>
      <c r="AB2" s="13"/>
      <c r="AC2" s="27"/>
      <c r="AD2" s="13"/>
      <c r="AE2" s="13"/>
      <c r="AF2" s="13"/>
      <c r="AH2" s="13" t="s">
        <v>1</v>
      </c>
      <c r="AI2" s="13"/>
      <c r="AJ2" s="13"/>
      <c r="AK2" s="13"/>
      <c r="AL2" s="13"/>
      <c r="AM2" s="13"/>
      <c r="AN2" s="27"/>
      <c r="AO2" s="13"/>
      <c r="AP2" s="13"/>
      <c r="AQ2" s="13"/>
    </row>
    <row r="3" spans="1:43" ht="15.75" x14ac:dyDescent="0.25">
      <c r="A3" s="25" t="s">
        <v>2</v>
      </c>
      <c r="B3" s="27">
        <v>229</v>
      </c>
      <c r="C3" s="14"/>
      <c r="D3" s="15"/>
      <c r="E3" s="16"/>
      <c r="F3" s="16"/>
      <c r="G3" s="16"/>
      <c r="H3" s="16"/>
      <c r="I3" s="16" t="s">
        <v>33</v>
      </c>
      <c r="J3" s="16"/>
      <c r="L3" s="25" t="s">
        <v>2</v>
      </c>
      <c r="M3" s="27">
        <v>229</v>
      </c>
      <c r="N3" s="14"/>
      <c r="O3" s="15"/>
      <c r="P3" s="16"/>
      <c r="Q3" s="16"/>
      <c r="R3" s="16"/>
      <c r="S3" s="16"/>
      <c r="T3" s="16" t="s">
        <v>33</v>
      </c>
      <c r="U3" s="16"/>
      <c r="W3" s="25" t="s">
        <v>2</v>
      </c>
      <c r="X3" s="27">
        <v>229</v>
      </c>
      <c r="Y3" s="14"/>
      <c r="Z3" s="15"/>
      <c r="AA3" s="16"/>
      <c r="AB3" s="16"/>
      <c r="AC3" s="16"/>
      <c r="AD3" s="16"/>
      <c r="AE3" s="16" t="s">
        <v>33</v>
      </c>
      <c r="AF3" s="16"/>
      <c r="AH3" s="25" t="s">
        <v>2</v>
      </c>
      <c r="AI3" s="27">
        <v>229</v>
      </c>
      <c r="AJ3" s="14"/>
      <c r="AK3" s="15"/>
      <c r="AL3" s="16"/>
      <c r="AM3" s="16"/>
      <c r="AN3" s="16"/>
      <c r="AO3" s="16"/>
      <c r="AP3" s="16" t="s">
        <v>33</v>
      </c>
      <c r="AQ3" s="16"/>
    </row>
    <row r="4" spans="1:43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  <c r="L4" s="17"/>
      <c r="M4" s="17"/>
      <c r="N4" s="17"/>
      <c r="O4" s="17"/>
      <c r="P4" s="17"/>
      <c r="Q4" s="17"/>
      <c r="R4" s="17"/>
      <c r="S4" s="28"/>
      <c r="T4" s="205" t="s">
        <v>48</v>
      </c>
      <c r="U4" s="206"/>
      <c r="W4" s="17"/>
      <c r="X4" s="17"/>
      <c r="Y4" s="17"/>
      <c r="Z4" s="17"/>
      <c r="AA4" s="17"/>
      <c r="AB4" s="17"/>
      <c r="AC4" s="17"/>
      <c r="AD4" s="28"/>
      <c r="AE4" s="205" t="s">
        <v>50</v>
      </c>
      <c r="AF4" s="206"/>
      <c r="AH4" s="17"/>
      <c r="AI4" s="17"/>
      <c r="AJ4" s="17"/>
      <c r="AK4" s="17"/>
      <c r="AL4" s="17"/>
      <c r="AM4" s="17"/>
      <c r="AN4" s="17"/>
      <c r="AO4" s="28"/>
      <c r="AP4" s="205" t="s">
        <v>47</v>
      </c>
      <c r="AQ4" s="206"/>
    </row>
    <row r="5" spans="1:43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  <c r="L5" s="29" t="s">
        <v>3</v>
      </c>
      <c r="M5" s="18" t="s">
        <v>4</v>
      </c>
      <c r="N5" s="29" t="s">
        <v>3</v>
      </c>
      <c r="O5" s="18" t="s">
        <v>4</v>
      </c>
      <c r="P5" s="29" t="s">
        <v>3</v>
      </c>
      <c r="Q5" s="18" t="s">
        <v>4</v>
      </c>
      <c r="R5" s="29" t="s">
        <v>3</v>
      </c>
      <c r="S5" s="30" t="s">
        <v>4</v>
      </c>
      <c r="T5" s="31" t="s">
        <v>3</v>
      </c>
      <c r="U5" s="32" t="s">
        <v>4</v>
      </c>
      <c r="W5" s="29" t="s">
        <v>3</v>
      </c>
      <c r="X5" s="18" t="s">
        <v>4</v>
      </c>
      <c r="Y5" s="29" t="s">
        <v>3</v>
      </c>
      <c r="Z5" s="18" t="s">
        <v>4</v>
      </c>
      <c r="AA5" s="29" t="s">
        <v>3</v>
      </c>
      <c r="AB5" s="18" t="s">
        <v>4</v>
      </c>
      <c r="AC5" s="29" t="s">
        <v>3</v>
      </c>
      <c r="AD5" s="30" t="s">
        <v>4</v>
      </c>
      <c r="AE5" s="31" t="s">
        <v>3</v>
      </c>
      <c r="AF5" s="32" t="s">
        <v>4</v>
      </c>
      <c r="AH5" s="29" t="s">
        <v>3</v>
      </c>
      <c r="AI5" s="18" t="s">
        <v>4</v>
      </c>
      <c r="AJ5" s="29" t="s">
        <v>3</v>
      </c>
      <c r="AK5" s="18" t="s">
        <v>4</v>
      </c>
      <c r="AL5" s="29" t="s">
        <v>3</v>
      </c>
      <c r="AM5" s="18" t="s">
        <v>4</v>
      </c>
      <c r="AN5" s="29" t="s">
        <v>3</v>
      </c>
      <c r="AO5" s="30" t="s">
        <v>4</v>
      </c>
      <c r="AP5" s="31" t="s">
        <v>3</v>
      </c>
      <c r="AQ5" s="32" t="s">
        <v>4</v>
      </c>
    </row>
    <row r="6" spans="1:43" ht="15.75" x14ac:dyDescent="0.25">
      <c r="A6" s="22">
        <v>1</v>
      </c>
      <c r="B6" s="19">
        <v>206.7</v>
      </c>
      <c r="C6" s="22">
        <v>50</v>
      </c>
      <c r="D6" s="19">
        <v>203.5</v>
      </c>
      <c r="E6" s="22">
        <v>99</v>
      </c>
      <c r="F6" s="19">
        <v>208.1</v>
      </c>
      <c r="G6" s="33">
        <v>148</v>
      </c>
      <c r="H6" s="19">
        <v>205.6</v>
      </c>
      <c r="I6" s="34">
        <v>197</v>
      </c>
      <c r="J6" s="19">
        <v>207.8</v>
      </c>
      <c r="L6" s="22">
        <v>1</v>
      </c>
      <c r="M6" s="19"/>
      <c r="N6" s="22">
        <v>50</v>
      </c>
      <c r="O6" s="19"/>
      <c r="P6" s="22">
        <v>99</v>
      </c>
      <c r="Q6" s="19"/>
      <c r="R6" s="33">
        <v>148</v>
      </c>
      <c r="S6" s="19">
        <v>205.6</v>
      </c>
      <c r="T6" s="34">
        <v>197</v>
      </c>
      <c r="U6" s="19"/>
      <c r="W6" s="22">
        <v>1</v>
      </c>
      <c r="X6" s="19">
        <v>206.7</v>
      </c>
      <c r="Y6" s="22">
        <v>50</v>
      </c>
      <c r="Z6" s="19">
        <v>203.5</v>
      </c>
      <c r="AA6" s="22">
        <v>99</v>
      </c>
      <c r="AB6" s="19"/>
      <c r="AC6" s="33">
        <v>148</v>
      </c>
      <c r="AD6" s="19"/>
      <c r="AE6" s="34">
        <v>197</v>
      </c>
      <c r="AF6" s="19">
        <v>207.8</v>
      </c>
      <c r="AH6" s="22">
        <v>1</v>
      </c>
      <c r="AI6" s="19"/>
      <c r="AJ6" s="22">
        <v>50</v>
      </c>
      <c r="AK6" s="19"/>
      <c r="AL6" s="22">
        <v>99</v>
      </c>
      <c r="AM6" s="19">
        <v>208.1</v>
      </c>
      <c r="AN6" s="33">
        <v>148</v>
      </c>
      <c r="AO6" s="19"/>
      <c r="AP6" s="34">
        <v>197</v>
      </c>
      <c r="AQ6" s="19"/>
    </row>
    <row r="7" spans="1:43" ht="15.75" x14ac:dyDescent="0.25">
      <c r="A7" s="22">
        <v>2</v>
      </c>
      <c r="B7" s="19">
        <v>210.8</v>
      </c>
      <c r="C7" s="22">
        <v>51</v>
      </c>
      <c r="D7" s="19">
        <v>208.1</v>
      </c>
      <c r="E7" s="22">
        <v>100</v>
      </c>
      <c r="F7" s="19">
        <v>205.9</v>
      </c>
      <c r="G7" s="33">
        <v>149</v>
      </c>
      <c r="H7" s="19">
        <v>209.5</v>
      </c>
      <c r="I7" s="33">
        <v>198</v>
      </c>
      <c r="J7" s="19">
        <v>214.4</v>
      </c>
      <c r="L7" s="22">
        <v>2</v>
      </c>
      <c r="M7" s="19"/>
      <c r="N7" s="22">
        <v>51</v>
      </c>
      <c r="O7" s="19"/>
      <c r="P7" s="22">
        <v>100</v>
      </c>
      <c r="Q7" s="19"/>
      <c r="R7" s="33">
        <v>149</v>
      </c>
      <c r="S7" s="19">
        <v>209.5</v>
      </c>
      <c r="T7" s="33">
        <v>198</v>
      </c>
      <c r="U7" s="19"/>
      <c r="W7" s="22">
        <v>2</v>
      </c>
      <c r="X7" s="19">
        <v>210.8</v>
      </c>
      <c r="Y7" s="22">
        <v>51</v>
      </c>
      <c r="Z7" s="19">
        <v>208.1</v>
      </c>
      <c r="AA7" s="22">
        <v>100</v>
      </c>
      <c r="AB7" s="19"/>
      <c r="AC7" s="33">
        <v>149</v>
      </c>
      <c r="AD7" s="19"/>
      <c r="AE7" s="33">
        <v>198</v>
      </c>
      <c r="AF7" s="19">
        <v>214.4</v>
      </c>
      <c r="AH7" s="22">
        <v>2</v>
      </c>
      <c r="AI7" s="19"/>
      <c r="AJ7" s="22">
        <v>51</v>
      </c>
      <c r="AK7" s="19"/>
      <c r="AL7" s="22">
        <v>100</v>
      </c>
      <c r="AM7" s="19">
        <v>205.9</v>
      </c>
      <c r="AN7" s="33">
        <v>149</v>
      </c>
      <c r="AO7" s="19"/>
      <c r="AP7" s="33">
        <v>198</v>
      </c>
      <c r="AQ7" s="19"/>
    </row>
    <row r="8" spans="1:43" ht="15.75" x14ac:dyDescent="0.25">
      <c r="A8" s="22">
        <v>3</v>
      </c>
      <c r="B8" s="19">
        <v>211.1</v>
      </c>
      <c r="C8" s="22">
        <v>52</v>
      </c>
      <c r="D8" s="19">
        <v>214.1</v>
      </c>
      <c r="E8" s="22">
        <f t="shared" ref="E8:E54" si="0">+E7+1</f>
        <v>101</v>
      </c>
      <c r="F8" s="19">
        <v>202.3</v>
      </c>
      <c r="G8" s="33">
        <v>150</v>
      </c>
      <c r="H8" s="19">
        <v>177.5</v>
      </c>
      <c r="I8" s="33">
        <v>199</v>
      </c>
      <c r="J8" s="19">
        <v>218.9</v>
      </c>
      <c r="L8" s="22">
        <v>3</v>
      </c>
      <c r="M8" s="19"/>
      <c r="N8" s="22">
        <v>52</v>
      </c>
      <c r="O8" s="19"/>
      <c r="P8" s="22">
        <f t="shared" ref="P8:P54" si="1">+P7+1</f>
        <v>101</v>
      </c>
      <c r="Q8" s="19"/>
      <c r="R8" s="33">
        <v>150</v>
      </c>
      <c r="S8" s="19">
        <v>177.5</v>
      </c>
      <c r="T8" s="33">
        <v>199</v>
      </c>
      <c r="U8" s="19"/>
      <c r="W8" s="22">
        <v>3</v>
      </c>
      <c r="X8" s="19">
        <v>211.1</v>
      </c>
      <c r="Y8" s="22">
        <v>52</v>
      </c>
      <c r="Z8" s="19">
        <v>214.1</v>
      </c>
      <c r="AA8" s="22">
        <f t="shared" ref="AA8:AA54" si="2">+AA7+1</f>
        <v>101</v>
      </c>
      <c r="AB8" s="19"/>
      <c r="AC8" s="33">
        <v>150</v>
      </c>
      <c r="AD8" s="19"/>
      <c r="AE8" s="33">
        <v>199</v>
      </c>
      <c r="AF8" s="19">
        <v>218.9</v>
      </c>
      <c r="AH8" s="22">
        <v>3</v>
      </c>
      <c r="AI8" s="19"/>
      <c r="AJ8" s="22">
        <v>52</v>
      </c>
      <c r="AK8" s="19"/>
      <c r="AL8" s="22">
        <f t="shared" ref="AL8:AL54" si="3">+AL7+1</f>
        <v>101</v>
      </c>
      <c r="AM8" s="19">
        <v>202.3</v>
      </c>
      <c r="AN8" s="33">
        <v>150</v>
      </c>
      <c r="AO8" s="19"/>
      <c r="AP8" s="33">
        <v>199</v>
      </c>
      <c r="AQ8" s="19"/>
    </row>
    <row r="9" spans="1:43" ht="15.75" x14ac:dyDescent="0.25">
      <c r="A9" s="22">
        <v>4</v>
      </c>
      <c r="B9" s="19">
        <v>204.7</v>
      </c>
      <c r="C9" s="22">
        <v>53</v>
      </c>
      <c r="D9" s="19">
        <v>203.6</v>
      </c>
      <c r="E9" s="22">
        <f t="shared" si="0"/>
        <v>102</v>
      </c>
      <c r="F9" s="19">
        <v>223.3</v>
      </c>
      <c r="G9" s="33">
        <v>151</v>
      </c>
      <c r="H9" s="19">
        <v>204.2</v>
      </c>
      <c r="I9" s="33">
        <v>200</v>
      </c>
      <c r="J9" s="19">
        <v>213.8</v>
      </c>
      <c r="L9" s="22">
        <v>4</v>
      </c>
      <c r="M9" s="19"/>
      <c r="N9" s="22">
        <v>53</v>
      </c>
      <c r="O9" s="19"/>
      <c r="P9" s="22">
        <f t="shared" si="1"/>
        <v>102</v>
      </c>
      <c r="Q9" s="19"/>
      <c r="R9" s="33">
        <v>151</v>
      </c>
      <c r="S9" s="19">
        <v>204.2</v>
      </c>
      <c r="T9" s="33">
        <v>200</v>
      </c>
      <c r="U9" s="19"/>
      <c r="W9" s="22">
        <v>4</v>
      </c>
      <c r="X9" s="19">
        <v>204.7</v>
      </c>
      <c r="Y9" s="22">
        <v>53</v>
      </c>
      <c r="Z9" s="19">
        <v>203.6</v>
      </c>
      <c r="AA9" s="22">
        <f t="shared" si="2"/>
        <v>102</v>
      </c>
      <c r="AB9" s="19"/>
      <c r="AC9" s="33">
        <v>151</v>
      </c>
      <c r="AD9" s="19"/>
      <c r="AE9" s="33">
        <v>200</v>
      </c>
      <c r="AF9" s="19">
        <v>213.8</v>
      </c>
      <c r="AH9" s="22">
        <v>4</v>
      </c>
      <c r="AI9" s="19"/>
      <c r="AJ9" s="22">
        <v>53</v>
      </c>
      <c r="AK9" s="19"/>
      <c r="AL9" s="22">
        <f t="shared" si="3"/>
        <v>102</v>
      </c>
      <c r="AM9" s="19">
        <v>223.3</v>
      </c>
      <c r="AN9" s="33">
        <v>151</v>
      </c>
      <c r="AO9" s="19"/>
      <c r="AP9" s="33">
        <v>200</v>
      </c>
      <c r="AQ9" s="19"/>
    </row>
    <row r="10" spans="1:43" ht="15.75" x14ac:dyDescent="0.25">
      <c r="A10" s="22">
        <v>5</v>
      </c>
      <c r="B10" s="19">
        <v>214.4</v>
      </c>
      <c r="C10" s="22">
        <v>54</v>
      </c>
      <c r="D10" s="19">
        <v>207</v>
      </c>
      <c r="E10" s="22">
        <f t="shared" si="0"/>
        <v>103</v>
      </c>
      <c r="F10" s="19">
        <v>212.3</v>
      </c>
      <c r="G10" s="33">
        <v>152</v>
      </c>
      <c r="H10" s="19">
        <v>204.4</v>
      </c>
      <c r="I10" s="33">
        <v>201</v>
      </c>
      <c r="J10" s="19">
        <v>206.1</v>
      </c>
      <c r="L10" s="22">
        <v>5</v>
      </c>
      <c r="M10" s="19"/>
      <c r="N10" s="22">
        <v>54</v>
      </c>
      <c r="O10" s="19"/>
      <c r="P10" s="22">
        <f t="shared" si="1"/>
        <v>103</v>
      </c>
      <c r="Q10" s="19"/>
      <c r="R10" s="33">
        <v>152</v>
      </c>
      <c r="S10" s="19">
        <v>204.4</v>
      </c>
      <c r="T10" s="33">
        <v>201</v>
      </c>
      <c r="U10" s="19"/>
      <c r="W10" s="22">
        <v>5</v>
      </c>
      <c r="X10" s="19">
        <v>214.4</v>
      </c>
      <c r="Y10" s="22">
        <v>54</v>
      </c>
      <c r="Z10" s="19">
        <v>207</v>
      </c>
      <c r="AA10" s="22">
        <f t="shared" si="2"/>
        <v>103</v>
      </c>
      <c r="AB10" s="19"/>
      <c r="AC10" s="33">
        <v>152</v>
      </c>
      <c r="AD10" s="19"/>
      <c r="AE10" s="33">
        <v>201</v>
      </c>
      <c r="AF10" s="19">
        <v>206.1</v>
      </c>
      <c r="AH10" s="22">
        <v>5</v>
      </c>
      <c r="AI10" s="19"/>
      <c r="AJ10" s="22">
        <v>54</v>
      </c>
      <c r="AK10" s="19"/>
      <c r="AL10" s="22">
        <f t="shared" si="3"/>
        <v>103</v>
      </c>
      <c r="AM10" s="19">
        <v>212.3</v>
      </c>
      <c r="AN10" s="33">
        <v>152</v>
      </c>
      <c r="AO10" s="19"/>
      <c r="AP10" s="33">
        <v>201</v>
      </c>
      <c r="AQ10" s="19"/>
    </row>
    <row r="11" spans="1:43" ht="15.75" x14ac:dyDescent="0.25">
      <c r="A11" s="22">
        <v>6</v>
      </c>
      <c r="B11" s="19">
        <v>206</v>
      </c>
      <c r="C11" s="22">
        <v>55</v>
      </c>
      <c r="D11" s="19">
        <v>206.2</v>
      </c>
      <c r="E11" s="22">
        <f t="shared" si="0"/>
        <v>104</v>
      </c>
      <c r="F11" s="19">
        <v>210.4</v>
      </c>
      <c r="G11" s="33">
        <v>153</v>
      </c>
      <c r="H11" s="19">
        <v>206.8</v>
      </c>
      <c r="I11" s="33">
        <v>202</v>
      </c>
      <c r="J11" s="19">
        <v>215.5</v>
      </c>
      <c r="L11" s="22">
        <v>6</v>
      </c>
      <c r="M11" s="19"/>
      <c r="N11" s="22">
        <v>55</v>
      </c>
      <c r="O11" s="19"/>
      <c r="P11" s="22">
        <f t="shared" si="1"/>
        <v>104</v>
      </c>
      <c r="Q11" s="19"/>
      <c r="R11" s="33">
        <v>153</v>
      </c>
      <c r="S11" s="19">
        <v>206.8</v>
      </c>
      <c r="T11" s="33">
        <v>202</v>
      </c>
      <c r="U11" s="19"/>
      <c r="W11" s="22">
        <v>6</v>
      </c>
      <c r="X11" s="19">
        <v>206</v>
      </c>
      <c r="Y11" s="22">
        <v>55</v>
      </c>
      <c r="Z11" s="19">
        <v>206.2</v>
      </c>
      <c r="AA11" s="22">
        <f t="shared" si="2"/>
        <v>104</v>
      </c>
      <c r="AB11" s="19"/>
      <c r="AC11" s="33">
        <v>153</v>
      </c>
      <c r="AD11" s="19"/>
      <c r="AE11" s="33">
        <v>202</v>
      </c>
      <c r="AF11" s="19">
        <v>215.5</v>
      </c>
      <c r="AH11" s="22">
        <v>6</v>
      </c>
      <c r="AI11" s="19"/>
      <c r="AJ11" s="22">
        <v>55</v>
      </c>
      <c r="AK11" s="19"/>
      <c r="AL11" s="22">
        <f t="shared" si="3"/>
        <v>104</v>
      </c>
      <c r="AM11" s="19">
        <v>210.4</v>
      </c>
      <c r="AN11" s="33">
        <v>153</v>
      </c>
      <c r="AO11" s="19"/>
      <c r="AP11" s="33">
        <v>202</v>
      </c>
      <c r="AQ11" s="19"/>
    </row>
    <row r="12" spans="1:43" ht="15.75" x14ac:dyDescent="0.25">
      <c r="A12" s="22">
        <v>7</v>
      </c>
      <c r="B12" s="19">
        <v>213.5</v>
      </c>
      <c r="C12" s="22">
        <v>56</v>
      </c>
      <c r="D12" s="19">
        <v>211.1</v>
      </c>
      <c r="E12" s="22">
        <f t="shared" si="0"/>
        <v>105</v>
      </c>
      <c r="F12" s="19">
        <v>210.7</v>
      </c>
      <c r="G12" s="33">
        <v>154</v>
      </c>
      <c r="H12" s="19">
        <v>191.3</v>
      </c>
      <c r="I12" s="33">
        <v>203</v>
      </c>
      <c r="J12" s="19">
        <v>211.7</v>
      </c>
      <c r="L12" s="22">
        <v>7</v>
      </c>
      <c r="M12" s="19"/>
      <c r="N12" s="22">
        <v>56</v>
      </c>
      <c r="O12" s="19"/>
      <c r="P12" s="22">
        <f t="shared" si="1"/>
        <v>105</v>
      </c>
      <c r="Q12" s="19"/>
      <c r="R12" s="33">
        <v>154</v>
      </c>
      <c r="S12" s="19">
        <v>191.3</v>
      </c>
      <c r="T12" s="33">
        <v>203</v>
      </c>
      <c r="U12" s="19"/>
      <c r="W12" s="22">
        <v>7</v>
      </c>
      <c r="X12" s="19">
        <v>213.5</v>
      </c>
      <c r="Y12" s="22">
        <v>56</v>
      </c>
      <c r="Z12" s="19">
        <v>211.1</v>
      </c>
      <c r="AA12" s="22">
        <f t="shared" si="2"/>
        <v>105</v>
      </c>
      <c r="AB12" s="19"/>
      <c r="AC12" s="33">
        <v>154</v>
      </c>
      <c r="AD12" s="19"/>
      <c r="AE12" s="33">
        <v>203</v>
      </c>
      <c r="AF12" s="19">
        <v>211.7</v>
      </c>
      <c r="AH12" s="22">
        <v>7</v>
      </c>
      <c r="AI12" s="19"/>
      <c r="AJ12" s="22">
        <v>56</v>
      </c>
      <c r="AK12" s="19"/>
      <c r="AL12" s="22">
        <f t="shared" si="3"/>
        <v>105</v>
      </c>
      <c r="AM12" s="19">
        <v>210.7</v>
      </c>
      <c r="AN12" s="33">
        <v>154</v>
      </c>
      <c r="AO12" s="19"/>
      <c r="AP12" s="33">
        <v>203</v>
      </c>
      <c r="AQ12" s="19"/>
    </row>
    <row r="13" spans="1:43" ht="15.75" x14ac:dyDescent="0.25">
      <c r="A13" s="22">
        <v>8</v>
      </c>
      <c r="B13" s="19">
        <v>209.2</v>
      </c>
      <c r="C13" s="22">
        <v>57</v>
      </c>
      <c r="D13" s="19">
        <v>202.7</v>
      </c>
      <c r="E13" s="22">
        <f t="shared" si="0"/>
        <v>106</v>
      </c>
      <c r="F13" s="19">
        <v>204.8</v>
      </c>
      <c r="G13" s="33">
        <v>155</v>
      </c>
      <c r="H13" s="19">
        <v>211.7</v>
      </c>
      <c r="I13" s="33">
        <v>204</v>
      </c>
      <c r="J13" s="19">
        <v>209.8</v>
      </c>
      <c r="L13" s="22">
        <v>8</v>
      </c>
      <c r="M13" s="19"/>
      <c r="N13" s="22">
        <v>57</v>
      </c>
      <c r="O13" s="19"/>
      <c r="P13" s="22">
        <f t="shared" si="1"/>
        <v>106</v>
      </c>
      <c r="Q13" s="19"/>
      <c r="R13" s="33">
        <v>155</v>
      </c>
      <c r="S13" s="19">
        <v>211.7</v>
      </c>
      <c r="T13" s="33">
        <v>204</v>
      </c>
      <c r="U13" s="19"/>
      <c r="W13" s="22">
        <v>8</v>
      </c>
      <c r="X13" s="19">
        <v>209.2</v>
      </c>
      <c r="Y13" s="22">
        <v>57</v>
      </c>
      <c r="Z13" s="19">
        <v>202.7</v>
      </c>
      <c r="AA13" s="22">
        <f t="shared" si="2"/>
        <v>106</v>
      </c>
      <c r="AB13" s="19"/>
      <c r="AC13" s="33">
        <v>155</v>
      </c>
      <c r="AD13" s="19"/>
      <c r="AE13" s="33">
        <v>204</v>
      </c>
      <c r="AF13" s="19">
        <v>209.8</v>
      </c>
      <c r="AH13" s="22">
        <v>8</v>
      </c>
      <c r="AI13" s="19"/>
      <c r="AJ13" s="22">
        <v>57</v>
      </c>
      <c r="AK13" s="19"/>
      <c r="AL13" s="22">
        <f t="shared" si="3"/>
        <v>106</v>
      </c>
      <c r="AM13" s="19">
        <v>204.8</v>
      </c>
      <c r="AN13" s="33">
        <v>155</v>
      </c>
      <c r="AO13" s="19"/>
      <c r="AP13" s="33">
        <v>204</v>
      </c>
      <c r="AQ13" s="19"/>
    </row>
    <row r="14" spans="1:43" ht="15.75" x14ac:dyDescent="0.25">
      <c r="A14" s="22">
        <v>9</v>
      </c>
      <c r="B14" s="19">
        <v>202.9</v>
      </c>
      <c r="C14" s="22">
        <v>58</v>
      </c>
      <c r="D14" s="19">
        <v>206.5</v>
      </c>
      <c r="E14" s="22">
        <f t="shared" si="0"/>
        <v>107</v>
      </c>
      <c r="F14" s="19">
        <v>208.7</v>
      </c>
      <c r="G14" s="33">
        <v>156</v>
      </c>
      <c r="H14" s="19">
        <v>203.1</v>
      </c>
      <c r="I14" s="33">
        <v>205</v>
      </c>
      <c r="J14" s="19">
        <v>215.1</v>
      </c>
      <c r="L14" s="22">
        <v>9</v>
      </c>
      <c r="M14" s="19"/>
      <c r="N14" s="22">
        <v>58</v>
      </c>
      <c r="O14" s="19"/>
      <c r="P14" s="22">
        <f t="shared" si="1"/>
        <v>107</v>
      </c>
      <c r="Q14" s="19"/>
      <c r="R14" s="33">
        <v>156</v>
      </c>
      <c r="S14" s="19">
        <v>203.1</v>
      </c>
      <c r="T14" s="33">
        <v>205</v>
      </c>
      <c r="U14" s="19"/>
      <c r="W14" s="22">
        <v>9</v>
      </c>
      <c r="X14" s="19">
        <v>202.9</v>
      </c>
      <c r="Y14" s="22">
        <v>58</v>
      </c>
      <c r="Z14" s="19">
        <v>206.5</v>
      </c>
      <c r="AA14" s="22">
        <f t="shared" si="2"/>
        <v>107</v>
      </c>
      <c r="AB14" s="19"/>
      <c r="AC14" s="33">
        <v>156</v>
      </c>
      <c r="AD14" s="19"/>
      <c r="AE14" s="33">
        <v>205</v>
      </c>
      <c r="AF14" s="19">
        <v>215.1</v>
      </c>
      <c r="AH14" s="22">
        <v>9</v>
      </c>
      <c r="AI14" s="19"/>
      <c r="AJ14" s="22">
        <v>58</v>
      </c>
      <c r="AK14" s="19"/>
      <c r="AL14" s="22">
        <f t="shared" si="3"/>
        <v>107</v>
      </c>
      <c r="AM14" s="19">
        <v>208.7</v>
      </c>
      <c r="AN14" s="33">
        <v>156</v>
      </c>
      <c r="AO14" s="19"/>
      <c r="AP14" s="33">
        <v>205</v>
      </c>
      <c r="AQ14" s="19"/>
    </row>
    <row r="15" spans="1:43" ht="15.75" x14ac:dyDescent="0.25">
      <c r="A15" s="22">
        <v>10</v>
      </c>
      <c r="B15" s="19">
        <v>206.2</v>
      </c>
      <c r="C15" s="22">
        <v>59</v>
      </c>
      <c r="D15" s="19">
        <v>201.8</v>
      </c>
      <c r="E15" s="22">
        <f t="shared" si="0"/>
        <v>108</v>
      </c>
      <c r="F15" s="19">
        <v>207.1</v>
      </c>
      <c r="G15" s="33">
        <v>157</v>
      </c>
      <c r="H15" s="19">
        <v>206.5</v>
      </c>
      <c r="I15" s="33">
        <v>206</v>
      </c>
      <c r="J15" s="19">
        <v>217.7</v>
      </c>
      <c r="L15" s="22">
        <v>10</v>
      </c>
      <c r="M15" s="19"/>
      <c r="N15" s="22">
        <v>59</v>
      </c>
      <c r="O15" s="19"/>
      <c r="P15" s="22">
        <f t="shared" si="1"/>
        <v>108</v>
      </c>
      <c r="Q15" s="19"/>
      <c r="R15" s="33">
        <v>157</v>
      </c>
      <c r="S15" s="19">
        <v>206.5</v>
      </c>
      <c r="T15" s="33">
        <v>206</v>
      </c>
      <c r="U15" s="19"/>
      <c r="W15" s="22">
        <v>10</v>
      </c>
      <c r="X15" s="19">
        <v>206.2</v>
      </c>
      <c r="Y15" s="22">
        <v>59</v>
      </c>
      <c r="Z15" s="19">
        <v>201.8</v>
      </c>
      <c r="AA15" s="22">
        <f t="shared" si="2"/>
        <v>108</v>
      </c>
      <c r="AB15" s="19"/>
      <c r="AC15" s="33">
        <v>157</v>
      </c>
      <c r="AD15" s="19"/>
      <c r="AE15" s="33">
        <v>206</v>
      </c>
      <c r="AF15" s="19">
        <v>217.7</v>
      </c>
      <c r="AH15" s="22">
        <v>10</v>
      </c>
      <c r="AI15" s="19"/>
      <c r="AJ15" s="22">
        <v>59</v>
      </c>
      <c r="AK15" s="19"/>
      <c r="AL15" s="22">
        <f t="shared" si="3"/>
        <v>108</v>
      </c>
      <c r="AM15" s="19">
        <v>207.1</v>
      </c>
      <c r="AN15" s="33">
        <v>157</v>
      </c>
      <c r="AO15" s="19"/>
      <c r="AP15" s="33">
        <v>206</v>
      </c>
      <c r="AQ15" s="19"/>
    </row>
    <row r="16" spans="1:43" ht="15.75" x14ac:dyDescent="0.25">
      <c r="A16" s="22">
        <v>11</v>
      </c>
      <c r="B16" s="19">
        <v>207</v>
      </c>
      <c r="C16" s="22">
        <v>60</v>
      </c>
      <c r="D16" s="19">
        <v>205.3</v>
      </c>
      <c r="E16" s="22">
        <f t="shared" si="0"/>
        <v>109</v>
      </c>
      <c r="F16" s="19">
        <v>202.6</v>
      </c>
      <c r="G16" s="33">
        <v>158</v>
      </c>
      <c r="H16" s="19">
        <v>189.8</v>
      </c>
      <c r="I16" s="33">
        <v>207</v>
      </c>
      <c r="J16" s="19">
        <v>212</v>
      </c>
      <c r="L16" s="22">
        <v>11</v>
      </c>
      <c r="M16" s="19"/>
      <c r="N16" s="22">
        <v>60</v>
      </c>
      <c r="O16" s="19"/>
      <c r="P16" s="22">
        <f t="shared" si="1"/>
        <v>109</v>
      </c>
      <c r="Q16" s="19"/>
      <c r="R16" s="33">
        <v>158</v>
      </c>
      <c r="S16" s="19">
        <v>189.8</v>
      </c>
      <c r="T16" s="33">
        <v>207</v>
      </c>
      <c r="U16" s="19"/>
      <c r="W16" s="22">
        <v>11</v>
      </c>
      <c r="X16" s="19">
        <v>207</v>
      </c>
      <c r="Y16" s="22">
        <v>60</v>
      </c>
      <c r="Z16" s="19"/>
      <c r="AA16" s="22">
        <f t="shared" si="2"/>
        <v>109</v>
      </c>
      <c r="AB16" s="19"/>
      <c r="AC16" s="33">
        <v>158</v>
      </c>
      <c r="AD16" s="19"/>
      <c r="AE16" s="33">
        <v>207</v>
      </c>
      <c r="AF16" s="19">
        <v>212</v>
      </c>
      <c r="AH16" s="22">
        <v>11</v>
      </c>
      <c r="AI16" s="19"/>
      <c r="AJ16" s="22">
        <v>60</v>
      </c>
      <c r="AK16" s="19">
        <v>205.3</v>
      </c>
      <c r="AL16" s="22">
        <f t="shared" si="3"/>
        <v>109</v>
      </c>
      <c r="AM16" s="19">
        <v>202.6</v>
      </c>
      <c r="AN16" s="33">
        <v>158</v>
      </c>
      <c r="AO16" s="19"/>
      <c r="AP16" s="33">
        <v>207</v>
      </c>
      <c r="AQ16" s="19"/>
    </row>
    <row r="17" spans="1:43" ht="15.75" x14ac:dyDescent="0.25">
      <c r="A17" s="22">
        <v>12</v>
      </c>
      <c r="B17" s="19">
        <v>208.2</v>
      </c>
      <c r="C17" s="22">
        <v>61</v>
      </c>
      <c r="D17" s="19">
        <v>198.4</v>
      </c>
      <c r="E17" s="22">
        <f t="shared" si="0"/>
        <v>110</v>
      </c>
      <c r="F17" s="19">
        <v>197.5</v>
      </c>
      <c r="G17" s="33">
        <v>159</v>
      </c>
      <c r="H17" s="19">
        <v>204.9</v>
      </c>
      <c r="I17" s="33">
        <v>208</v>
      </c>
      <c r="J17" s="19">
        <v>213.6</v>
      </c>
      <c r="L17" s="22">
        <v>12</v>
      </c>
      <c r="M17" s="19"/>
      <c r="N17" s="22">
        <v>61</v>
      </c>
      <c r="O17" s="19"/>
      <c r="P17" s="22">
        <f t="shared" si="1"/>
        <v>110</v>
      </c>
      <c r="Q17" s="19"/>
      <c r="R17" s="33">
        <v>159</v>
      </c>
      <c r="S17" s="19">
        <v>204.9</v>
      </c>
      <c r="T17" s="33">
        <v>208</v>
      </c>
      <c r="U17" s="19"/>
      <c r="W17" s="22">
        <v>12</v>
      </c>
      <c r="X17" s="19">
        <v>208.2</v>
      </c>
      <c r="Y17" s="22">
        <v>61</v>
      </c>
      <c r="Z17" s="19"/>
      <c r="AA17" s="22">
        <f t="shared" si="2"/>
        <v>110</v>
      </c>
      <c r="AB17" s="19"/>
      <c r="AC17" s="33">
        <v>159</v>
      </c>
      <c r="AD17" s="19"/>
      <c r="AE17" s="33">
        <v>208</v>
      </c>
      <c r="AF17" s="19">
        <v>213.6</v>
      </c>
      <c r="AH17" s="22">
        <v>12</v>
      </c>
      <c r="AI17" s="19"/>
      <c r="AJ17" s="22">
        <v>61</v>
      </c>
      <c r="AK17" s="19">
        <v>198.4</v>
      </c>
      <c r="AL17" s="22">
        <f t="shared" si="3"/>
        <v>110</v>
      </c>
      <c r="AM17" s="19">
        <v>197.5</v>
      </c>
      <c r="AN17" s="33">
        <v>159</v>
      </c>
      <c r="AO17" s="19"/>
      <c r="AP17" s="33">
        <v>208</v>
      </c>
      <c r="AQ17" s="19"/>
    </row>
    <row r="18" spans="1:43" ht="15.75" x14ac:dyDescent="0.25">
      <c r="A18" s="22">
        <v>13</v>
      </c>
      <c r="B18" s="19">
        <v>212.2</v>
      </c>
      <c r="C18" s="22">
        <v>62</v>
      </c>
      <c r="D18" s="19">
        <v>208.3</v>
      </c>
      <c r="E18" s="22">
        <f t="shared" si="0"/>
        <v>111</v>
      </c>
      <c r="F18" s="19">
        <v>205.2</v>
      </c>
      <c r="G18" s="33">
        <v>160</v>
      </c>
      <c r="H18" s="19">
        <v>207.6</v>
      </c>
      <c r="I18" s="33">
        <v>209</v>
      </c>
      <c r="J18" s="19">
        <v>215.6</v>
      </c>
      <c r="L18" s="22">
        <v>13</v>
      </c>
      <c r="M18" s="19"/>
      <c r="N18" s="22">
        <v>62</v>
      </c>
      <c r="O18" s="19"/>
      <c r="P18" s="22">
        <f t="shared" si="1"/>
        <v>111</v>
      </c>
      <c r="Q18" s="19"/>
      <c r="R18" s="33">
        <v>160</v>
      </c>
      <c r="S18" s="19">
        <v>207.6</v>
      </c>
      <c r="T18" s="33">
        <v>209</v>
      </c>
      <c r="U18" s="19"/>
      <c r="W18" s="22">
        <v>13</v>
      </c>
      <c r="X18" s="19">
        <v>212.2</v>
      </c>
      <c r="Y18" s="22">
        <v>62</v>
      </c>
      <c r="Z18" s="19"/>
      <c r="AA18" s="22">
        <f t="shared" si="2"/>
        <v>111</v>
      </c>
      <c r="AB18" s="19"/>
      <c r="AC18" s="33">
        <v>160</v>
      </c>
      <c r="AD18" s="19"/>
      <c r="AE18" s="33">
        <v>209</v>
      </c>
      <c r="AF18" s="19">
        <v>215.6</v>
      </c>
      <c r="AH18" s="22">
        <v>13</v>
      </c>
      <c r="AI18" s="19"/>
      <c r="AJ18" s="22">
        <v>62</v>
      </c>
      <c r="AK18" s="19">
        <v>208.3</v>
      </c>
      <c r="AL18" s="22">
        <f t="shared" si="3"/>
        <v>111</v>
      </c>
      <c r="AM18" s="19">
        <v>205.2</v>
      </c>
      <c r="AN18" s="33">
        <v>160</v>
      </c>
      <c r="AO18" s="19"/>
      <c r="AP18" s="33">
        <v>209</v>
      </c>
      <c r="AQ18" s="19"/>
    </row>
    <row r="19" spans="1:43" ht="15.75" x14ac:dyDescent="0.25">
      <c r="A19" s="22">
        <v>14</v>
      </c>
      <c r="B19" s="19">
        <v>208.2</v>
      </c>
      <c r="C19" s="22">
        <v>63</v>
      </c>
      <c r="D19" s="19">
        <v>206.4</v>
      </c>
      <c r="E19" s="22">
        <f t="shared" si="0"/>
        <v>112</v>
      </c>
      <c r="F19" s="19">
        <v>200.4</v>
      </c>
      <c r="G19" s="33">
        <v>161</v>
      </c>
      <c r="H19" s="19">
        <v>204.8</v>
      </c>
      <c r="I19" s="33">
        <v>210</v>
      </c>
      <c r="J19" s="19">
        <v>184.9</v>
      </c>
      <c r="L19" s="22">
        <v>14</v>
      </c>
      <c r="M19" s="19"/>
      <c r="N19" s="22">
        <v>63</v>
      </c>
      <c r="O19" s="19"/>
      <c r="P19" s="22">
        <f t="shared" si="1"/>
        <v>112</v>
      </c>
      <c r="Q19" s="19"/>
      <c r="R19" s="33">
        <v>161</v>
      </c>
      <c r="S19" s="19">
        <v>204.8</v>
      </c>
      <c r="T19" s="33">
        <v>210</v>
      </c>
      <c r="U19" s="19"/>
      <c r="W19" s="22">
        <v>14</v>
      </c>
      <c r="X19" s="19">
        <v>208.2</v>
      </c>
      <c r="Y19" s="22">
        <v>63</v>
      </c>
      <c r="Z19" s="19"/>
      <c r="AA19" s="22">
        <f t="shared" si="2"/>
        <v>112</v>
      </c>
      <c r="AB19" s="19"/>
      <c r="AC19" s="33">
        <v>161</v>
      </c>
      <c r="AD19" s="19"/>
      <c r="AE19" s="33">
        <v>210</v>
      </c>
      <c r="AF19" s="19">
        <v>184.9</v>
      </c>
      <c r="AH19" s="22">
        <v>14</v>
      </c>
      <c r="AI19" s="19"/>
      <c r="AJ19" s="22">
        <v>63</v>
      </c>
      <c r="AK19" s="19">
        <v>206.4</v>
      </c>
      <c r="AL19" s="22">
        <f t="shared" si="3"/>
        <v>112</v>
      </c>
      <c r="AM19" s="19">
        <v>200.4</v>
      </c>
      <c r="AN19" s="33">
        <v>161</v>
      </c>
      <c r="AO19" s="19"/>
      <c r="AP19" s="33">
        <v>210</v>
      </c>
      <c r="AQ19" s="19"/>
    </row>
    <row r="20" spans="1:43" ht="15.75" x14ac:dyDescent="0.25">
      <c r="A20" s="22">
        <v>15</v>
      </c>
      <c r="B20" s="19">
        <v>211.6</v>
      </c>
      <c r="C20" s="22">
        <v>64</v>
      </c>
      <c r="D20" s="19">
        <v>206.2</v>
      </c>
      <c r="E20" s="22">
        <f t="shared" si="0"/>
        <v>113</v>
      </c>
      <c r="F20" s="19">
        <v>212.8</v>
      </c>
      <c r="G20" s="35">
        <v>162</v>
      </c>
      <c r="H20" s="19">
        <v>207.3</v>
      </c>
      <c r="I20" s="33">
        <v>211</v>
      </c>
      <c r="J20" s="19">
        <v>215.4</v>
      </c>
      <c r="L20" s="22">
        <v>15</v>
      </c>
      <c r="M20" s="19"/>
      <c r="N20" s="22">
        <v>64</v>
      </c>
      <c r="O20" s="19"/>
      <c r="P20" s="22">
        <f t="shared" si="1"/>
        <v>113</v>
      </c>
      <c r="Q20" s="19"/>
      <c r="R20" s="35">
        <v>162</v>
      </c>
      <c r="S20" s="19">
        <v>207.3</v>
      </c>
      <c r="T20" s="33">
        <v>211</v>
      </c>
      <c r="U20" s="19"/>
      <c r="W20" s="22">
        <v>15</v>
      </c>
      <c r="X20" s="19">
        <v>211.6</v>
      </c>
      <c r="Y20" s="22">
        <v>64</v>
      </c>
      <c r="Z20" s="19"/>
      <c r="AA20" s="22">
        <f t="shared" si="2"/>
        <v>113</v>
      </c>
      <c r="AB20" s="19"/>
      <c r="AC20" s="35">
        <v>162</v>
      </c>
      <c r="AD20" s="19"/>
      <c r="AE20" s="33">
        <v>211</v>
      </c>
      <c r="AF20" s="19">
        <v>215.4</v>
      </c>
      <c r="AH20" s="22">
        <v>15</v>
      </c>
      <c r="AI20" s="19"/>
      <c r="AJ20" s="22">
        <v>64</v>
      </c>
      <c r="AK20" s="19">
        <v>206.2</v>
      </c>
      <c r="AL20" s="22">
        <f t="shared" si="3"/>
        <v>113</v>
      </c>
      <c r="AM20" s="19">
        <v>212.8</v>
      </c>
      <c r="AN20" s="35">
        <v>162</v>
      </c>
      <c r="AO20" s="19"/>
      <c r="AP20" s="33">
        <v>211</v>
      </c>
      <c r="AQ20" s="19"/>
    </row>
    <row r="21" spans="1:43" ht="15.75" x14ac:dyDescent="0.25">
      <c r="A21" s="22">
        <v>16</v>
      </c>
      <c r="B21" s="19">
        <v>208.7</v>
      </c>
      <c r="C21" s="22">
        <v>65</v>
      </c>
      <c r="D21" s="19">
        <v>204.4</v>
      </c>
      <c r="E21" s="22">
        <f t="shared" si="0"/>
        <v>114</v>
      </c>
      <c r="F21" s="19">
        <v>217.9</v>
      </c>
      <c r="G21" s="35">
        <v>163</v>
      </c>
      <c r="H21" s="19">
        <v>209.3</v>
      </c>
      <c r="I21" s="33">
        <v>212</v>
      </c>
      <c r="J21" s="19">
        <v>210.9</v>
      </c>
      <c r="L21" s="22">
        <v>16</v>
      </c>
      <c r="M21" s="19"/>
      <c r="N21" s="22">
        <v>65</v>
      </c>
      <c r="O21" s="19"/>
      <c r="P21" s="22">
        <f t="shared" si="1"/>
        <v>114</v>
      </c>
      <c r="Q21" s="19"/>
      <c r="R21" s="35">
        <v>163</v>
      </c>
      <c r="S21" s="19">
        <v>209.3</v>
      </c>
      <c r="T21" s="33">
        <v>212</v>
      </c>
      <c r="U21" s="19"/>
      <c r="W21" s="22">
        <v>16</v>
      </c>
      <c r="X21" s="19">
        <v>208.7</v>
      </c>
      <c r="Y21" s="22">
        <v>65</v>
      </c>
      <c r="Z21" s="19"/>
      <c r="AA21" s="22">
        <f t="shared" si="2"/>
        <v>114</v>
      </c>
      <c r="AB21" s="19"/>
      <c r="AC21" s="35">
        <v>163</v>
      </c>
      <c r="AD21" s="19"/>
      <c r="AE21" s="33">
        <v>212</v>
      </c>
      <c r="AF21" s="19">
        <v>210.9</v>
      </c>
      <c r="AH21" s="22">
        <v>16</v>
      </c>
      <c r="AI21" s="19"/>
      <c r="AJ21" s="22">
        <v>65</v>
      </c>
      <c r="AK21" s="19">
        <v>204.4</v>
      </c>
      <c r="AL21" s="22">
        <f t="shared" si="3"/>
        <v>114</v>
      </c>
      <c r="AM21" s="19">
        <v>217.9</v>
      </c>
      <c r="AN21" s="35">
        <v>163</v>
      </c>
      <c r="AO21" s="19"/>
      <c r="AP21" s="33">
        <v>212</v>
      </c>
      <c r="AQ21" s="19"/>
    </row>
    <row r="22" spans="1:43" ht="15.75" x14ac:dyDescent="0.25">
      <c r="A22" s="22">
        <v>17</v>
      </c>
      <c r="B22" s="19">
        <v>212.6</v>
      </c>
      <c r="C22" s="22">
        <v>66</v>
      </c>
      <c r="D22" s="19">
        <v>203</v>
      </c>
      <c r="E22" s="22">
        <f t="shared" si="0"/>
        <v>115</v>
      </c>
      <c r="F22" s="19">
        <v>217.3</v>
      </c>
      <c r="G22" s="35">
        <v>164</v>
      </c>
      <c r="H22" s="19">
        <v>202.1</v>
      </c>
      <c r="I22" s="33">
        <v>213</v>
      </c>
      <c r="J22" s="19">
        <v>188.4</v>
      </c>
      <c r="L22" s="22">
        <v>17</v>
      </c>
      <c r="M22" s="19"/>
      <c r="N22" s="22">
        <v>66</v>
      </c>
      <c r="O22" s="19"/>
      <c r="P22" s="22">
        <f t="shared" si="1"/>
        <v>115</v>
      </c>
      <c r="Q22" s="19"/>
      <c r="R22" s="35">
        <v>164</v>
      </c>
      <c r="S22" s="19">
        <v>202.1</v>
      </c>
      <c r="T22" s="33">
        <v>213</v>
      </c>
      <c r="U22" s="19"/>
      <c r="W22" s="22">
        <v>17</v>
      </c>
      <c r="X22" s="19">
        <v>212.6</v>
      </c>
      <c r="Y22" s="22">
        <v>66</v>
      </c>
      <c r="Z22" s="19"/>
      <c r="AA22" s="22">
        <f t="shared" si="2"/>
        <v>115</v>
      </c>
      <c r="AB22" s="19"/>
      <c r="AC22" s="35">
        <v>164</v>
      </c>
      <c r="AD22" s="19"/>
      <c r="AE22" s="33">
        <v>213</v>
      </c>
      <c r="AF22" s="19">
        <v>188.4</v>
      </c>
      <c r="AH22" s="22">
        <v>17</v>
      </c>
      <c r="AI22" s="19"/>
      <c r="AJ22" s="22">
        <v>66</v>
      </c>
      <c r="AK22" s="19">
        <v>203</v>
      </c>
      <c r="AL22" s="22">
        <f t="shared" si="3"/>
        <v>115</v>
      </c>
      <c r="AM22" s="19">
        <v>217.3</v>
      </c>
      <c r="AN22" s="35">
        <v>164</v>
      </c>
      <c r="AO22" s="19"/>
      <c r="AP22" s="33">
        <v>213</v>
      </c>
      <c r="AQ22" s="19"/>
    </row>
    <row r="23" spans="1:43" ht="15.75" x14ac:dyDescent="0.25">
      <c r="A23" s="22">
        <v>18</v>
      </c>
      <c r="B23" s="19">
        <v>212.4</v>
      </c>
      <c r="C23" s="22">
        <v>67</v>
      </c>
      <c r="D23" s="19">
        <v>203.1</v>
      </c>
      <c r="E23" s="22">
        <f t="shared" si="0"/>
        <v>116</v>
      </c>
      <c r="F23" s="19">
        <v>218</v>
      </c>
      <c r="G23" s="35">
        <v>165</v>
      </c>
      <c r="H23" s="19">
        <v>186.8</v>
      </c>
      <c r="I23" s="33">
        <v>214</v>
      </c>
      <c r="J23" s="19">
        <v>206.6</v>
      </c>
      <c r="L23" s="22">
        <v>18</v>
      </c>
      <c r="M23" s="19"/>
      <c r="N23" s="22">
        <v>67</v>
      </c>
      <c r="O23" s="19"/>
      <c r="P23" s="22">
        <f t="shared" si="1"/>
        <v>116</v>
      </c>
      <c r="Q23" s="19"/>
      <c r="R23" s="35">
        <v>165</v>
      </c>
      <c r="S23" s="19">
        <v>186.8</v>
      </c>
      <c r="T23" s="33">
        <v>214</v>
      </c>
      <c r="U23" s="19"/>
      <c r="W23" s="22">
        <v>18</v>
      </c>
      <c r="X23" s="19">
        <v>212.4</v>
      </c>
      <c r="Y23" s="22">
        <v>67</v>
      </c>
      <c r="Z23" s="19"/>
      <c r="AA23" s="22">
        <f t="shared" si="2"/>
        <v>116</v>
      </c>
      <c r="AB23" s="19"/>
      <c r="AC23" s="35">
        <v>165</v>
      </c>
      <c r="AD23" s="19"/>
      <c r="AE23" s="33">
        <v>214</v>
      </c>
      <c r="AF23" s="19">
        <v>206.6</v>
      </c>
      <c r="AH23" s="22">
        <v>18</v>
      </c>
      <c r="AI23" s="19"/>
      <c r="AJ23" s="22">
        <v>67</v>
      </c>
      <c r="AK23" s="19">
        <v>203.1</v>
      </c>
      <c r="AL23" s="22">
        <f t="shared" si="3"/>
        <v>116</v>
      </c>
      <c r="AM23" s="19">
        <v>218</v>
      </c>
      <c r="AN23" s="35">
        <v>165</v>
      </c>
      <c r="AO23" s="19"/>
      <c r="AP23" s="33">
        <v>214</v>
      </c>
      <c r="AQ23" s="19"/>
    </row>
    <row r="24" spans="1:43" ht="15.75" x14ac:dyDescent="0.25">
      <c r="A24" s="22">
        <v>19</v>
      </c>
      <c r="B24" s="19">
        <v>213.5</v>
      </c>
      <c r="C24" s="22">
        <v>68</v>
      </c>
      <c r="D24" s="19">
        <v>211.1</v>
      </c>
      <c r="E24" s="22">
        <f t="shared" si="0"/>
        <v>117</v>
      </c>
      <c r="F24" s="19">
        <v>209.2</v>
      </c>
      <c r="G24" s="35">
        <v>166</v>
      </c>
      <c r="H24" s="19">
        <v>201.6</v>
      </c>
      <c r="I24" s="33">
        <v>215</v>
      </c>
      <c r="J24" s="19">
        <v>212.2</v>
      </c>
      <c r="L24" s="22">
        <v>19</v>
      </c>
      <c r="M24" s="19"/>
      <c r="N24" s="22">
        <v>68</v>
      </c>
      <c r="O24" s="19"/>
      <c r="P24" s="22">
        <f t="shared" si="1"/>
        <v>117</v>
      </c>
      <c r="Q24" s="19"/>
      <c r="R24" s="35">
        <v>166</v>
      </c>
      <c r="S24" s="19">
        <v>201.6</v>
      </c>
      <c r="T24" s="33">
        <v>215</v>
      </c>
      <c r="U24" s="19"/>
      <c r="W24" s="22">
        <v>19</v>
      </c>
      <c r="X24" s="19">
        <v>213.5</v>
      </c>
      <c r="Y24" s="22">
        <v>68</v>
      </c>
      <c r="Z24" s="19"/>
      <c r="AA24" s="22">
        <f t="shared" si="2"/>
        <v>117</v>
      </c>
      <c r="AB24" s="19"/>
      <c r="AC24" s="35">
        <v>166</v>
      </c>
      <c r="AD24" s="19"/>
      <c r="AE24" s="33">
        <v>215</v>
      </c>
      <c r="AF24" s="19">
        <v>212.2</v>
      </c>
      <c r="AH24" s="22">
        <v>19</v>
      </c>
      <c r="AI24" s="19"/>
      <c r="AJ24" s="22">
        <v>68</v>
      </c>
      <c r="AK24" s="19">
        <v>211.1</v>
      </c>
      <c r="AL24" s="22">
        <f t="shared" si="3"/>
        <v>117</v>
      </c>
      <c r="AM24" s="19">
        <v>209.2</v>
      </c>
      <c r="AN24" s="35">
        <v>166</v>
      </c>
      <c r="AO24" s="19"/>
      <c r="AP24" s="33">
        <v>215</v>
      </c>
      <c r="AQ24" s="19"/>
    </row>
    <row r="25" spans="1:43" ht="15.75" x14ac:dyDescent="0.25">
      <c r="A25" s="22">
        <v>20</v>
      </c>
      <c r="B25" s="19">
        <v>211</v>
      </c>
      <c r="C25" s="22">
        <v>69</v>
      </c>
      <c r="D25" s="19">
        <v>216.8</v>
      </c>
      <c r="E25" s="22">
        <f t="shared" si="0"/>
        <v>118</v>
      </c>
      <c r="F25" s="19">
        <v>218</v>
      </c>
      <c r="G25" s="35">
        <v>167</v>
      </c>
      <c r="H25" s="19">
        <v>201.6</v>
      </c>
      <c r="I25" s="33">
        <v>216</v>
      </c>
      <c r="J25" s="19">
        <v>190.2</v>
      </c>
      <c r="L25" s="22">
        <v>20</v>
      </c>
      <c r="M25" s="19"/>
      <c r="N25" s="22">
        <v>69</v>
      </c>
      <c r="O25" s="19"/>
      <c r="P25" s="22">
        <f t="shared" si="1"/>
        <v>118</v>
      </c>
      <c r="Q25" s="19"/>
      <c r="R25" s="35">
        <v>167</v>
      </c>
      <c r="S25" s="19">
        <v>201.6</v>
      </c>
      <c r="T25" s="33">
        <v>216</v>
      </c>
      <c r="U25" s="19"/>
      <c r="W25" s="22">
        <v>20</v>
      </c>
      <c r="X25" s="19">
        <v>211</v>
      </c>
      <c r="Y25" s="22">
        <v>69</v>
      </c>
      <c r="Z25" s="19"/>
      <c r="AA25" s="22">
        <f t="shared" si="2"/>
        <v>118</v>
      </c>
      <c r="AB25" s="19"/>
      <c r="AC25" s="35">
        <v>167</v>
      </c>
      <c r="AD25" s="19"/>
      <c r="AE25" s="33">
        <v>216</v>
      </c>
      <c r="AF25" s="19">
        <v>190.2</v>
      </c>
      <c r="AH25" s="22">
        <v>20</v>
      </c>
      <c r="AI25" s="19"/>
      <c r="AJ25" s="22">
        <v>69</v>
      </c>
      <c r="AK25" s="19">
        <v>216.8</v>
      </c>
      <c r="AL25" s="22">
        <f t="shared" si="3"/>
        <v>118</v>
      </c>
      <c r="AM25" s="19">
        <v>218</v>
      </c>
      <c r="AN25" s="35">
        <v>167</v>
      </c>
      <c r="AO25" s="19"/>
      <c r="AP25" s="33">
        <v>216</v>
      </c>
      <c r="AQ25" s="19"/>
    </row>
    <row r="26" spans="1:43" ht="15.75" x14ac:dyDescent="0.25">
      <c r="A26" s="22">
        <v>21</v>
      </c>
      <c r="B26" s="19">
        <v>205.3</v>
      </c>
      <c r="C26" s="22">
        <v>70</v>
      </c>
      <c r="D26" s="19">
        <v>216.1</v>
      </c>
      <c r="E26" s="22">
        <f t="shared" si="0"/>
        <v>119</v>
      </c>
      <c r="F26" s="19">
        <v>212.6</v>
      </c>
      <c r="G26" s="35">
        <v>168</v>
      </c>
      <c r="H26" s="19">
        <v>210.9</v>
      </c>
      <c r="I26" s="33">
        <v>217</v>
      </c>
      <c r="J26" s="19">
        <v>212.4</v>
      </c>
      <c r="L26" s="22">
        <v>21</v>
      </c>
      <c r="M26" s="19"/>
      <c r="N26" s="22">
        <v>70</v>
      </c>
      <c r="O26" s="19"/>
      <c r="P26" s="22">
        <f t="shared" si="1"/>
        <v>119</v>
      </c>
      <c r="Q26" s="19"/>
      <c r="R26" s="35">
        <v>168</v>
      </c>
      <c r="S26" s="19">
        <v>210.9</v>
      </c>
      <c r="T26" s="33">
        <v>217</v>
      </c>
      <c r="U26" s="19"/>
      <c r="W26" s="22">
        <v>21</v>
      </c>
      <c r="X26" s="19">
        <v>205.3</v>
      </c>
      <c r="Y26" s="22">
        <v>70</v>
      </c>
      <c r="Z26" s="19"/>
      <c r="AA26" s="22">
        <f t="shared" si="2"/>
        <v>119</v>
      </c>
      <c r="AB26" s="19"/>
      <c r="AC26" s="35">
        <v>168</v>
      </c>
      <c r="AD26" s="19"/>
      <c r="AE26" s="33">
        <v>217</v>
      </c>
      <c r="AF26" s="19">
        <v>212.4</v>
      </c>
      <c r="AH26" s="22">
        <v>21</v>
      </c>
      <c r="AI26" s="19"/>
      <c r="AJ26" s="22">
        <v>70</v>
      </c>
      <c r="AK26" s="19">
        <v>216.1</v>
      </c>
      <c r="AL26" s="22">
        <f t="shared" si="3"/>
        <v>119</v>
      </c>
      <c r="AM26" s="19">
        <v>212.6</v>
      </c>
      <c r="AN26" s="35">
        <v>168</v>
      </c>
      <c r="AO26" s="19"/>
      <c r="AP26" s="33">
        <v>217</v>
      </c>
      <c r="AQ26" s="19"/>
    </row>
    <row r="27" spans="1:43" ht="15.75" x14ac:dyDescent="0.25">
      <c r="A27" s="22">
        <v>22</v>
      </c>
      <c r="B27" s="19">
        <v>206</v>
      </c>
      <c r="C27" s="22">
        <v>71</v>
      </c>
      <c r="D27" s="19">
        <v>210.1</v>
      </c>
      <c r="E27" s="22">
        <f t="shared" si="0"/>
        <v>120</v>
      </c>
      <c r="F27" s="19">
        <v>209</v>
      </c>
      <c r="G27" s="35">
        <v>169</v>
      </c>
      <c r="H27" s="19">
        <v>201.3</v>
      </c>
      <c r="I27" s="33">
        <v>218</v>
      </c>
      <c r="J27" s="19">
        <v>208.9</v>
      </c>
      <c r="L27" s="22">
        <v>22</v>
      </c>
      <c r="M27" s="19"/>
      <c r="N27" s="22">
        <v>71</v>
      </c>
      <c r="O27" s="19"/>
      <c r="P27" s="22">
        <f t="shared" si="1"/>
        <v>120</v>
      </c>
      <c r="Q27" s="19"/>
      <c r="R27" s="35">
        <v>169</v>
      </c>
      <c r="S27" s="19">
        <v>201.3</v>
      </c>
      <c r="T27" s="33">
        <v>218</v>
      </c>
      <c r="U27" s="19"/>
      <c r="W27" s="22">
        <v>22</v>
      </c>
      <c r="X27" s="19">
        <v>206</v>
      </c>
      <c r="Y27" s="22">
        <v>71</v>
      </c>
      <c r="Z27" s="19"/>
      <c r="AA27" s="22">
        <f t="shared" si="2"/>
        <v>120</v>
      </c>
      <c r="AB27" s="19"/>
      <c r="AC27" s="35">
        <v>169</v>
      </c>
      <c r="AD27" s="19"/>
      <c r="AE27" s="33">
        <v>218</v>
      </c>
      <c r="AF27" s="19">
        <v>208.9</v>
      </c>
      <c r="AH27" s="22">
        <v>22</v>
      </c>
      <c r="AI27" s="19"/>
      <c r="AJ27" s="22">
        <v>71</v>
      </c>
      <c r="AK27" s="19">
        <v>210.1</v>
      </c>
      <c r="AL27" s="22">
        <f t="shared" si="3"/>
        <v>120</v>
      </c>
      <c r="AM27" s="19">
        <v>209</v>
      </c>
      <c r="AN27" s="35">
        <v>169</v>
      </c>
      <c r="AO27" s="19"/>
      <c r="AP27" s="33">
        <v>218</v>
      </c>
      <c r="AQ27" s="19"/>
    </row>
    <row r="28" spans="1:43" ht="15.75" x14ac:dyDescent="0.25">
      <c r="A28" s="22">
        <v>23</v>
      </c>
      <c r="B28" s="19">
        <v>213.7</v>
      </c>
      <c r="C28" s="22">
        <v>72</v>
      </c>
      <c r="D28" s="19">
        <v>190</v>
      </c>
      <c r="E28" s="22">
        <f t="shared" si="0"/>
        <v>121</v>
      </c>
      <c r="F28" s="19">
        <v>170.5</v>
      </c>
      <c r="G28" s="35">
        <v>170</v>
      </c>
      <c r="H28" s="19">
        <v>206.8</v>
      </c>
      <c r="I28" s="33">
        <v>219</v>
      </c>
      <c r="J28" s="19">
        <v>163.19999999999999</v>
      </c>
      <c r="L28" s="22">
        <v>23</v>
      </c>
      <c r="M28" s="19"/>
      <c r="N28" s="22">
        <v>72</v>
      </c>
      <c r="O28" s="19"/>
      <c r="P28" s="22">
        <f t="shared" si="1"/>
        <v>121</v>
      </c>
      <c r="Q28" s="19"/>
      <c r="R28" s="35">
        <v>170</v>
      </c>
      <c r="S28" s="19">
        <v>206.8</v>
      </c>
      <c r="T28" s="33">
        <v>219</v>
      </c>
      <c r="U28" s="19"/>
      <c r="W28" s="22">
        <v>23</v>
      </c>
      <c r="X28" s="19">
        <v>213.7</v>
      </c>
      <c r="Y28" s="22">
        <v>72</v>
      </c>
      <c r="Z28" s="19"/>
      <c r="AA28" s="22">
        <f t="shared" si="2"/>
        <v>121</v>
      </c>
      <c r="AB28" s="19"/>
      <c r="AC28" s="35">
        <v>170</v>
      </c>
      <c r="AD28" s="19"/>
      <c r="AE28" s="33">
        <v>219</v>
      </c>
      <c r="AF28" s="19">
        <v>163.19999999999999</v>
      </c>
      <c r="AH28" s="22">
        <v>23</v>
      </c>
      <c r="AI28" s="19"/>
      <c r="AJ28" s="22">
        <v>72</v>
      </c>
      <c r="AK28" s="19">
        <v>190</v>
      </c>
      <c r="AL28" s="22">
        <f t="shared" si="3"/>
        <v>121</v>
      </c>
      <c r="AM28" s="19">
        <v>170.5</v>
      </c>
      <c r="AN28" s="35">
        <v>170</v>
      </c>
      <c r="AO28" s="19"/>
      <c r="AP28" s="33">
        <v>219</v>
      </c>
      <c r="AQ28" s="19"/>
    </row>
    <row r="29" spans="1:43" ht="15.75" x14ac:dyDescent="0.25">
      <c r="A29" s="22">
        <v>24</v>
      </c>
      <c r="B29" s="19">
        <v>208.2</v>
      </c>
      <c r="C29" s="22">
        <v>73</v>
      </c>
      <c r="D29" s="19">
        <v>203.2</v>
      </c>
      <c r="E29" s="22">
        <f t="shared" si="0"/>
        <v>122</v>
      </c>
      <c r="F29" s="19">
        <v>193.2</v>
      </c>
      <c r="G29" s="35">
        <v>171</v>
      </c>
      <c r="H29" s="19">
        <v>184.9</v>
      </c>
      <c r="I29" s="33">
        <v>220</v>
      </c>
      <c r="J29" s="19">
        <v>210</v>
      </c>
      <c r="L29" s="22">
        <v>24</v>
      </c>
      <c r="M29" s="19"/>
      <c r="N29" s="22">
        <v>73</v>
      </c>
      <c r="O29" s="19"/>
      <c r="P29" s="22">
        <f t="shared" si="1"/>
        <v>122</v>
      </c>
      <c r="Q29" s="19"/>
      <c r="R29" s="35">
        <v>171</v>
      </c>
      <c r="S29" s="19">
        <v>184.9</v>
      </c>
      <c r="T29" s="33">
        <v>220</v>
      </c>
      <c r="U29" s="19"/>
      <c r="W29" s="22">
        <v>24</v>
      </c>
      <c r="X29" s="19">
        <v>208.2</v>
      </c>
      <c r="Y29" s="22">
        <v>73</v>
      </c>
      <c r="Z29" s="19"/>
      <c r="AA29" s="22">
        <f t="shared" si="2"/>
        <v>122</v>
      </c>
      <c r="AB29" s="19"/>
      <c r="AC29" s="35">
        <v>171</v>
      </c>
      <c r="AD29" s="19"/>
      <c r="AE29" s="33">
        <v>220</v>
      </c>
      <c r="AF29" s="19">
        <v>210</v>
      </c>
      <c r="AH29" s="22">
        <v>24</v>
      </c>
      <c r="AI29" s="19"/>
      <c r="AJ29" s="22">
        <v>73</v>
      </c>
      <c r="AK29" s="19">
        <v>203.2</v>
      </c>
      <c r="AL29" s="22">
        <f t="shared" si="3"/>
        <v>122</v>
      </c>
      <c r="AM29" s="19">
        <v>193.2</v>
      </c>
      <c r="AN29" s="35">
        <v>171</v>
      </c>
      <c r="AO29" s="19"/>
      <c r="AP29" s="33">
        <v>220</v>
      </c>
      <c r="AQ29" s="19"/>
    </row>
    <row r="30" spans="1:43" ht="15.75" x14ac:dyDescent="0.25">
      <c r="A30" s="22">
        <v>25</v>
      </c>
      <c r="B30" s="19">
        <v>202.8</v>
      </c>
      <c r="C30" s="22">
        <v>74</v>
      </c>
      <c r="D30" s="19">
        <v>216.3</v>
      </c>
      <c r="E30" s="22">
        <f t="shared" si="0"/>
        <v>123</v>
      </c>
      <c r="F30" s="19">
        <v>186.6</v>
      </c>
      <c r="G30" s="35">
        <v>172</v>
      </c>
      <c r="H30" s="19">
        <v>204.2</v>
      </c>
      <c r="I30" s="20"/>
      <c r="J30" s="36"/>
      <c r="L30" s="22">
        <v>25</v>
      </c>
      <c r="M30" s="19"/>
      <c r="N30" s="22">
        <v>74</v>
      </c>
      <c r="O30" s="19"/>
      <c r="P30" s="22">
        <f t="shared" si="1"/>
        <v>123</v>
      </c>
      <c r="Q30" s="19"/>
      <c r="R30" s="35">
        <v>172</v>
      </c>
      <c r="S30" s="19">
        <v>204.2</v>
      </c>
      <c r="T30" s="20"/>
      <c r="U30" s="36"/>
      <c r="W30" s="22">
        <v>25</v>
      </c>
      <c r="X30" s="19">
        <v>202.8</v>
      </c>
      <c r="Y30" s="22">
        <v>74</v>
      </c>
      <c r="Z30" s="19"/>
      <c r="AA30" s="22">
        <f t="shared" si="2"/>
        <v>123</v>
      </c>
      <c r="AB30" s="19"/>
      <c r="AC30" s="35">
        <v>172</v>
      </c>
      <c r="AD30" s="19"/>
      <c r="AE30" s="20"/>
      <c r="AF30" s="36"/>
      <c r="AH30" s="22">
        <v>25</v>
      </c>
      <c r="AI30" s="19"/>
      <c r="AJ30" s="22">
        <v>74</v>
      </c>
      <c r="AK30" s="19">
        <v>216.3</v>
      </c>
      <c r="AL30" s="22">
        <f t="shared" si="3"/>
        <v>123</v>
      </c>
      <c r="AM30" s="19">
        <v>186.6</v>
      </c>
      <c r="AN30" s="35">
        <v>172</v>
      </c>
      <c r="AO30" s="19"/>
      <c r="AP30" s="20"/>
      <c r="AQ30" s="36"/>
    </row>
    <row r="31" spans="1:43" ht="15.75" x14ac:dyDescent="0.25">
      <c r="A31" s="22">
        <v>26</v>
      </c>
      <c r="B31" s="19">
        <v>204</v>
      </c>
      <c r="C31" s="22">
        <v>75</v>
      </c>
      <c r="D31" s="19">
        <v>209.2</v>
      </c>
      <c r="E31" s="22">
        <f t="shared" si="0"/>
        <v>124</v>
      </c>
      <c r="F31" s="19">
        <v>187.4</v>
      </c>
      <c r="G31" s="35">
        <v>173</v>
      </c>
      <c r="H31" s="19">
        <v>199</v>
      </c>
      <c r="I31" s="20"/>
      <c r="J31" s="36"/>
      <c r="L31" s="22">
        <v>26</v>
      </c>
      <c r="M31" s="19"/>
      <c r="N31" s="22">
        <v>75</v>
      </c>
      <c r="O31" s="19"/>
      <c r="P31" s="22">
        <f t="shared" si="1"/>
        <v>124</v>
      </c>
      <c r="Q31" s="19"/>
      <c r="R31" s="35">
        <v>173</v>
      </c>
      <c r="S31" s="19">
        <v>199</v>
      </c>
      <c r="T31" s="20"/>
      <c r="U31" s="36"/>
      <c r="W31" s="22">
        <v>26</v>
      </c>
      <c r="X31" s="19">
        <v>204</v>
      </c>
      <c r="Y31" s="22">
        <v>75</v>
      </c>
      <c r="Z31" s="19"/>
      <c r="AA31" s="22">
        <f t="shared" si="2"/>
        <v>124</v>
      </c>
      <c r="AB31" s="19"/>
      <c r="AC31" s="35">
        <v>173</v>
      </c>
      <c r="AD31" s="19"/>
      <c r="AE31" s="20"/>
      <c r="AF31" s="36"/>
      <c r="AH31" s="22">
        <v>26</v>
      </c>
      <c r="AI31" s="19"/>
      <c r="AJ31" s="22">
        <v>75</v>
      </c>
      <c r="AK31" s="19">
        <v>209.2</v>
      </c>
      <c r="AL31" s="22">
        <f t="shared" si="3"/>
        <v>124</v>
      </c>
      <c r="AM31" s="19">
        <v>187.4</v>
      </c>
      <c r="AN31" s="35">
        <v>173</v>
      </c>
      <c r="AO31" s="19"/>
      <c r="AP31" s="20"/>
      <c r="AQ31" s="36"/>
    </row>
    <row r="32" spans="1:43" ht="15.75" x14ac:dyDescent="0.25">
      <c r="A32" s="22">
        <v>27</v>
      </c>
      <c r="B32" s="19">
        <v>206.3</v>
      </c>
      <c r="C32" s="22">
        <v>76</v>
      </c>
      <c r="D32" s="19">
        <v>216.4</v>
      </c>
      <c r="E32" s="22">
        <f t="shared" si="0"/>
        <v>125</v>
      </c>
      <c r="F32" s="19">
        <v>186</v>
      </c>
      <c r="G32" s="33">
        <v>174</v>
      </c>
      <c r="H32" s="19">
        <v>202.2</v>
      </c>
      <c r="I32" s="21"/>
      <c r="J32" s="36"/>
      <c r="L32" s="22">
        <v>27</v>
      </c>
      <c r="M32" s="19"/>
      <c r="N32" s="22">
        <v>76</v>
      </c>
      <c r="O32" s="19"/>
      <c r="P32" s="22">
        <f t="shared" si="1"/>
        <v>125</v>
      </c>
      <c r="Q32" s="19"/>
      <c r="R32" s="33">
        <v>174</v>
      </c>
      <c r="S32" s="19">
        <v>202.2</v>
      </c>
      <c r="T32" s="21"/>
      <c r="U32" s="36"/>
      <c r="W32" s="22">
        <v>27</v>
      </c>
      <c r="X32" s="19">
        <v>206.3</v>
      </c>
      <c r="Y32" s="22">
        <v>76</v>
      </c>
      <c r="Z32" s="19"/>
      <c r="AA32" s="22">
        <f t="shared" si="2"/>
        <v>125</v>
      </c>
      <c r="AB32" s="19"/>
      <c r="AC32" s="33">
        <v>174</v>
      </c>
      <c r="AD32" s="19"/>
      <c r="AE32" s="21"/>
      <c r="AF32" s="36"/>
      <c r="AH32" s="22">
        <v>27</v>
      </c>
      <c r="AI32" s="19"/>
      <c r="AJ32" s="22">
        <v>76</v>
      </c>
      <c r="AK32" s="19">
        <v>216.4</v>
      </c>
      <c r="AL32" s="22">
        <f t="shared" si="3"/>
        <v>125</v>
      </c>
      <c r="AM32" s="19">
        <v>186</v>
      </c>
      <c r="AN32" s="33">
        <v>174</v>
      </c>
      <c r="AO32" s="19"/>
      <c r="AP32" s="21"/>
      <c r="AQ32" s="36"/>
    </row>
    <row r="33" spans="1:43" ht="15.75" x14ac:dyDescent="0.25">
      <c r="A33" s="22">
        <v>28</v>
      </c>
      <c r="B33" s="19">
        <v>212.9</v>
      </c>
      <c r="C33" s="22">
        <v>77</v>
      </c>
      <c r="D33" s="19">
        <v>210.2</v>
      </c>
      <c r="E33" s="22">
        <f t="shared" si="0"/>
        <v>126</v>
      </c>
      <c r="F33" s="19">
        <v>193.9</v>
      </c>
      <c r="G33" s="33">
        <v>175</v>
      </c>
      <c r="H33" s="19">
        <v>200.2</v>
      </c>
      <c r="I33" s="20"/>
      <c r="J33" s="36"/>
      <c r="L33" s="22">
        <v>28</v>
      </c>
      <c r="M33" s="19"/>
      <c r="N33" s="22">
        <v>77</v>
      </c>
      <c r="O33" s="19"/>
      <c r="P33" s="22">
        <f t="shared" si="1"/>
        <v>126</v>
      </c>
      <c r="Q33" s="19">
        <v>193.9</v>
      </c>
      <c r="R33" s="33">
        <v>175</v>
      </c>
      <c r="S33" s="19">
        <v>200.2</v>
      </c>
      <c r="T33" s="20"/>
      <c r="U33" s="36"/>
      <c r="W33" s="22">
        <v>28</v>
      </c>
      <c r="X33" s="19">
        <v>212.9</v>
      </c>
      <c r="Y33" s="22">
        <v>77</v>
      </c>
      <c r="Z33" s="19"/>
      <c r="AA33" s="22">
        <f t="shared" si="2"/>
        <v>126</v>
      </c>
      <c r="AB33" s="19"/>
      <c r="AC33" s="33">
        <v>175</v>
      </c>
      <c r="AD33" s="19"/>
      <c r="AE33" s="20"/>
      <c r="AF33" s="36"/>
      <c r="AH33" s="22">
        <v>28</v>
      </c>
      <c r="AI33" s="19"/>
      <c r="AJ33" s="22">
        <v>77</v>
      </c>
      <c r="AK33" s="19">
        <v>210.2</v>
      </c>
      <c r="AL33" s="22">
        <f t="shared" si="3"/>
        <v>126</v>
      </c>
      <c r="AM33" s="19"/>
      <c r="AN33" s="33">
        <v>175</v>
      </c>
      <c r="AO33" s="19"/>
      <c r="AP33" s="20"/>
      <c r="AQ33" s="36"/>
    </row>
    <row r="34" spans="1:43" ht="15.75" x14ac:dyDescent="0.25">
      <c r="A34" s="22">
        <v>29</v>
      </c>
      <c r="B34" s="19">
        <v>208.2</v>
      </c>
      <c r="C34" s="22">
        <v>78</v>
      </c>
      <c r="D34" s="19">
        <v>211.6</v>
      </c>
      <c r="E34" s="22">
        <f t="shared" si="0"/>
        <v>127</v>
      </c>
      <c r="F34" s="19">
        <v>229.3</v>
      </c>
      <c r="G34" s="33">
        <v>176</v>
      </c>
      <c r="H34" s="19">
        <v>200.9</v>
      </c>
      <c r="I34" s="20"/>
      <c r="J34" s="36"/>
      <c r="L34" s="22">
        <v>29</v>
      </c>
      <c r="M34" s="19"/>
      <c r="N34" s="22">
        <v>78</v>
      </c>
      <c r="O34" s="19"/>
      <c r="P34" s="22">
        <f t="shared" si="1"/>
        <v>127</v>
      </c>
      <c r="Q34" s="19">
        <v>229.3</v>
      </c>
      <c r="R34" s="33">
        <v>176</v>
      </c>
      <c r="S34" s="19">
        <v>200.9</v>
      </c>
      <c r="T34" s="20"/>
      <c r="U34" s="36"/>
      <c r="W34" s="22">
        <v>29</v>
      </c>
      <c r="X34" s="19">
        <v>208.2</v>
      </c>
      <c r="Y34" s="22">
        <v>78</v>
      </c>
      <c r="Z34" s="19"/>
      <c r="AA34" s="22">
        <f t="shared" si="2"/>
        <v>127</v>
      </c>
      <c r="AB34" s="19"/>
      <c r="AC34" s="33">
        <v>176</v>
      </c>
      <c r="AD34" s="19"/>
      <c r="AE34" s="20"/>
      <c r="AF34" s="36"/>
      <c r="AH34" s="22">
        <v>29</v>
      </c>
      <c r="AI34" s="19"/>
      <c r="AJ34" s="22">
        <v>78</v>
      </c>
      <c r="AK34" s="19">
        <v>211.6</v>
      </c>
      <c r="AL34" s="22">
        <f t="shared" si="3"/>
        <v>127</v>
      </c>
      <c r="AM34" s="19"/>
      <c r="AN34" s="33">
        <v>176</v>
      </c>
      <c r="AO34" s="19"/>
      <c r="AP34" s="20"/>
      <c r="AQ34" s="36"/>
    </row>
    <row r="35" spans="1:43" ht="15.75" x14ac:dyDescent="0.25">
      <c r="A35" s="22">
        <v>30</v>
      </c>
      <c r="B35" s="19">
        <v>207.8</v>
      </c>
      <c r="C35" s="22">
        <v>79</v>
      </c>
      <c r="D35" s="19">
        <v>216.4</v>
      </c>
      <c r="E35" s="22">
        <f t="shared" si="0"/>
        <v>128</v>
      </c>
      <c r="F35" s="19">
        <v>209.7</v>
      </c>
      <c r="G35" s="33">
        <v>177</v>
      </c>
      <c r="H35" s="19">
        <v>206.6</v>
      </c>
      <c r="I35" s="21"/>
      <c r="J35" s="36"/>
      <c r="L35" s="22">
        <v>30</v>
      </c>
      <c r="M35" s="19"/>
      <c r="N35" s="22">
        <v>79</v>
      </c>
      <c r="O35" s="19"/>
      <c r="P35" s="22">
        <f t="shared" si="1"/>
        <v>128</v>
      </c>
      <c r="Q35" s="19">
        <v>209.7</v>
      </c>
      <c r="R35" s="33">
        <v>177</v>
      </c>
      <c r="S35" s="19">
        <v>206.6</v>
      </c>
      <c r="T35" s="21"/>
      <c r="U35" s="36"/>
      <c r="W35" s="22">
        <v>30</v>
      </c>
      <c r="X35" s="19">
        <v>207.8</v>
      </c>
      <c r="Y35" s="22">
        <v>79</v>
      </c>
      <c r="Z35" s="19"/>
      <c r="AA35" s="22">
        <f t="shared" si="2"/>
        <v>128</v>
      </c>
      <c r="AB35" s="19"/>
      <c r="AC35" s="33">
        <v>177</v>
      </c>
      <c r="AD35" s="19"/>
      <c r="AE35" s="21"/>
      <c r="AF35" s="36"/>
      <c r="AH35" s="22">
        <v>30</v>
      </c>
      <c r="AI35" s="19"/>
      <c r="AJ35" s="22">
        <v>79</v>
      </c>
      <c r="AK35" s="19">
        <v>216.4</v>
      </c>
      <c r="AL35" s="22">
        <f t="shared" si="3"/>
        <v>128</v>
      </c>
      <c r="AM35" s="19"/>
      <c r="AN35" s="33">
        <v>177</v>
      </c>
      <c r="AO35" s="19"/>
      <c r="AP35" s="21"/>
      <c r="AQ35" s="36"/>
    </row>
    <row r="36" spans="1:43" ht="15.75" x14ac:dyDescent="0.25">
      <c r="A36" s="22">
        <v>31</v>
      </c>
      <c r="B36" s="19">
        <v>212</v>
      </c>
      <c r="C36" s="22">
        <v>80</v>
      </c>
      <c r="D36" s="19">
        <v>207.7</v>
      </c>
      <c r="E36" s="22">
        <f t="shared" si="0"/>
        <v>129</v>
      </c>
      <c r="F36" s="19">
        <v>211.9</v>
      </c>
      <c r="G36" s="33">
        <v>178</v>
      </c>
      <c r="H36" s="19">
        <v>204.1</v>
      </c>
      <c r="I36" s="20"/>
      <c r="J36" s="36"/>
      <c r="L36" s="22">
        <v>31</v>
      </c>
      <c r="M36" s="19"/>
      <c r="N36" s="22">
        <v>80</v>
      </c>
      <c r="O36" s="19"/>
      <c r="P36" s="22">
        <f t="shared" si="1"/>
        <v>129</v>
      </c>
      <c r="Q36" s="19">
        <v>211.9</v>
      </c>
      <c r="R36" s="33">
        <v>178</v>
      </c>
      <c r="S36" s="19">
        <v>204.1</v>
      </c>
      <c r="T36" s="20"/>
      <c r="U36" s="36"/>
      <c r="W36" s="22">
        <v>31</v>
      </c>
      <c r="X36" s="19">
        <v>212</v>
      </c>
      <c r="Y36" s="22">
        <v>80</v>
      </c>
      <c r="Z36" s="19"/>
      <c r="AA36" s="22">
        <f t="shared" si="2"/>
        <v>129</v>
      </c>
      <c r="AB36" s="19"/>
      <c r="AC36" s="33">
        <v>178</v>
      </c>
      <c r="AD36" s="19"/>
      <c r="AE36" s="20"/>
      <c r="AF36" s="36"/>
      <c r="AH36" s="22">
        <v>31</v>
      </c>
      <c r="AI36" s="19"/>
      <c r="AJ36" s="22">
        <v>80</v>
      </c>
      <c r="AK36" s="19">
        <v>207.7</v>
      </c>
      <c r="AL36" s="22">
        <f t="shared" si="3"/>
        <v>129</v>
      </c>
      <c r="AM36" s="19"/>
      <c r="AN36" s="33">
        <v>178</v>
      </c>
      <c r="AO36" s="19"/>
      <c r="AP36" s="20"/>
      <c r="AQ36" s="36"/>
    </row>
    <row r="37" spans="1:43" ht="15.75" x14ac:dyDescent="0.25">
      <c r="A37" s="22">
        <v>32</v>
      </c>
      <c r="B37" s="19">
        <v>210.2</v>
      </c>
      <c r="C37" s="22">
        <v>81</v>
      </c>
      <c r="D37" s="19">
        <v>213.8</v>
      </c>
      <c r="E37" s="22">
        <f t="shared" si="0"/>
        <v>130</v>
      </c>
      <c r="F37" s="19">
        <v>210.7</v>
      </c>
      <c r="G37" s="33">
        <v>179</v>
      </c>
      <c r="H37" s="19">
        <v>203.8</v>
      </c>
      <c r="I37" s="20"/>
      <c r="J37" s="36"/>
      <c r="L37" s="22">
        <v>32</v>
      </c>
      <c r="M37" s="19"/>
      <c r="N37" s="22">
        <v>81</v>
      </c>
      <c r="O37" s="19"/>
      <c r="P37" s="22">
        <f t="shared" si="1"/>
        <v>130</v>
      </c>
      <c r="Q37" s="19">
        <v>210.7</v>
      </c>
      <c r="R37" s="33">
        <v>179</v>
      </c>
      <c r="S37" s="19">
        <v>203.8</v>
      </c>
      <c r="T37" s="20"/>
      <c r="U37" s="36"/>
      <c r="W37" s="22">
        <v>32</v>
      </c>
      <c r="X37" s="19">
        <v>210.2</v>
      </c>
      <c r="Y37" s="22">
        <v>81</v>
      </c>
      <c r="Z37" s="19"/>
      <c r="AA37" s="22">
        <f t="shared" si="2"/>
        <v>130</v>
      </c>
      <c r="AB37" s="19"/>
      <c r="AC37" s="33">
        <v>179</v>
      </c>
      <c r="AD37" s="19"/>
      <c r="AE37" s="20"/>
      <c r="AF37" s="36"/>
      <c r="AH37" s="22">
        <v>32</v>
      </c>
      <c r="AI37" s="19"/>
      <c r="AJ37" s="22">
        <v>81</v>
      </c>
      <c r="AK37" s="19">
        <v>213.8</v>
      </c>
      <c r="AL37" s="22">
        <f t="shared" si="3"/>
        <v>130</v>
      </c>
      <c r="AM37" s="19"/>
      <c r="AN37" s="33">
        <v>179</v>
      </c>
      <c r="AO37" s="19"/>
      <c r="AP37" s="20"/>
      <c r="AQ37" s="36"/>
    </row>
    <row r="38" spans="1:43" ht="15.75" x14ac:dyDescent="0.25">
      <c r="A38" s="22">
        <v>33</v>
      </c>
      <c r="B38" s="19">
        <v>205.5</v>
      </c>
      <c r="C38" s="22">
        <v>82</v>
      </c>
      <c r="D38" s="19">
        <v>208.7</v>
      </c>
      <c r="E38" s="22">
        <f t="shared" si="0"/>
        <v>131</v>
      </c>
      <c r="F38" s="19">
        <v>211</v>
      </c>
      <c r="G38" s="33">
        <v>180</v>
      </c>
      <c r="H38" s="19">
        <v>210.3</v>
      </c>
      <c r="I38" s="21"/>
      <c r="J38" s="36"/>
      <c r="L38" s="22">
        <v>33</v>
      </c>
      <c r="M38" s="19"/>
      <c r="N38" s="22">
        <v>82</v>
      </c>
      <c r="O38" s="19"/>
      <c r="P38" s="22">
        <f t="shared" si="1"/>
        <v>131</v>
      </c>
      <c r="Q38" s="19">
        <v>211</v>
      </c>
      <c r="R38" s="33">
        <v>180</v>
      </c>
      <c r="S38" s="19">
        <v>210.3</v>
      </c>
      <c r="T38" s="21"/>
      <c r="U38" s="36"/>
      <c r="W38" s="22">
        <v>33</v>
      </c>
      <c r="X38" s="19">
        <v>205.5</v>
      </c>
      <c r="Y38" s="22">
        <v>82</v>
      </c>
      <c r="Z38" s="19"/>
      <c r="AA38" s="22">
        <f t="shared" si="2"/>
        <v>131</v>
      </c>
      <c r="AB38" s="19"/>
      <c r="AC38" s="33">
        <v>180</v>
      </c>
      <c r="AD38" s="19"/>
      <c r="AE38" s="21"/>
      <c r="AF38" s="36"/>
      <c r="AH38" s="22">
        <v>33</v>
      </c>
      <c r="AI38" s="19"/>
      <c r="AJ38" s="22">
        <v>82</v>
      </c>
      <c r="AK38" s="19">
        <v>208.7</v>
      </c>
      <c r="AL38" s="22">
        <f t="shared" si="3"/>
        <v>131</v>
      </c>
      <c r="AM38" s="19"/>
      <c r="AN38" s="33">
        <v>180</v>
      </c>
      <c r="AO38" s="19"/>
      <c r="AP38" s="21"/>
      <c r="AQ38" s="36"/>
    </row>
    <row r="39" spans="1:43" ht="15.75" x14ac:dyDescent="0.25">
      <c r="A39" s="22">
        <v>34</v>
      </c>
      <c r="B39" s="19">
        <v>204.7</v>
      </c>
      <c r="C39" s="22">
        <v>83</v>
      </c>
      <c r="D39" s="19">
        <v>213.9</v>
      </c>
      <c r="E39" s="22">
        <f t="shared" si="0"/>
        <v>132</v>
      </c>
      <c r="F39" s="19">
        <v>205.6</v>
      </c>
      <c r="G39" s="33">
        <v>181</v>
      </c>
      <c r="H39" s="19">
        <v>210.5</v>
      </c>
      <c r="I39" s="21"/>
      <c r="J39" s="36"/>
      <c r="L39" s="22">
        <v>34</v>
      </c>
      <c r="M39" s="19"/>
      <c r="N39" s="22">
        <v>83</v>
      </c>
      <c r="O39" s="19"/>
      <c r="P39" s="22">
        <f t="shared" si="1"/>
        <v>132</v>
      </c>
      <c r="Q39" s="19">
        <v>205.6</v>
      </c>
      <c r="R39" s="33">
        <v>181</v>
      </c>
      <c r="S39" s="19"/>
      <c r="T39" s="21"/>
      <c r="U39" s="36"/>
      <c r="W39" s="22">
        <v>34</v>
      </c>
      <c r="X39" s="19">
        <v>204.7</v>
      </c>
      <c r="Y39" s="22">
        <v>83</v>
      </c>
      <c r="Z39" s="19"/>
      <c r="AA39" s="22">
        <f t="shared" si="2"/>
        <v>132</v>
      </c>
      <c r="AB39" s="19"/>
      <c r="AC39" s="33">
        <v>181</v>
      </c>
      <c r="AD39" s="19">
        <v>210.5</v>
      </c>
      <c r="AE39" s="21"/>
      <c r="AF39" s="36"/>
      <c r="AH39" s="22">
        <v>34</v>
      </c>
      <c r="AI39" s="19"/>
      <c r="AJ39" s="22">
        <v>83</v>
      </c>
      <c r="AK39" s="19">
        <v>213.9</v>
      </c>
      <c r="AL39" s="22">
        <f t="shared" si="3"/>
        <v>132</v>
      </c>
      <c r="AM39" s="19"/>
      <c r="AN39" s="33">
        <v>181</v>
      </c>
      <c r="AO39" s="19"/>
      <c r="AP39" s="21"/>
      <c r="AQ39" s="36"/>
    </row>
    <row r="40" spans="1:43" ht="15.75" x14ac:dyDescent="0.25">
      <c r="A40" s="22">
        <v>35</v>
      </c>
      <c r="B40" s="19">
        <v>206.6</v>
      </c>
      <c r="C40" s="22">
        <v>84</v>
      </c>
      <c r="D40" s="19">
        <v>211.1</v>
      </c>
      <c r="E40" s="22">
        <f t="shared" si="0"/>
        <v>133</v>
      </c>
      <c r="F40" s="19">
        <v>209</v>
      </c>
      <c r="G40" s="33">
        <v>182</v>
      </c>
      <c r="H40" s="19">
        <v>206.9</v>
      </c>
      <c r="I40" s="20"/>
      <c r="J40" s="36"/>
      <c r="L40" s="22">
        <v>35</v>
      </c>
      <c r="M40" s="19"/>
      <c r="N40" s="22">
        <v>84</v>
      </c>
      <c r="O40" s="19"/>
      <c r="P40" s="22">
        <f t="shared" si="1"/>
        <v>133</v>
      </c>
      <c r="Q40" s="19">
        <v>209</v>
      </c>
      <c r="R40" s="33">
        <v>182</v>
      </c>
      <c r="S40" s="19"/>
      <c r="T40" s="20"/>
      <c r="U40" s="36"/>
      <c r="W40" s="22">
        <v>35</v>
      </c>
      <c r="X40" s="19">
        <v>206.6</v>
      </c>
      <c r="Y40" s="22">
        <v>84</v>
      </c>
      <c r="Z40" s="19"/>
      <c r="AA40" s="22">
        <f t="shared" si="2"/>
        <v>133</v>
      </c>
      <c r="AB40" s="19"/>
      <c r="AC40" s="33">
        <v>182</v>
      </c>
      <c r="AD40" s="19">
        <v>206.9</v>
      </c>
      <c r="AE40" s="20"/>
      <c r="AF40" s="36"/>
      <c r="AH40" s="22">
        <v>35</v>
      </c>
      <c r="AI40" s="19"/>
      <c r="AJ40" s="22">
        <v>84</v>
      </c>
      <c r="AK40" s="19">
        <v>211.1</v>
      </c>
      <c r="AL40" s="22">
        <f t="shared" si="3"/>
        <v>133</v>
      </c>
      <c r="AM40" s="19"/>
      <c r="AN40" s="33">
        <v>182</v>
      </c>
      <c r="AO40" s="19"/>
      <c r="AP40" s="20"/>
      <c r="AQ40" s="36"/>
    </row>
    <row r="41" spans="1:43" ht="15.75" x14ac:dyDescent="0.25">
      <c r="A41" s="22">
        <v>36</v>
      </c>
      <c r="B41" s="19">
        <v>210.6</v>
      </c>
      <c r="C41" s="22">
        <v>85</v>
      </c>
      <c r="D41" s="19">
        <v>208.8</v>
      </c>
      <c r="E41" s="22">
        <f t="shared" si="0"/>
        <v>134</v>
      </c>
      <c r="F41" s="19">
        <v>207.6</v>
      </c>
      <c r="G41" s="33">
        <v>183</v>
      </c>
      <c r="H41" s="19">
        <v>204.6</v>
      </c>
      <c r="I41" s="20"/>
      <c r="J41" s="36"/>
      <c r="L41" s="22">
        <v>36</v>
      </c>
      <c r="M41" s="19"/>
      <c r="N41" s="22">
        <v>85</v>
      </c>
      <c r="O41" s="19"/>
      <c r="P41" s="22">
        <f t="shared" si="1"/>
        <v>134</v>
      </c>
      <c r="Q41" s="19">
        <v>207.6</v>
      </c>
      <c r="R41" s="33">
        <v>183</v>
      </c>
      <c r="S41" s="19"/>
      <c r="T41" s="20"/>
      <c r="U41" s="36"/>
      <c r="W41" s="22">
        <v>36</v>
      </c>
      <c r="X41" s="19">
        <v>210.6</v>
      </c>
      <c r="Y41" s="22">
        <v>85</v>
      </c>
      <c r="Z41" s="19"/>
      <c r="AA41" s="22">
        <f t="shared" si="2"/>
        <v>134</v>
      </c>
      <c r="AB41" s="19"/>
      <c r="AC41" s="33">
        <v>183</v>
      </c>
      <c r="AD41" s="19">
        <v>204.6</v>
      </c>
      <c r="AE41" s="20"/>
      <c r="AF41" s="36"/>
      <c r="AH41" s="22">
        <v>36</v>
      </c>
      <c r="AI41" s="19"/>
      <c r="AJ41" s="22">
        <v>85</v>
      </c>
      <c r="AK41" s="19">
        <v>208.8</v>
      </c>
      <c r="AL41" s="22">
        <f t="shared" si="3"/>
        <v>134</v>
      </c>
      <c r="AM41" s="19"/>
      <c r="AN41" s="33">
        <v>183</v>
      </c>
      <c r="AO41" s="19"/>
      <c r="AP41" s="20"/>
      <c r="AQ41" s="36"/>
    </row>
    <row r="42" spans="1:43" ht="15.75" x14ac:dyDescent="0.25">
      <c r="A42" s="22">
        <v>37</v>
      </c>
      <c r="B42" s="19">
        <v>208.6</v>
      </c>
      <c r="C42" s="22">
        <v>86</v>
      </c>
      <c r="D42" s="19">
        <v>203.5</v>
      </c>
      <c r="E42" s="22">
        <f t="shared" si="0"/>
        <v>135</v>
      </c>
      <c r="F42" s="19">
        <v>207.6</v>
      </c>
      <c r="G42" s="33">
        <v>184</v>
      </c>
      <c r="H42" s="19">
        <v>209.2</v>
      </c>
      <c r="I42" s="21"/>
      <c r="J42" s="36"/>
      <c r="L42" s="22">
        <v>37</v>
      </c>
      <c r="M42" s="19"/>
      <c r="N42" s="22">
        <v>86</v>
      </c>
      <c r="O42" s="19"/>
      <c r="P42" s="22">
        <f t="shared" si="1"/>
        <v>135</v>
      </c>
      <c r="Q42" s="19">
        <v>207.6</v>
      </c>
      <c r="R42" s="33">
        <v>184</v>
      </c>
      <c r="S42" s="19"/>
      <c r="T42" s="21"/>
      <c r="U42" s="36"/>
      <c r="W42" s="22">
        <v>37</v>
      </c>
      <c r="X42" s="19">
        <v>208.6</v>
      </c>
      <c r="Y42" s="22">
        <v>86</v>
      </c>
      <c r="Z42" s="19"/>
      <c r="AA42" s="22">
        <f t="shared" si="2"/>
        <v>135</v>
      </c>
      <c r="AB42" s="19"/>
      <c r="AC42" s="33">
        <v>184</v>
      </c>
      <c r="AD42" s="19">
        <v>209.2</v>
      </c>
      <c r="AE42" s="21"/>
      <c r="AF42" s="36"/>
      <c r="AH42" s="22">
        <v>37</v>
      </c>
      <c r="AI42" s="19"/>
      <c r="AJ42" s="22">
        <v>86</v>
      </c>
      <c r="AK42" s="19">
        <v>203.5</v>
      </c>
      <c r="AL42" s="22">
        <f t="shared" si="3"/>
        <v>135</v>
      </c>
      <c r="AM42" s="19"/>
      <c r="AN42" s="33">
        <v>184</v>
      </c>
      <c r="AO42" s="19"/>
      <c r="AP42" s="21"/>
      <c r="AQ42" s="36"/>
    </row>
    <row r="43" spans="1:43" ht="15.75" x14ac:dyDescent="0.25">
      <c r="A43" s="22">
        <v>38</v>
      </c>
      <c r="B43" s="19">
        <v>208.4</v>
      </c>
      <c r="C43" s="22">
        <v>87</v>
      </c>
      <c r="D43" s="19">
        <v>205.6</v>
      </c>
      <c r="E43" s="22">
        <f t="shared" si="0"/>
        <v>136</v>
      </c>
      <c r="F43" s="19">
        <v>208.8</v>
      </c>
      <c r="G43" s="33">
        <v>185</v>
      </c>
      <c r="H43" s="19">
        <v>178</v>
      </c>
      <c r="I43" s="20"/>
      <c r="J43" s="36"/>
      <c r="L43" s="22">
        <v>38</v>
      </c>
      <c r="M43" s="19"/>
      <c r="N43" s="22">
        <v>87</v>
      </c>
      <c r="O43" s="19"/>
      <c r="P43" s="22">
        <f t="shared" si="1"/>
        <v>136</v>
      </c>
      <c r="Q43" s="19">
        <v>208.8</v>
      </c>
      <c r="R43" s="33">
        <v>185</v>
      </c>
      <c r="S43" s="19"/>
      <c r="T43" s="20"/>
      <c r="U43" s="36"/>
      <c r="W43" s="22">
        <v>38</v>
      </c>
      <c r="X43" s="19">
        <v>208.4</v>
      </c>
      <c r="Y43" s="22">
        <v>87</v>
      </c>
      <c r="Z43" s="19"/>
      <c r="AA43" s="22">
        <f t="shared" si="2"/>
        <v>136</v>
      </c>
      <c r="AB43" s="19"/>
      <c r="AC43" s="33">
        <v>185</v>
      </c>
      <c r="AD43" s="19">
        <v>178</v>
      </c>
      <c r="AE43" s="20"/>
      <c r="AF43" s="36"/>
      <c r="AH43" s="22">
        <v>38</v>
      </c>
      <c r="AI43" s="19"/>
      <c r="AJ43" s="22">
        <v>87</v>
      </c>
      <c r="AK43" s="19">
        <v>205.6</v>
      </c>
      <c r="AL43" s="22">
        <f t="shared" si="3"/>
        <v>136</v>
      </c>
      <c r="AM43" s="19"/>
      <c r="AN43" s="33">
        <v>185</v>
      </c>
      <c r="AO43" s="19"/>
      <c r="AP43" s="20"/>
      <c r="AQ43" s="36"/>
    </row>
    <row r="44" spans="1:43" ht="15.75" x14ac:dyDescent="0.25">
      <c r="A44" s="22">
        <v>39</v>
      </c>
      <c r="B44" s="19">
        <v>212</v>
      </c>
      <c r="C44" s="22">
        <v>88</v>
      </c>
      <c r="D44" s="19">
        <v>207.6</v>
      </c>
      <c r="E44" s="22">
        <f t="shared" si="0"/>
        <v>137</v>
      </c>
      <c r="F44" s="19">
        <v>206.9</v>
      </c>
      <c r="G44" s="33">
        <v>186</v>
      </c>
      <c r="H44" s="19">
        <v>209.3</v>
      </c>
      <c r="I44" s="20"/>
      <c r="J44" s="36"/>
      <c r="L44" s="22">
        <v>39</v>
      </c>
      <c r="M44" s="19"/>
      <c r="N44" s="22">
        <v>88</v>
      </c>
      <c r="O44" s="19"/>
      <c r="P44" s="22">
        <f t="shared" si="1"/>
        <v>137</v>
      </c>
      <c r="Q44" s="19">
        <v>206.9</v>
      </c>
      <c r="R44" s="33">
        <v>186</v>
      </c>
      <c r="S44" s="19"/>
      <c r="T44" s="20"/>
      <c r="U44" s="36"/>
      <c r="W44" s="22">
        <v>39</v>
      </c>
      <c r="X44" s="19">
        <v>212</v>
      </c>
      <c r="Y44" s="22">
        <v>88</v>
      </c>
      <c r="Z44" s="19"/>
      <c r="AA44" s="22">
        <f t="shared" si="2"/>
        <v>137</v>
      </c>
      <c r="AB44" s="19"/>
      <c r="AC44" s="33">
        <v>186</v>
      </c>
      <c r="AD44" s="19">
        <v>209.3</v>
      </c>
      <c r="AE44" s="20"/>
      <c r="AF44" s="36"/>
      <c r="AH44" s="22">
        <v>39</v>
      </c>
      <c r="AI44" s="19"/>
      <c r="AJ44" s="22">
        <v>88</v>
      </c>
      <c r="AK44" s="19">
        <v>207.6</v>
      </c>
      <c r="AL44" s="22">
        <f t="shared" si="3"/>
        <v>137</v>
      </c>
      <c r="AM44" s="19"/>
      <c r="AN44" s="33">
        <v>186</v>
      </c>
      <c r="AO44" s="19"/>
      <c r="AP44" s="20"/>
      <c r="AQ44" s="36"/>
    </row>
    <row r="45" spans="1:43" ht="15.75" x14ac:dyDescent="0.25">
      <c r="A45" s="22">
        <v>40</v>
      </c>
      <c r="B45" s="19">
        <v>213.6</v>
      </c>
      <c r="C45" s="22">
        <v>89</v>
      </c>
      <c r="D45" s="19">
        <v>211.7</v>
      </c>
      <c r="E45" s="22">
        <f t="shared" si="0"/>
        <v>138</v>
      </c>
      <c r="F45" s="19">
        <v>214.4</v>
      </c>
      <c r="G45" s="33">
        <v>187</v>
      </c>
      <c r="H45" s="19">
        <v>208.7</v>
      </c>
      <c r="I45" s="21"/>
      <c r="J45" s="36"/>
      <c r="L45" s="22">
        <v>40</v>
      </c>
      <c r="M45" s="19"/>
      <c r="N45" s="22">
        <v>89</v>
      </c>
      <c r="O45" s="19"/>
      <c r="P45" s="22">
        <f t="shared" si="1"/>
        <v>138</v>
      </c>
      <c r="Q45" s="19">
        <v>214.4</v>
      </c>
      <c r="R45" s="33">
        <v>187</v>
      </c>
      <c r="S45" s="19"/>
      <c r="T45" s="21"/>
      <c r="U45" s="36"/>
      <c r="W45" s="22">
        <v>40</v>
      </c>
      <c r="X45" s="19">
        <v>213.6</v>
      </c>
      <c r="Y45" s="22">
        <v>89</v>
      </c>
      <c r="Z45" s="19"/>
      <c r="AA45" s="22">
        <f t="shared" si="2"/>
        <v>138</v>
      </c>
      <c r="AB45" s="19"/>
      <c r="AC45" s="33">
        <v>187</v>
      </c>
      <c r="AD45" s="19">
        <v>208.7</v>
      </c>
      <c r="AE45" s="21"/>
      <c r="AF45" s="36"/>
      <c r="AH45" s="22">
        <v>40</v>
      </c>
      <c r="AI45" s="19"/>
      <c r="AJ45" s="22">
        <v>89</v>
      </c>
      <c r="AK45" s="19">
        <v>211.7</v>
      </c>
      <c r="AL45" s="22">
        <f t="shared" si="3"/>
        <v>138</v>
      </c>
      <c r="AM45" s="19"/>
      <c r="AN45" s="33">
        <v>187</v>
      </c>
      <c r="AO45" s="19"/>
      <c r="AP45" s="21"/>
      <c r="AQ45" s="36"/>
    </row>
    <row r="46" spans="1:43" ht="15.75" x14ac:dyDescent="0.25">
      <c r="A46" s="22">
        <v>41</v>
      </c>
      <c r="B46" s="19">
        <v>207.1</v>
      </c>
      <c r="C46" s="22">
        <v>90</v>
      </c>
      <c r="D46" s="19">
        <v>207.8</v>
      </c>
      <c r="E46" s="22">
        <f t="shared" si="0"/>
        <v>139</v>
      </c>
      <c r="F46" s="19">
        <v>211.8</v>
      </c>
      <c r="G46" s="33">
        <v>188</v>
      </c>
      <c r="H46" s="19">
        <v>212.6</v>
      </c>
      <c r="I46" s="20"/>
      <c r="J46" s="36"/>
      <c r="L46" s="22">
        <v>41</v>
      </c>
      <c r="M46" s="19"/>
      <c r="N46" s="22">
        <v>90</v>
      </c>
      <c r="O46" s="19"/>
      <c r="P46" s="22">
        <f t="shared" si="1"/>
        <v>139</v>
      </c>
      <c r="Q46" s="19">
        <v>211.8</v>
      </c>
      <c r="R46" s="33">
        <v>188</v>
      </c>
      <c r="S46" s="19"/>
      <c r="T46" s="20"/>
      <c r="U46" s="36"/>
      <c r="W46" s="22">
        <v>41</v>
      </c>
      <c r="X46" s="19">
        <v>207.1</v>
      </c>
      <c r="Y46" s="22">
        <v>90</v>
      </c>
      <c r="Z46" s="19"/>
      <c r="AA46" s="22">
        <f t="shared" si="2"/>
        <v>139</v>
      </c>
      <c r="AB46" s="19"/>
      <c r="AC46" s="33">
        <v>188</v>
      </c>
      <c r="AD46" s="19">
        <v>212.6</v>
      </c>
      <c r="AE46" s="20"/>
      <c r="AF46" s="36"/>
      <c r="AH46" s="22">
        <v>41</v>
      </c>
      <c r="AI46" s="19"/>
      <c r="AJ46" s="22">
        <v>90</v>
      </c>
      <c r="AK46" s="19">
        <v>207.8</v>
      </c>
      <c r="AL46" s="22">
        <f t="shared" si="3"/>
        <v>139</v>
      </c>
      <c r="AM46" s="19"/>
      <c r="AN46" s="33">
        <v>188</v>
      </c>
      <c r="AO46" s="19"/>
      <c r="AP46" s="20"/>
      <c r="AQ46" s="36"/>
    </row>
    <row r="47" spans="1:43" ht="15.75" x14ac:dyDescent="0.25">
      <c r="A47" s="22">
        <v>42</v>
      </c>
      <c r="B47" s="19">
        <v>208.1</v>
      </c>
      <c r="C47" s="22">
        <v>91</v>
      </c>
      <c r="D47" s="19">
        <v>210.1</v>
      </c>
      <c r="E47" s="22">
        <f t="shared" si="0"/>
        <v>140</v>
      </c>
      <c r="F47" s="19">
        <v>209.5</v>
      </c>
      <c r="G47" s="33">
        <v>189</v>
      </c>
      <c r="H47" s="19">
        <v>206.6</v>
      </c>
      <c r="I47" s="20"/>
      <c r="J47" s="36"/>
      <c r="L47" s="22">
        <v>42</v>
      </c>
      <c r="M47" s="19"/>
      <c r="N47" s="22">
        <v>91</v>
      </c>
      <c r="O47" s="19"/>
      <c r="P47" s="22">
        <f t="shared" si="1"/>
        <v>140</v>
      </c>
      <c r="Q47" s="19">
        <v>209.5</v>
      </c>
      <c r="R47" s="33">
        <v>189</v>
      </c>
      <c r="S47" s="19"/>
      <c r="T47" s="20"/>
      <c r="U47" s="36"/>
      <c r="W47" s="22">
        <v>42</v>
      </c>
      <c r="X47" s="19">
        <v>208.1</v>
      </c>
      <c r="Y47" s="22">
        <v>91</v>
      </c>
      <c r="Z47" s="19"/>
      <c r="AA47" s="22">
        <f t="shared" si="2"/>
        <v>140</v>
      </c>
      <c r="AB47" s="19"/>
      <c r="AC47" s="33">
        <v>189</v>
      </c>
      <c r="AD47" s="19">
        <v>206.6</v>
      </c>
      <c r="AE47" s="20"/>
      <c r="AF47" s="36"/>
      <c r="AH47" s="22">
        <v>42</v>
      </c>
      <c r="AI47" s="19"/>
      <c r="AJ47" s="22">
        <v>91</v>
      </c>
      <c r="AK47" s="19">
        <v>210.1</v>
      </c>
      <c r="AL47" s="22">
        <f t="shared" si="3"/>
        <v>140</v>
      </c>
      <c r="AM47" s="19"/>
      <c r="AN47" s="33">
        <v>189</v>
      </c>
      <c r="AO47" s="19"/>
      <c r="AP47" s="20"/>
      <c r="AQ47" s="36"/>
    </row>
    <row r="48" spans="1:43" ht="15.75" x14ac:dyDescent="0.25">
      <c r="A48" s="22">
        <v>43</v>
      </c>
      <c r="B48" s="19">
        <v>206.6</v>
      </c>
      <c r="C48" s="22">
        <v>92</v>
      </c>
      <c r="D48" s="19">
        <v>211.8</v>
      </c>
      <c r="E48" s="22">
        <f t="shared" si="0"/>
        <v>141</v>
      </c>
      <c r="F48" s="19">
        <v>206.8</v>
      </c>
      <c r="G48" s="33">
        <v>190</v>
      </c>
      <c r="H48" s="19">
        <v>208.2</v>
      </c>
      <c r="I48" s="21"/>
      <c r="J48" s="36"/>
      <c r="L48" s="22">
        <v>43</v>
      </c>
      <c r="M48" s="19"/>
      <c r="N48" s="22">
        <v>92</v>
      </c>
      <c r="O48" s="19"/>
      <c r="P48" s="22">
        <f t="shared" si="1"/>
        <v>141</v>
      </c>
      <c r="Q48" s="19">
        <v>206.8</v>
      </c>
      <c r="R48" s="33">
        <v>190</v>
      </c>
      <c r="S48" s="19"/>
      <c r="T48" s="21"/>
      <c r="U48" s="36"/>
      <c r="W48" s="22">
        <v>43</v>
      </c>
      <c r="X48" s="19">
        <v>206.6</v>
      </c>
      <c r="Y48" s="22">
        <v>92</v>
      </c>
      <c r="Z48" s="19"/>
      <c r="AA48" s="22">
        <f t="shared" si="2"/>
        <v>141</v>
      </c>
      <c r="AB48" s="19"/>
      <c r="AC48" s="33">
        <v>190</v>
      </c>
      <c r="AD48" s="19">
        <v>208.2</v>
      </c>
      <c r="AE48" s="21"/>
      <c r="AF48" s="36"/>
      <c r="AH48" s="22">
        <v>43</v>
      </c>
      <c r="AI48" s="19"/>
      <c r="AJ48" s="22">
        <v>92</v>
      </c>
      <c r="AK48" s="19">
        <v>211.8</v>
      </c>
      <c r="AL48" s="22">
        <f t="shared" si="3"/>
        <v>141</v>
      </c>
      <c r="AM48" s="19"/>
      <c r="AN48" s="33">
        <v>190</v>
      </c>
      <c r="AO48" s="19"/>
      <c r="AP48" s="21"/>
      <c r="AQ48" s="36"/>
    </row>
    <row r="49" spans="1:43" ht="15.75" x14ac:dyDescent="0.25">
      <c r="A49" s="22">
        <v>44</v>
      </c>
      <c r="B49" s="19">
        <v>204.4</v>
      </c>
      <c r="C49" s="22">
        <v>93</v>
      </c>
      <c r="D49" s="19">
        <v>211.2</v>
      </c>
      <c r="E49" s="22">
        <f t="shared" si="0"/>
        <v>142</v>
      </c>
      <c r="F49" s="19">
        <v>208.7</v>
      </c>
      <c r="G49" s="33">
        <v>191</v>
      </c>
      <c r="H49" s="19">
        <v>187.7</v>
      </c>
      <c r="I49" s="21"/>
      <c r="J49" s="36"/>
      <c r="L49" s="22">
        <v>44</v>
      </c>
      <c r="M49" s="19"/>
      <c r="N49" s="22">
        <v>93</v>
      </c>
      <c r="O49" s="19"/>
      <c r="P49" s="22">
        <f t="shared" si="1"/>
        <v>142</v>
      </c>
      <c r="Q49" s="19">
        <v>208.7</v>
      </c>
      <c r="R49" s="33">
        <v>191</v>
      </c>
      <c r="S49" s="19"/>
      <c r="T49" s="21"/>
      <c r="U49" s="36"/>
      <c r="W49" s="22">
        <v>44</v>
      </c>
      <c r="X49" s="19">
        <v>204.4</v>
      </c>
      <c r="Y49" s="22">
        <v>93</v>
      </c>
      <c r="Z49" s="19"/>
      <c r="AA49" s="22">
        <f t="shared" si="2"/>
        <v>142</v>
      </c>
      <c r="AB49" s="19"/>
      <c r="AC49" s="33">
        <v>191</v>
      </c>
      <c r="AD49" s="19">
        <v>187.7</v>
      </c>
      <c r="AE49" s="21"/>
      <c r="AF49" s="36"/>
      <c r="AH49" s="22">
        <v>44</v>
      </c>
      <c r="AI49" s="19"/>
      <c r="AJ49" s="22">
        <v>93</v>
      </c>
      <c r="AK49" s="19">
        <v>211.2</v>
      </c>
      <c r="AL49" s="22">
        <f t="shared" si="3"/>
        <v>142</v>
      </c>
      <c r="AM49" s="19"/>
      <c r="AN49" s="33">
        <v>191</v>
      </c>
      <c r="AO49" s="19"/>
      <c r="AP49" s="21"/>
      <c r="AQ49" s="36"/>
    </row>
    <row r="50" spans="1:43" ht="15.75" x14ac:dyDescent="0.25">
      <c r="A50" s="22">
        <v>45</v>
      </c>
      <c r="B50" s="19">
        <v>202.5</v>
      </c>
      <c r="C50" s="22">
        <v>94</v>
      </c>
      <c r="D50" s="19">
        <v>208.2</v>
      </c>
      <c r="E50" s="22">
        <f t="shared" si="0"/>
        <v>143</v>
      </c>
      <c r="F50" s="19">
        <v>207.5</v>
      </c>
      <c r="G50" s="33">
        <v>192</v>
      </c>
      <c r="H50" s="19">
        <v>217.4</v>
      </c>
      <c r="I50" s="20"/>
      <c r="J50" s="36"/>
      <c r="L50" s="22">
        <v>45</v>
      </c>
      <c r="M50" s="19"/>
      <c r="N50" s="22">
        <v>94</v>
      </c>
      <c r="O50" s="19"/>
      <c r="P50" s="22">
        <f t="shared" si="1"/>
        <v>143</v>
      </c>
      <c r="Q50" s="19">
        <v>207.5</v>
      </c>
      <c r="R50" s="33">
        <v>192</v>
      </c>
      <c r="S50" s="19"/>
      <c r="T50" s="20"/>
      <c r="U50" s="36"/>
      <c r="W50" s="22">
        <v>45</v>
      </c>
      <c r="X50" s="19">
        <v>202.5</v>
      </c>
      <c r="Y50" s="22">
        <v>94</v>
      </c>
      <c r="Z50" s="19"/>
      <c r="AA50" s="22">
        <f t="shared" si="2"/>
        <v>143</v>
      </c>
      <c r="AB50" s="19"/>
      <c r="AC50" s="33">
        <v>192</v>
      </c>
      <c r="AD50" s="19">
        <v>217.4</v>
      </c>
      <c r="AE50" s="20"/>
      <c r="AF50" s="36"/>
      <c r="AH50" s="22">
        <v>45</v>
      </c>
      <c r="AI50" s="19"/>
      <c r="AJ50" s="22">
        <v>94</v>
      </c>
      <c r="AK50" s="19">
        <v>208.2</v>
      </c>
      <c r="AL50" s="22">
        <f t="shared" si="3"/>
        <v>143</v>
      </c>
      <c r="AM50" s="19"/>
      <c r="AN50" s="33">
        <v>192</v>
      </c>
      <c r="AO50" s="19"/>
      <c r="AP50" s="20"/>
      <c r="AQ50" s="36"/>
    </row>
    <row r="51" spans="1:43" ht="15.75" x14ac:dyDescent="0.25">
      <c r="A51" s="22">
        <v>46</v>
      </c>
      <c r="B51" s="19">
        <v>207.8</v>
      </c>
      <c r="C51" s="22">
        <v>95</v>
      </c>
      <c r="D51" s="19">
        <v>211.3</v>
      </c>
      <c r="E51" s="22">
        <f t="shared" si="0"/>
        <v>144</v>
      </c>
      <c r="F51" s="19">
        <v>215.2</v>
      </c>
      <c r="G51" s="33">
        <v>193</v>
      </c>
      <c r="H51" s="19">
        <v>209.7</v>
      </c>
      <c r="I51" s="20"/>
      <c r="J51" s="36"/>
      <c r="L51" s="22">
        <v>46</v>
      </c>
      <c r="M51" s="19"/>
      <c r="N51" s="22">
        <v>95</v>
      </c>
      <c r="O51" s="19"/>
      <c r="P51" s="22">
        <f t="shared" si="1"/>
        <v>144</v>
      </c>
      <c r="Q51" s="19">
        <v>215.2</v>
      </c>
      <c r="R51" s="33">
        <v>193</v>
      </c>
      <c r="S51" s="19"/>
      <c r="T51" s="20"/>
      <c r="U51" s="36"/>
      <c r="W51" s="22">
        <v>46</v>
      </c>
      <c r="X51" s="19">
        <v>207.8</v>
      </c>
      <c r="Y51" s="22">
        <v>95</v>
      </c>
      <c r="Z51" s="19"/>
      <c r="AA51" s="22">
        <f t="shared" si="2"/>
        <v>144</v>
      </c>
      <c r="AB51" s="19"/>
      <c r="AC51" s="33">
        <v>193</v>
      </c>
      <c r="AD51" s="19">
        <v>209.7</v>
      </c>
      <c r="AE51" s="20"/>
      <c r="AF51" s="36"/>
      <c r="AH51" s="22">
        <v>46</v>
      </c>
      <c r="AI51" s="19"/>
      <c r="AJ51" s="22">
        <v>95</v>
      </c>
      <c r="AK51" s="19">
        <v>211.3</v>
      </c>
      <c r="AL51" s="22">
        <f t="shared" si="3"/>
        <v>144</v>
      </c>
      <c r="AM51" s="19"/>
      <c r="AN51" s="33">
        <v>193</v>
      </c>
      <c r="AO51" s="19"/>
      <c r="AP51" s="20"/>
      <c r="AQ51" s="36"/>
    </row>
    <row r="52" spans="1:43" ht="15.75" x14ac:dyDescent="0.25">
      <c r="A52" s="22">
        <v>47</v>
      </c>
      <c r="B52" s="19">
        <v>212.4</v>
      </c>
      <c r="C52" s="22">
        <v>96</v>
      </c>
      <c r="D52" s="19">
        <v>217</v>
      </c>
      <c r="E52" s="22">
        <f t="shared" si="0"/>
        <v>145</v>
      </c>
      <c r="F52" s="19">
        <v>188.2</v>
      </c>
      <c r="G52" s="33">
        <v>194</v>
      </c>
      <c r="H52" s="19">
        <v>211.1</v>
      </c>
      <c r="I52" s="21"/>
      <c r="J52" s="36"/>
      <c r="L52" s="22">
        <v>47</v>
      </c>
      <c r="M52" s="19"/>
      <c r="N52" s="22">
        <v>96</v>
      </c>
      <c r="O52" s="19"/>
      <c r="P52" s="22">
        <f t="shared" si="1"/>
        <v>145</v>
      </c>
      <c r="Q52" s="19">
        <v>188.2</v>
      </c>
      <c r="R52" s="33">
        <v>194</v>
      </c>
      <c r="S52" s="19"/>
      <c r="T52" s="21"/>
      <c r="U52" s="36"/>
      <c r="W52" s="22">
        <v>47</v>
      </c>
      <c r="X52" s="19">
        <v>212.4</v>
      </c>
      <c r="Y52" s="22">
        <v>96</v>
      </c>
      <c r="Z52" s="19"/>
      <c r="AA52" s="22">
        <f t="shared" si="2"/>
        <v>145</v>
      </c>
      <c r="AB52" s="19"/>
      <c r="AC52" s="33">
        <v>194</v>
      </c>
      <c r="AD52" s="19">
        <v>211.1</v>
      </c>
      <c r="AE52" s="21"/>
      <c r="AF52" s="36"/>
      <c r="AH52" s="22">
        <v>47</v>
      </c>
      <c r="AI52" s="19"/>
      <c r="AJ52" s="22">
        <v>96</v>
      </c>
      <c r="AK52" s="19">
        <v>217</v>
      </c>
      <c r="AL52" s="22">
        <f t="shared" si="3"/>
        <v>145</v>
      </c>
      <c r="AM52" s="19"/>
      <c r="AN52" s="33">
        <v>194</v>
      </c>
      <c r="AO52" s="19"/>
      <c r="AP52" s="21"/>
      <c r="AQ52" s="36"/>
    </row>
    <row r="53" spans="1:43" ht="15.75" x14ac:dyDescent="0.25">
      <c r="A53" s="22">
        <v>48</v>
      </c>
      <c r="B53" s="19">
        <v>201.2</v>
      </c>
      <c r="C53" s="22">
        <v>97</v>
      </c>
      <c r="D53" s="19">
        <v>211</v>
      </c>
      <c r="E53" s="22">
        <f t="shared" si="0"/>
        <v>146</v>
      </c>
      <c r="F53" s="19">
        <v>210.2</v>
      </c>
      <c r="G53" s="33">
        <v>195</v>
      </c>
      <c r="H53" s="19">
        <v>212.1</v>
      </c>
      <c r="I53" s="20"/>
      <c r="J53" s="36"/>
      <c r="L53" s="22">
        <v>48</v>
      </c>
      <c r="M53" s="19"/>
      <c r="N53" s="22">
        <v>97</v>
      </c>
      <c r="O53" s="19"/>
      <c r="P53" s="22">
        <f t="shared" si="1"/>
        <v>146</v>
      </c>
      <c r="Q53" s="19">
        <v>210.2</v>
      </c>
      <c r="R53" s="33">
        <v>195</v>
      </c>
      <c r="S53" s="19"/>
      <c r="T53" s="20"/>
      <c r="U53" s="36"/>
      <c r="W53" s="22">
        <v>48</v>
      </c>
      <c r="X53" s="19">
        <v>201.2</v>
      </c>
      <c r="Y53" s="22">
        <v>97</v>
      </c>
      <c r="Z53" s="19"/>
      <c r="AA53" s="22">
        <f t="shared" si="2"/>
        <v>146</v>
      </c>
      <c r="AB53" s="19"/>
      <c r="AC53" s="33">
        <v>195</v>
      </c>
      <c r="AD53" s="19">
        <v>212.1</v>
      </c>
      <c r="AE53" s="20"/>
      <c r="AF53" s="36"/>
      <c r="AH53" s="22">
        <v>48</v>
      </c>
      <c r="AI53" s="19"/>
      <c r="AJ53" s="22">
        <v>97</v>
      </c>
      <c r="AK53" s="19">
        <v>211</v>
      </c>
      <c r="AL53" s="22">
        <f t="shared" si="3"/>
        <v>146</v>
      </c>
      <c r="AM53" s="19"/>
      <c r="AN53" s="33">
        <v>195</v>
      </c>
      <c r="AO53" s="19"/>
      <c r="AP53" s="20"/>
      <c r="AQ53" s="36"/>
    </row>
    <row r="54" spans="1:43" ht="15.75" x14ac:dyDescent="0.25">
      <c r="A54" s="37">
        <v>49</v>
      </c>
      <c r="B54" s="19">
        <v>203.4</v>
      </c>
      <c r="C54" s="37">
        <v>98</v>
      </c>
      <c r="D54" s="19">
        <v>200.2</v>
      </c>
      <c r="E54" s="22">
        <f t="shared" si="0"/>
        <v>147</v>
      </c>
      <c r="F54" s="19">
        <v>212.6</v>
      </c>
      <c r="G54" s="38">
        <v>196</v>
      </c>
      <c r="H54" s="19">
        <v>167.3</v>
      </c>
      <c r="I54" s="39"/>
      <c r="J54" s="40"/>
      <c r="L54" s="37">
        <v>49</v>
      </c>
      <c r="M54" s="19"/>
      <c r="N54" s="37">
        <v>98</v>
      </c>
      <c r="O54" s="19"/>
      <c r="P54" s="22">
        <f t="shared" si="1"/>
        <v>147</v>
      </c>
      <c r="Q54" s="19">
        <v>212.6</v>
      </c>
      <c r="R54" s="38">
        <v>196</v>
      </c>
      <c r="S54" s="19"/>
      <c r="T54" s="39"/>
      <c r="U54" s="40"/>
      <c r="W54" s="37">
        <v>49</v>
      </c>
      <c r="X54" s="19">
        <v>203.4</v>
      </c>
      <c r="Y54" s="37">
        <v>98</v>
      </c>
      <c r="Z54" s="19"/>
      <c r="AA54" s="22">
        <f t="shared" si="2"/>
        <v>147</v>
      </c>
      <c r="AB54" s="19"/>
      <c r="AC54" s="38">
        <v>196</v>
      </c>
      <c r="AD54" s="19">
        <v>167.3</v>
      </c>
      <c r="AE54" s="39"/>
      <c r="AF54" s="40"/>
      <c r="AH54" s="37">
        <v>49</v>
      </c>
      <c r="AI54" s="19"/>
      <c r="AJ54" s="37">
        <v>98</v>
      </c>
      <c r="AK54" s="19">
        <v>200.2</v>
      </c>
      <c r="AL54" s="22">
        <f t="shared" si="3"/>
        <v>147</v>
      </c>
      <c r="AM54" s="19"/>
      <c r="AN54" s="38">
        <v>196</v>
      </c>
      <c r="AO54" s="19"/>
      <c r="AP54" s="39"/>
      <c r="AQ54" s="40"/>
    </row>
    <row r="55" spans="1:43" ht="15.75" x14ac:dyDescent="0.25">
      <c r="A55" s="41"/>
      <c r="B55" s="23">
        <f>SUM(B6:B54)</f>
        <v>10211.799999999999</v>
      </c>
      <c r="C55" s="23"/>
      <c r="D55" s="23">
        <f>SUM(D6:D54)</f>
        <v>10208.100000000002</v>
      </c>
      <c r="E55" s="23"/>
      <c r="F55" s="23">
        <f>SUM(F6:F54)</f>
        <v>10134.700000000003</v>
      </c>
      <c r="G55" s="23"/>
      <c r="H55" s="23">
        <f>SUM(H6:H54)</f>
        <v>9931.5000000000018</v>
      </c>
      <c r="I55" s="41"/>
      <c r="J55" s="41">
        <f>SUM(J6:J54)</f>
        <v>4975.0999999999985</v>
      </c>
      <c r="L55" s="41"/>
      <c r="M55" s="23">
        <f>SUM(M6:M54)</f>
        <v>0</v>
      </c>
      <c r="N55" s="23"/>
      <c r="O55" s="23">
        <f>SUM(O6:O54)</f>
        <v>0</v>
      </c>
      <c r="P55" s="23"/>
      <c r="Q55" s="23">
        <f>SUM(Q6:Q54)</f>
        <v>4596.9000000000005</v>
      </c>
      <c r="R55" s="23"/>
      <c r="S55" s="23">
        <f>SUM(S6:S54)</f>
        <v>6671.6</v>
      </c>
      <c r="T55" s="41"/>
      <c r="U55" s="41">
        <f>SUM(U6:U54)</f>
        <v>0</v>
      </c>
      <c r="W55" s="41"/>
      <c r="X55" s="23">
        <f>SUM(X6:X54)</f>
        <v>10211.799999999999</v>
      </c>
      <c r="Y55" s="23"/>
      <c r="Z55" s="23">
        <f>SUM(Z6:Z54)</f>
        <v>2064.6000000000004</v>
      </c>
      <c r="AA55" s="23"/>
      <c r="AB55" s="23">
        <f>SUM(AB6:AB54)</f>
        <v>0</v>
      </c>
      <c r="AC55" s="23"/>
      <c r="AD55" s="23">
        <f>SUM(AD6:AD54)</f>
        <v>3259.8999999999996</v>
      </c>
      <c r="AE55" s="41"/>
      <c r="AF55" s="41">
        <f>SUM(AF6:AF54)</f>
        <v>4975.0999999999985</v>
      </c>
      <c r="AH55" s="41"/>
      <c r="AI55" s="23">
        <f>SUM(AI6:AI54)</f>
        <v>0</v>
      </c>
      <c r="AJ55" s="23"/>
      <c r="AK55" s="23">
        <f>SUM(AK6:AK54)</f>
        <v>8143.5</v>
      </c>
      <c r="AL55" s="23"/>
      <c r="AM55" s="23">
        <f>SUM(AM6:AM54)</f>
        <v>5537.8</v>
      </c>
      <c r="AN55" s="23"/>
      <c r="AO55" s="23">
        <f>SUM(AO6:AO54)</f>
        <v>0</v>
      </c>
      <c r="AP55" s="41"/>
      <c r="AQ55" s="41">
        <f>SUM(AQ6:AQ54)</f>
        <v>0</v>
      </c>
    </row>
    <row r="56" spans="1:43" ht="15.75" x14ac:dyDescent="0.25">
      <c r="A56" s="42" t="s">
        <v>5</v>
      </c>
      <c r="B56" s="43">
        <f>COUNT(B6:B54,D6:D54,F6:F54,H6:H54,J6:J54)</f>
        <v>220</v>
      </c>
      <c r="C56" s="13" t="s">
        <v>6</v>
      </c>
      <c r="D56" s="44"/>
      <c r="E56" s="45">
        <f>B55+D55+F55+H55+J55</f>
        <v>45461.200000000004</v>
      </c>
      <c r="F56" s="24" t="s">
        <v>7</v>
      </c>
      <c r="G56" s="1">
        <f>B56*2.2</f>
        <v>484.00000000000006</v>
      </c>
      <c r="H56" s="13" t="s">
        <v>8</v>
      </c>
      <c r="I56" s="44"/>
      <c r="J56" s="45">
        <f>E56-G56</f>
        <v>44977.200000000004</v>
      </c>
      <c r="L56" s="42" t="s">
        <v>5</v>
      </c>
      <c r="M56" s="43">
        <f>COUNT(M6:M54,O6:O54,Q6:Q54,S6:S54,U6:U54)</f>
        <v>55</v>
      </c>
      <c r="N56" s="13" t="s">
        <v>6</v>
      </c>
      <c r="O56" s="44"/>
      <c r="P56" s="45">
        <f>M55+O55+Q55+S55+U55</f>
        <v>11268.5</v>
      </c>
      <c r="Q56" s="24" t="s">
        <v>7</v>
      </c>
      <c r="R56" s="1">
        <f>M56*2.2</f>
        <v>121.00000000000001</v>
      </c>
      <c r="S56" s="13" t="s">
        <v>8</v>
      </c>
      <c r="T56" s="44"/>
      <c r="U56" s="45">
        <f>P56-R56</f>
        <v>11147.5</v>
      </c>
      <c r="W56" s="42" t="s">
        <v>5</v>
      </c>
      <c r="X56" s="43">
        <f>COUNT(X6:X54,Z6:Z54,AB6:AB54,AD6:AD54,AF6:AF54)</f>
        <v>99</v>
      </c>
      <c r="Y56" s="13" t="s">
        <v>6</v>
      </c>
      <c r="Z56" s="44"/>
      <c r="AA56" s="45">
        <f>X55+Z55+AB55+AD55+AF55</f>
        <v>20511.399999999998</v>
      </c>
      <c r="AB56" s="24" t="s">
        <v>7</v>
      </c>
      <c r="AC56" s="1">
        <f>X56*2.2</f>
        <v>217.8</v>
      </c>
      <c r="AD56" s="13" t="s">
        <v>8</v>
      </c>
      <c r="AE56" s="44"/>
      <c r="AF56" s="45">
        <f>AA56-AC56</f>
        <v>20293.599999999999</v>
      </c>
      <c r="AH56" s="42" t="s">
        <v>5</v>
      </c>
      <c r="AI56" s="43">
        <f>COUNT(AI6:AI54,AK6:AK54,AM6:AM54,AO6:AO54,AQ6:AQ54)</f>
        <v>66</v>
      </c>
      <c r="AJ56" s="13" t="s">
        <v>6</v>
      </c>
      <c r="AK56" s="44"/>
      <c r="AL56" s="45">
        <f>AI55+AK55+AM55+AO55+AQ55</f>
        <v>13681.3</v>
      </c>
      <c r="AM56" s="24" t="s">
        <v>7</v>
      </c>
      <c r="AN56" s="1">
        <f>AI56*2.2</f>
        <v>145.20000000000002</v>
      </c>
      <c r="AO56" s="13" t="s">
        <v>8</v>
      </c>
      <c r="AP56" s="44"/>
      <c r="AQ56" s="45">
        <f>AL56-AN56</f>
        <v>13536.099999999999</v>
      </c>
    </row>
    <row r="57" spans="1:43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  <c r="L57" s="42" t="s">
        <v>9</v>
      </c>
      <c r="M57" s="25"/>
      <c r="N57" s="46"/>
      <c r="O57" s="44"/>
      <c r="P57" s="47"/>
      <c r="Q57" s="25"/>
      <c r="R57" s="48"/>
      <c r="S57" s="46"/>
      <c r="T57" s="44"/>
      <c r="U57" s="49"/>
      <c r="W57" s="42" t="s">
        <v>9</v>
      </c>
      <c r="X57" s="25"/>
      <c r="Y57" s="46"/>
      <c r="Z57" s="44"/>
      <c r="AA57" s="47"/>
      <c r="AB57" s="25"/>
      <c r="AC57" s="48"/>
      <c r="AD57" s="46"/>
      <c r="AE57" s="44"/>
      <c r="AF57" s="49"/>
      <c r="AH57" s="42" t="s">
        <v>9</v>
      </c>
      <c r="AI57" s="25"/>
      <c r="AJ57" s="46"/>
      <c r="AK57" s="44"/>
      <c r="AL57" s="47"/>
      <c r="AM57" s="25"/>
      <c r="AN57" s="48"/>
      <c r="AO57" s="46"/>
      <c r="AP57" s="44"/>
      <c r="AQ57" s="49"/>
    </row>
    <row r="58" spans="1:43" x14ac:dyDescent="0.25">
      <c r="B58">
        <f>M56+X56+AI56</f>
        <v>220</v>
      </c>
      <c r="E58" s="80">
        <f>P56+AA56+AL56</f>
        <v>45461.2</v>
      </c>
      <c r="J58" s="80">
        <f>U56+AF56+AQ56</f>
        <v>44977.2</v>
      </c>
    </row>
    <row r="59" spans="1:43" x14ac:dyDescent="0.25">
      <c r="F59" s="112" t="s">
        <v>61</v>
      </c>
      <c r="G59" s="112">
        <v>2.2000000000000002</v>
      </c>
      <c r="Q59" s="112" t="s">
        <v>61</v>
      </c>
      <c r="R59" s="112">
        <v>2.2000000000000002</v>
      </c>
      <c r="AB59" s="112" t="s">
        <v>61</v>
      </c>
      <c r="AC59" s="112">
        <v>2.2000000000000002</v>
      </c>
    </row>
  </sheetData>
  <protectedRanges>
    <protectedRange password="CCE1" sqref="C6:C54 G6:G54 E6:E54 I6:I29 N6:N54 R6:R54 P6:P54 T6:T29 Y6:Y54 AC6:AC54 AA6:AA54 AE6:AE29 AJ6:AJ54 AN6:AN54 AL6:AL54 AP6:AP29" name="Диапазон1_3_1_7_2_1_1_1_1_1_1_1"/>
  </protectedRanges>
  <mergeCells count="8">
    <mergeCell ref="AH1:AQ1"/>
    <mergeCell ref="AP4:AQ4"/>
    <mergeCell ref="A1:J1"/>
    <mergeCell ref="I4:J4"/>
    <mergeCell ref="L1:U1"/>
    <mergeCell ref="T4:U4"/>
    <mergeCell ref="W1:AF1"/>
    <mergeCell ref="AE4:AF4"/>
  </mergeCells>
  <pageMargins left="0.7" right="0.7" top="0.75" bottom="0.75" header="0.3" footer="0.3"/>
  <pageSetup paperSize="9" scale="83" orientation="portrait" verticalDpi="0" r:id="rId1"/>
  <rowBreaks count="1" manualBreakCount="1">
    <brk id="57" max="16383" man="1"/>
  </rowBreaks>
  <colBreaks count="3" manualBreakCount="3">
    <brk id="10" max="56" man="1"/>
    <brk id="21" max="56" man="1"/>
    <brk id="32" max="56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9"/>
  <sheetViews>
    <sheetView topLeftCell="L49" zoomScaleNormal="100" workbookViewId="0">
      <selection activeCell="T4" sqref="T4:U4"/>
    </sheetView>
  </sheetViews>
  <sheetFormatPr defaultRowHeight="15" x14ac:dyDescent="0.25"/>
  <cols>
    <col min="11" max="11" width="2.7109375" customWidth="1"/>
    <col min="22" max="22" width="2.7109375" customWidth="1"/>
  </cols>
  <sheetData>
    <row r="1" spans="1:32" ht="18.75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L1" s="204" t="s">
        <v>0</v>
      </c>
      <c r="M1" s="204"/>
      <c r="N1" s="204"/>
      <c r="O1" s="204"/>
      <c r="P1" s="204"/>
      <c r="Q1" s="204"/>
      <c r="R1" s="204"/>
      <c r="S1" s="204"/>
      <c r="T1" s="204"/>
      <c r="U1" s="204"/>
      <c r="W1" s="204" t="s">
        <v>0</v>
      </c>
      <c r="X1" s="204"/>
      <c r="Y1" s="204"/>
      <c r="Z1" s="204"/>
      <c r="AA1" s="204"/>
      <c r="AB1" s="204"/>
      <c r="AC1" s="204"/>
      <c r="AD1" s="204"/>
      <c r="AE1" s="204"/>
      <c r="AF1" s="204"/>
    </row>
    <row r="2" spans="1:32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  <c r="L2" s="13" t="s">
        <v>1</v>
      </c>
      <c r="M2" s="13"/>
      <c r="N2" s="13"/>
      <c r="O2" s="13"/>
      <c r="P2" s="13"/>
      <c r="Q2" s="13"/>
      <c r="R2" s="27"/>
      <c r="S2" s="13"/>
      <c r="T2" s="13"/>
      <c r="U2" s="13"/>
      <c r="W2" s="13" t="s">
        <v>1</v>
      </c>
      <c r="X2" s="13"/>
      <c r="Y2" s="13"/>
      <c r="Z2" s="13"/>
      <c r="AA2" s="13"/>
      <c r="AB2" s="13"/>
      <c r="AC2" s="27"/>
      <c r="AD2" s="13"/>
      <c r="AE2" s="13"/>
      <c r="AF2" s="13"/>
    </row>
    <row r="3" spans="1:32" ht="15.75" x14ac:dyDescent="0.25">
      <c r="A3" s="25" t="s">
        <v>2</v>
      </c>
      <c r="B3" s="27">
        <v>228</v>
      </c>
      <c r="C3" s="14"/>
      <c r="D3" s="15"/>
      <c r="E3" s="16"/>
      <c r="F3" s="16"/>
      <c r="G3" s="16"/>
      <c r="H3" s="16"/>
      <c r="I3" s="16" t="s">
        <v>33</v>
      </c>
      <c r="J3" s="16"/>
      <c r="L3" s="25" t="s">
        <v>2</v>
      </c>
      <c r="M3" s="27">
        <v>228</v>
      </c>
      <c r="N3" s="14"/>
      <c r="O3" s="15"/>
      <c r="P3" s="16"/>
      <c r="Q3" s="16"/>
      <c r="R3" s="16"/>
      <c r="S3" s="16"/>
      <c r="T3" s="16" t="s">
        <v>33</v>
      </c>
      <c r="U3" s="16"/>
      <c r="W3" s="25" t="s">
        <v>2</v>
      </c>
      <c r="X3" s="27">
        <v>228</v>
      </c>
      <c r="Y3" s="14"/>
      <c r="Z3" s="15"/>
      <c r="AA3" s="16"/>
      <c r="AB3" s="16"/>
      <c r="AC3" s="16"/>
      <c r="AD3" s="16"/>
      <c r="AE3" s="16" t="s">
        <v>33</v>
      </c>
      <c r="AF3" s="16"/>
    </row>
    <row r="4" spans="1:32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  <c r="L4" s="17"/>
      <c r="M4" s="17"/>
      <c r="N4" s="17"/>
      <c r="O4" s="17"/>
      <c r="P4" s="17"/>
      <c r="Q4" s="17"/>
      <c r="R4" s="17"/>
      <c r="S4" s="28"/>
      <c r="T4" s="205" t="s">
        <v>48</v>
      </c>
      <c r="U4" s="206"/>
      <c r="W4" s="17"/>
      <c r="X4" s="17"/>
      <c r="Y4" s="17"/>
      <c r="Z4" s="17"/>
      <c r="AA4" s="17"/>
      <c r="AB4" s="17"/>
      <c r="AC4" s="17"/>
      <c r="AD4" s="28"/>
      <c r="AE4" s="205" t="s">
        <v>50</v>
      </c>
      <c r="AF4" s="206"/>
    </row>
    <row r="5" spans="1:32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  <c r="L5" s="29" t="s">
        <v>3</v>
      </c>
      <c r="M5" s="18" t="s">
        <v>4</v>
      </c>
      <c r="N5" s="29" t="s">
        <v>3</v>
      </c>
      <c r="O5" s="18" t="s">
        <v>4</v>
      </c>
      <c r="P5" s="29" t="s">
        <v>3</v>
      </c>
      <c r="Q5" s="18" t="s">
        <v>4</v>
      </c>
      <c r="R5" s="29" t="s">
        <v>3</v>
      </c>
      <c r="S5" s="30" t="s">
        <v>4</v>
      </c>
      <c r="T5" s="31" t="s">
        <v>3</v>
      </c>
      <c r="U5" s="32" t="s">
        <v>4</v>
      </c>
      <c r="W5" s="29" t="s">
        <v>3</v>
      </c>
      <c r="X5" s="18" t="s">
        <v>4</v>
      </c>
      <c r="Y5" s="29" t="s">
        <v>3</v>
      </c>
      <c r="Z5" s="18" t="s">
        <v>4</v>
      </c>
      <c r="AA5" s="29" t="s">
        <v>3</v>
      </c>
      <c r="AB5" s="18" t="s">
        <v>4</v>
      </c>
      <c r="AC5" s="29" t="s">
        <v>3</v>
      </c>
      <c r="AD5" s="30" t="s">
        <v>4</v>
      </c>
      <c r="AE5" s="31" t="s">
        <v>3</v>
      </c>
      <c r="AF5" s="32" t="s">
        <v>4</v>
      </c>
    </row>
    <row r="6" spans="1:32" ht="15.75" x14ac:dyDescent="0.25">
      <c r="A6" s="22">
        <v>1</v>
      </c>
      <c r="B6" s="19">
        <v>166.4</v>
      </c>
      <c r="C6" s="22">
        <v>50</v>
      </c>
      <c r="D6" s="19">
        <v>202</v>
      </c>
      <c r="E6" s="22">
        <v>99</v>
      </c>
      <c r="F6" s="19">
        <v>194.6</v>
      </c>
      <c r="G6" s="33">
        <v>148</v>
      </c>
      <c r="H6" s="19">
        <v>195.4</v>
      </c>
      <c r="I6" s="34">
        <v>197</v>
      </c>
      <c r="J6" s="19">
        <v>180.3</v>
      </c>
      <c r="L6" s="22">
        <v>1</v>
      </c>
      <c r="M6" s="19">
        <v>166.4</v>
      </c>
      <c r="N6" s="22">
        <v>50</v>
      </c>
      <c r="O6" s="19"/>
      <c r="P6" s="22">
        <v>99</v>
      </c>
      <c r="Q6" s="19"/>
      <c r="R6" s="33">
        <v>148</v>
      </c>
      <c r="S6" s="19">
        <v>195.4</v>
      </c>
      <c r="T6" s="34">
        <v>197</v>
      </c>
      <c r="U6" s="19"/>
      <c r="W6" s="22">
        <v>1</v>
      </c>
      <c r="X6" s="19"/>
      <c r="Y6" s="22">
        <v>50</v>
      </c>
      <c r="Z6" s="19">
        <v>202</v>
      </c>
      <c r="AA6" s="22">
        <v>99</v>
      </c>
      <c r="AB6" s="19">
        <v>194.6</v>
      </c>
      <c r="AC6" s="33">
        <v>148</v>
      </c>
      <c r="AD6" s="19"/>
      <c r="AE6" s="34">
        <v>197</v>
      </c>
      <c r="AF6" s="19">
        <v>180.3</v>
      </c>
    </row>
    <row r="7" spans="1:32" ht="15.75" x14ac:dyDescent="0.25">
      <c r="A7" s="22">
        <v>2</v>
      </c>
      <c r="B7" s="19">
        <v>208.6</v>
      </c>
      <c r="C7" s="22">
        <v>51</v>
      </c>
      <c r="D7" s="19">
        <v>196</v>
      </c>
      <c r="E7" s="22">
        <v>100</v>
      </c>
      <c r="F7" s="19">
        <v>207.9</v>
      </c>
      <c r="G7" s="33">
        <v>149</v>
      </c>
      <c r="H7" s="19">
        <v>211.7</v>
      </c>
      <c r="I7" s="33">
        <v>198</v>
      </c>
      <c r="J7" s="19">
        <v>208.5</v>
      </c>
      <c r="L7" s="22">
        <v>2</v>
      </c>
      <c r="M7" s="19">
        <v>208.6</v>
      </c>
      <c r="N7" s="22">
        <v>51</v>
      </c>
      <c r="O7" s="19"/>
      <c r="P7" s="22">
        <v>100</v>
      </c>
      <c r="Q7" s="19"/>
      <c r="R7" s="33">
        <v>149</v>
      </c>
      <c r="S7" s="19">
        <v>211.7</v>
      </c>
      <c r="T7" s="33">
        <v>198</v>
      </c>
      <c r="U7" s="19"/>
      <c r="W7" s="22">
        <v>2</v>
      </c>
      <c r="X7" s="19"/>
      <c r="Y7" s="22">
        <v>51</v>
      </c>
      <c r="Z7" s="19">
        <v>196</v>
      </c>
      <c r="AA7" s="22">
        <v>100</v>
      </c>
      <c r="AB7" s="19">
        <v>207.9</v>
      </c>
      <c r="AC7" s="33">
        <v>149</v>
      </c>
      <c r="AD7" s="19"/>
      <c r="AE7" s="33">
        <v>198</v>
      </c>
      <c r="AF7" s="19">
        <v>208.5</v>
      </c>
    </row>
    <row r="8" spans="1:32" ht="15.75" x14ac:dyDescent="0.25">
      <c r="A8" s="22">
        <v>3</v>
      </c>
      <c r="B8" s="19">
        <v>169</v>
      </c>
      <c r="C8" s="22">
        <v>52</v>
      </c>
      <c r="D8" s="19">
        <v>195.9</v>
      </c>
      <c r="E8" s="22">
        <f t="shared" ref="E8:E54" si="0">+E7+1</f>
        <v>101</v>
      </c>
      <c r="F8" s="19">
        <v>207.7</v>
      </c>
      <c r="G8" s="33">
        <v>150</v>
      </c>
      <c r="H8" s="19">
        <v>212.8</v>
      </c>
      <c r="I8" s="33">
        <v>199</v>
      </c>
      <c r="J8" s="19">
        <v>208.8</v>
      </c>
      <c r="L8" s="22">
        <v>3</v>
      </c>
      <c r="M8" s="19">
        <v>169</v>
      </c>
      <c r="N8" s="22">
        <v>52</v>
      </c>
      <c r="O8" s="19"/>
      <c r="P8" s="22">
        <f t="shared" ref="P8:P54" si="1">+P7+1</f>
        <v>101</v>
      </c>
      <c r="Q8" s="19"/>
      <c r="R8" s="33">
        <v>150</v>
      </c>
      <c r="S8" s="19">
        <v>212.8</v>
      </c>
      <c r="T8" s="33">
        <v>199</v>
      </c>
      <c r="U8" s="19"/>
      <c r="W8" s="22">
        <v>3</v>
      </c>
      <c r="X8" s="19"/>
      <c r="Y8" s="22">
        <v>52</v>
      </c>
      <c r="Z8" s="19">
        <v>195.9</v>
      </c>
      <c r="AA8" s="22">
        <f t="shared" ref="AA8:AA54" si="2">+AA7+1</f>
        <v>101</v>
      </c>
      <c r="AB8" s="19">
        <v>207.7</v>
      </c>
      <c r="AC8" s="33">
        <v>150</v>
      </c>
      <c r="AD8" s="19"/>
      <c r="AE8" s="33">
        <v>199</v>
      </c>
      <c r="AF8" s="19">
        <v>208.8</v>
      </c>
    </row>
    <row r="9" spans="1:32" ht="15.75" x14ac:dyDescent="0.25">
      <c r="A9" s="22">
        <v>4</v>
      </c>
      <c r="B9" s="19">
        <v>205.8</v>
      </c>
      <c r="C9" s="22">
        <v>53</v>
      </c>
      <c r="D9" s="19">
        <v>189.6</v>
      </c>
      <c r="E9" s="22">
        <f t="shared" si="0"/>
        <v>102</v>
      </c>
      <c r="F9" s="19">
        <v>171.6</v>
      </c>
      <c r="G9" s="33">
        <v>151</v>
      </c>
      <c r="H9" s="19">
        <v>216.9</v>
      </c>
      <c r="I9" s="33">
        <v>200</v>
      </c>
      <c r="J9" s="19">
        <v>210.6</v>
      </c>
      <c r="L9" s="22">
        <v>4</v>
      </c>
      <c r="M9" s="19">
        <v>205.8</v>
      </c>
      <c r="N9" s="22">
        <v>53</v>
      </c>
      <c r="O9" s="19"/>
      <c r="P9" s="22">
        <f t="shared" si="1"/>
        <v>102</v>
      </c>
      <c r="Q9" s="19"/>
      <c r="R9" s="33">
        <v>151</v>
      </c>
      <c r="S9" s="19">
        <v>216.9</v>
      </c>
      <c r="T9" s="33">
        <v>200</v>
      </c>
      <c r="U9" s="19"/>
      <c r="W9" s="22">
        <v>4</v>
      </c>
      <c r="X9" s="19"/>
      <c r="Y9" s="22">
        <v>53</v>
      </c>
      <c r="Z9" s="19">
        <v>189.6</v>
      </c>
      <c r="AA9" s="22">
        <f t="shared" si="2"/>
        <v>102</v>
      </c>
      <c r="AB9" s="19">
        <v>171.6</v>
      </c>
      <c r="AC9" s="33">
        <v>151</v>
      </c>
      <c r="AD9" s="19"/>
      <c r="AE9" s="33">
        <v>200</v>
      </c>
      <c r="AF9" s="19">
        <v>210.6</v>
      </c>
    </row>
    <row r="10" spans="1:32" ht="15.75" x14ac:dyDescent="0.25">
      <c r="A10" s="22">
        <v>5</v>
      </c>
      <c r="B10" s="19">
        <v>178</v>
      </c>
      <c r="C10" s="22">
        <v>54</v>
      </c>
      <c r="D10" s="19">
        <v>210</v>
      </c>
      <c r="E10" s="22">
        <f t="shared" si="0"/>
        <v>103</v>
      </c>
      <c r="F10" s="19">
        <v>212.3</v>
      </c>
      <c r="G10" s="33">
        <v>152</v>
      </c>
      <c r="H10" s="19">
        <v>216.2</v>
      </c>
      <c r="I10" s="33">
        <v>201</v>
      </c>
      <c r="J10" s="19">
        <v>203</v>
      </c>
      <c r="L10" s="22">
        <v>5</v>
      </c>
      <c r="M10" s="19">
        <v>178</v>
      </c>
      <c r="N10" s="22">
        <v>54</v>
      </c>
      <c r="O10" s="19"/>
      <c r="P10" s="22">
        <f t="shared" si="1"/>
        <v>103</v>
      </c>
      <c r="Q10" s="19"/>
      <c r="R10" s="33">
        <v>152</v>
      </c>
      <c r="S10" s="19">
        <v>216.2</v>
      </c>
      <c r="T10" s="33">
        <v>201</v>
      </c>
      <c r="U10" s="19"/>
      <c r="W10" s="22">
        <v>5</v>
      </c>
      <c r="X10" s="19"/>
      <c r="Y10" s="22">
        <v>54</v>
      </c>
      <c r="Z10" s="19">
        <v>210</v>
      </c>
      <c r="AA10" s="22">
        <f t="shared" si="2"/>
        <v>103</v>
      </c>
      <c r="AB10" s="19">
        <v>212.3</v>
      </c>
      <c r="AC10" s="33">
        <v>152</v>
      </c>
      <c r="AD10" s="19"/>
      <c r="AE10" s="33">
        <v>201</v>
      </c>
      <c r="AF10" s="19">
        <v>203</v>
      </c>
    </row>
    <row r="11" spans="1:32" ht="15.75" x14ac:dyDescent="0.25">
      <c r="A11" s="22">
        <v>6</v>
      </c>
      <c r="B11" s="19">
        <v>211.9</v>
      </c>
      <c r="C11" s="22">
        <v>55</v>
      </c>
      <c r="D11" s="19">
        <v>186.3</v>
      </c>
      <c r="E11" s="22">
        <f t="shared" si="0"/>
        <v>104</v>
      </c>
      <c r="F11" s="19">
        <v>177.7</v>
      </c>
      <c r="G11" s="33">
        <v>153</v>
      </c>
      <c r="H11" s="19">
        <v>215</v>
      </c>
      <c r="I11" s="33">
        <v>202</v>
      </c>
      <c r="J11" s="19">
        <v>195.7</v>
      </c>
      <c r="L11" s="22">
        <v>6</v>
      </c>
      <c r="M11" s="19">
        <v>211.9</v>
      </c>
      <c r="N11" s="22">
        <v>55</v>
      </c>
      <c r="O11" s="19"/>
      <c r="P11" s="22">
        <f t="shared" si="1"/>
        <v>104</v>
      </c>
      <c r="Q11" s="19"/>
      <c r="R11" s="33">
        <v>153</v>
      </c>
      <c r="S11" s="19">
        <v>215</v>
      </c>
      <c r="T11" s="33">
        <v>202</v>
      </c>
      <c r="U11" s="19"/>
      <c r="W11" s="22">
        <v>6</v>
      </c>
      <c r="X11" s="19"/>
      <c r="Y11" s="22">
        <v>55</v>
      </c>
      <c r="Z11" s="19">
        <v>186.3</v>
      </c>
      <c r="AA11" s="22">
        <f t="shared" si="2"/>
        <v>104</v>
      </c>
      <c r="AB11" s="19">
        <v>177.7</v>
      </c>
      <c r="AC11" s="33">
        <v>153</v>
      </c>
      <c r="AD11" s="19"/>
      <c r="AE11" s="33">
        <v>202</v>
      </c>
      <c r="AF11" s="19">
        <v>195.7</v>
      </c>
    </row>
    <row r="12" spans="1:32" ht="15.75" x14ac:dyDescent="0.25">
      <c r="A12" s="22">
        <v>7</v>
      </c>
      <c r="B12" s="19">
        <v>208.4</v>
      </c>
      <c r="C12" s="22">
        <v>56</v>
      </c>
      <c r="D12" s="19">
        <v>209.2</v>
      </c>
      <c r="E12" s="22">
        <f t="shared" si="0"/>
        <v>105</v>
      </c>
      <c r="F12" s="19">
        <v>213.3</v>
      </c>
      <c r="G12" s="33">
        <v>154</v>
      </c>
      <c r="H12" s="19">
        <v>212.5</v>
      </c>
      <c r="I12" s="33">
        <v>203</v>
      </c>
      <c r="J12" s="19">
        <v>209.7</v>
      </c>
      <c r="L12" s="22">
        <v>7</v>
      </c>
      <c r="M12" s="19">
        <v>208.4</v>
      </c>
      <c r="N12" s="22">
        <v>56</v>
      </c>
      <c r="O12" s="19"/>
      <c r="P12" s="22">
        <f t="shared" si="1"/>
        <v>105</v>
      </c>
      <c r="Q12" s="19"/>
      <c r="R12" s="33">
        <v>154</v>
      </c>
      <c r="S12" s="19">
        <v>212.5</v>
      </c>
      <c r="T12" s="33">
        <v>203</v>
      </c>
      <c r="U12" s="19"/>
      <c r="W12" s="22">
        <v>7</v>
      </c>
      <c r="X12" s="19"/>
      <c r="Y12" s="22">
        <v>56</v>
      </c>
      <c r="Z12" s="19">
        <v>209.2</v>
      </c>
      <c r="AA12" s="22">
        <f t="shared" si="2"/>
        <v>105</v>
      </c>
      <c r="AB12" s="19">
        <v>213.3</v>
      </c>
      <c r="AC12" s="33">
        <v>154</v>
      </c>
      <c r="AD12" s="19"/>
      <c r="AE12" s="33">
        <v>203</v>
      </c>
      <c r="AF12" s="19">
        <v>209.7</v>
      </c>
    </row>
    <row r="13" spans="1:32" ht="15.75" x14ac:dyDescent="0.25">
      <c r="A13" s="22">
        <v>8</v>
      </c>
      <c r="B13" s="19">
        <v>181.8</v>
      </c>
      <c r="C13" s="22">
        <v>57</v>
      </c>
      <c r="D13" s="19">
        <v>184.6</v>
      </c>
      <c r="E13" s="22">
        <f t="shared" si="0"/>
        <v>106</v>
      </c>
      <c r="F13" s="19">
        <v>210.2</v>
      </c>
      <c r="G13" s="33">
        <v>155</v>
      </c>
      <c r="H13" s="19">
        <v>208.1</v>
      </c>
      <c r="I13" s="33">
        <v>204</v>
      </c>
      <c r="J13" s="19">
        <v>211.5</v>
      </c>
      <c r="L13" s="22">
        <v>8</v>
      </c>
      <c r="M13" s="19">
        <v>181.8</v>
      </c>
      <c r="N13" s="22">
        <v>57</v>
      </c>
      <c r="O13" s="19"/>
      <c r="P13" s="22">
        <f t="shared" si="1"/>
        <v>106</v>
      </c>
      <c r="Q13" s="19"/>
      <c r="R13" s="33">
        <v>155</v>
      </c>
      <c r="S13" s="19">
        <v>208.1</v>
      </c>
      <c r="T13" s="33">
        <v>204</v>
      </c>
      <c r="U13" s="19"/>
      <c r="W13" s="22">
        <v>8</v>
      </c>
      <c r="X13" s="19"/>
      <c r="Y13" s="22">
        <v>57</v>
      </c>
      <c r="Z13" s="19">
        <v>184.6</v>
      </c>
      <c r="AA13" s="22">
        <f t="shared" si="2"/>
        <v>106</v>
      </c>
      <c r="AB13" s="19">
        <v>210.2</v>
      </c>
      <c r="AC13" s="33">
        <v>155</v>
      </c>
      <c r="AD13" s="19"/>
      <c r="AE13" s="33">
        <v>204</v>
      </c>
      <c r="AF13" s="19">
        <v>211.5</v>
      </c>
    </row>
    <row r="14" spans="1:32" ht="15.75" x14ac:dyDescent="0.25">
      <c r="A14" s="22">
        <v>9</v>
      </c>
      <c r="B14" s="19">
        <v>204.9</v>
      </c>
      <c r="C14" s="22">
        <v>58</v>
      </c>
      <c r="D14" s="19">
        <v>178.3</v>
      </c>
      <c r="E14" s="22">
        <f t="shared" si="0"/>
        <v>107</v>
      </c>
      <c r="F14" s="19">
        <v>205.9</v>
      </c>
      <c r="G14" s="33">
        <v>156</v>
      </c>
      <c r="H14" s="19">
        <v>212.8</v>
      </c>
      <c r="I14" s="33">
        <v>205</v>
      </c>
      <c r="J14" s="19">
        <v>206.5</v>
      </c>
      <c r="L14" s="22">
        <v>9</v>
      </c>
      <c r="M14" s="19">
        <v>204.9</v>
      </c>
      <c r="N14" s="22">
        <v>58</v>
      </c>
      <c r="O14" s="19"/>
      <c r="P14" s="22">
        <f t="shared" si="1"/>
        <v>107</v>
      </c>
      <c r="Q14" s="19"/>
      <c r="R14" s="33">
        <v>156</v>
      </c>
      <c r="S14" s="19">
        <v>212.8</v>
      </c>
      <c r="T14" s="33">
        <v>205</v>
      </c>
      <c r="U14" s="19"/>
      <c r="W14" s="22">
        <v>9</v>
      </c>
      <c r="X14" s="19"/>
      <c r="Y14" s="22">
        <v>58</v>
      </c>
      <c r="Z14" s="19">
        <v>178.3</v>
      </c>
      <c r="AA14" s="22">
        <f t="shared" si="2"/>
        <v>107</v>
      </c>
      <c r="AB14" s="19">
        <v>205.9</v>
      </c>
      <c r="AC14" s="33">
        <v>156</v>
      </c>
      <c r="AD14" s="19"/>
      <c r="AE14" s="33">
        <v>205</v>
      </c>
      <c r="AF14" s="19">
        <v>206.5</v>
      </c>
    </row>
    <row r="15" spans="1:32" ht="15.75" x14ac:dyDescent="0.25">
      <c r="A15" s="22">
        <v>10</v>
      </c>
      <c r="B15" s="19">
        <v>174.9</v>
      </c>
      <c r="C15" s="22">
        <v>59</v>
      </c>
      <c r="D15" s="19">
        <v>207.6</v>
      </c>
      <c r="E15" s="22">
        <f t="shared" si="0"/>
        <v>108</v>
      </c>
      <c r="F15" s="19">
        <v>212.8</v>
      </c>
      <c r="G15" s="33">
        <v>157</v>
      </c>
      <c r="H15" s="19">
        <v>183.3</v>
      </c>
      <c r="I15" s="33">
        <v>206</v>
      </c>
      <c r="J15" s="19">
        <v>203.7</v>
      </c>
      <c r="L15" s="22">
        <v>10</v>
      </c>
      <c r="M15" s="19">
        <v>174.9</v>
      </c>
      <c r="N15" s="22">
        <v>59</v>
      </c>
      <c r="O15" s="19"/>
      <c r="P15" s="22">
        <f t="shared" si="1"/>
        <v>108</v>
      </c>
      <c r="Q15" s="19"/>
      <c r="R15" s="33">
        <v>157</v>
      </c>
      <c r="S15" s="19">
        <v>183.3</v>
      </c>
      <c r="T15" s="33">
        <v>206</v>
      </c>
      <c r="U15" s="19"/>
      <c r="W15" s="22">
        <v>10</v>
      </c>
      <c r="X15" s="19"/>
      <c r="Y15" s="22">
        <v>59</v>
      </c>
      <c r="Z15" s="19">
        <v>207.6</v>
      </c>
      <c r="AA15" s="22">
        <f t="shared" si="2"/>
        <v>108</v>
      </c>
      <c r="AB15" s="19">
        <v>212.8</v>
      </c>
      <c r="AC15" s="33">
        <v>157</v>
      </c>
      <c r="AD15" s="19"/>
      <c r="AE15" s="33">
        <v>206</v>
      </c>
      <c r="AF15" s="19">
        <v>203.7</v>
      </c>
    </row>
    <row r="16" spans="1:32" ht="15.75" x14ac:dyDescent="0.25">
      <c r="A16" s="22">
        <v>11</v>
      </c>
      <c r="B16" s="19">
        <v>204.3</v>
      </c>
      <c r="C16" s="22">
        <v>60</v>
      </c>
      <c r="D16" s="19">
        <v>194.6</v>
      </c>
      <c r="E16" s="22">
        <f t="shared" si="0"/>
        <v>109</v>
      </c>
      <c r="F16" s="19">
        <v>212</v>
      </c>
      <c r="G16" s="33">
        <v>158</v>
      </c>
      <c r="H16" s="19">
        <v>207.7</v>
      </c>
      <c r="I16" s="33">
        <v>207</v>
      </c>
      <c r="J16" s="19">
        <v>206.4</v>
      </c>
      <c r="L16" s="22">
        <v>11</v>
      </c>
      <c r="M16" s="19">
        <v>204.3</v>
      </c>
      <c r="N16" s="22">
        <v>60</v>
      </c>
      <c r="O16" s="19"/>
      <c r="P16" s="22">
        <f t="shared" si="1"/>
        <v>109</v>
      </c>
      <c r="Q16" s="19"/>
      <c r="R16" s="33">
        <v>158</v>
      </c>
      <c r="S16" s="19">
        <v>207.7</v>
      </c>
      <c r="T16" s="33">
        <v>207</v>
      </c>
      <c r="U16" s="19"/>
      <c r="W16" s="22">
        <v>11</v>
      </c>
      <c r="X16" s="19"/>
      <c r="Y16" s="22">
        <v>60</v>
      </c>
      <c r="Z16" s="19">
        <v>194.6</v>
      </c>
      <c r="AA16" s="22">
        <f t="shared" si="2"/>
        <v>109</v>
      </c>
      <c r="AB16" s="19">
        <v>212</v>
      </c>
      <c r="AC16" s="33">
        <v>158</v>
      </c>
      <c r="AD16" s="19"/>
      <c r="AE16" s="33">
        <v>207</v>
      </c>
      <c r="AF16" s="19">
        <v>206.4</v>
      </c>
    </row>
    <row r="17" spans="1:32" ht="15.75" x14ac:dyDescent="0.25">
      <c r="A17" s="22">
        <v>12</v>
      </c>
      <c r="B17" s="19">
        <v>185.5</v>
      </c>
      <c r="C17" s="22">
        <v>61</v>
      </c>
      <c r="D17" s="19">
        <v>209.3</v>
      </c>
      <c r="E17" s="22">
        <f t="shared" si="0"/>
        <v>110</v>
      </c>
      <c r="F17" s="19">
        <v>168.3</v>
      </c>
      <c r="G17" s="33">
        <v>159</v>
      </c>
      <c r="H17" s="19">
        <v>210.1</v>
      </c>
      <c r="I17" s="33">
        <v>208</v>
      </c>
      <c r="J17" s="19">
        <v>200.2</v>
      </c>
      <c r="L17" s="22">
        <v>12</v>
      </c>
      <c r="M17" s="19">
        <v>185.5</v>
      </c>
      <c r="N17" s="22">
        <v>61</v>
      </c>
      <c r="O17" s="19"/>
      <c r="P17" s="22">
        <f t="shared" si="1"/>
        <v>110</v>
      </c>
      <c r="Q17" s="19"/>
      <c r="R17" s="33">
        <v>159</v>
      </c>
      <c r="S17" s="19">
        <v>210.1</v>
      </c>
      <c r="T17" s="33">
        <v>208</v>
      </c>
      <c r="U17" s="19"/>
      <c r="W17" s="22">
        <v>12</v>
      </c>
      <c r="X17" s="19"/>
      <c r="Y17" s="22">
        <v>61</v>
      </c>
      <c r="Z17" s="19">
        <v>209.3</v>
      </c>
      <c r="AA17" s="22">
        <f t="shared" si="2"/>
        <v>110</v>
      </c>
      <c r="AB17" s="19">
        <v>168.3</v>
      </c>
      <c r="AC17" s="33">
        <v>159</v>
      </c>
      <c r="AD17" s="19"/>
      <c r="AE17" s="33">
        <v>208</v>
      </c>
      <c r="AF17" s="19">
        <v>200.2</v>
      </c>
    </row>
    <row r="18" spans="1:32" ht="15.75" x14ac:dyDescent="0.25">
      <c r="A18" s="22">
        <v>13</v>
      </c>
      <c r="B18" s="19">
        <v>198.2</v>
      </c>
      <c r="C18" s="22">
        <v>62</v>
      </c>
      <c r="D18" s="19">
        <v>191.8</v>
      </c>
      <c r="E18" s="22">
        <f t="shared" si="0"/>
        <v>111</v>
      </c>
      <c r="F18" s="19">
        <v>204.2</v>
      </c>
      <c r="G18" s="33">
        <v>160</v>
      </c>
      <c r="H18" s="19">
        <v>205.6</v>
      </c>
      <c r="I18" s="33">
        <v>209</v>
      </c>
      <c r="J18" s="19">
        <v>204.5</v>
      </c>
      <c r="L18" s="22">
        <v>13</v>
      </c>
      <c r="M18" s="19">
        <v>198.2</v>
      </c>
      <c r="N18" s="22">
        <v>62</v>
      </c>
      <c r="O18" s="19"/>
      <c r="P18" s="22">
        <f t="shared" si="1"/>
        <v>111</v>
      </c>
      <c r="Q18" s="19"/>
      <c r="R18" s="33">
        <v>160</v>
      </c>
      <c r="S18" s="19">
        <v>205.6</v>
      </c>
      <c r="T18" s="33">
        <v>209</v>
      </c>
      <c r="U18" s="19"/>
      <c r="W18" s="22">
        <v>13</v>
      </c>
      <c r="X18" s="19"/>
      <c r="Y18" s="22">
        <v>62</v>
      </c>
      <c r="Z18" s="19">
        <v>191.8</v>
      </c>
      <c r="AA18" s="22">
        <f t="shared" si="2"/>
        <v>111</v>
      </c>
      <c r="AB18" s="19">
        <v>204.2</v>
      </c>
      <c r="AC18" s="33">
        <v>160</v>
      </c>
      <c r="AD18" s="19"/>
      <c r="AE18" s="33">
        <v>209</v>
      </c>
      <c r="AF18" s="19">
        <v>204.5</v>
      </c>
    </row>
    <row r="19" spans="1:32" ht="15.75" x14ac:dyDescent="0.25">
      <c r="A19" s="22">
        <v>14</v>
      </c>
      <c r="B19" s="19">
        <v>204.3</v>
      </c>
      <c r="C19" s="22">
        <v>63</v>
      </c>
      <c r="D19" s="19">
        <v>206.4</v>
      </c>
      <c r="E19" s="22">
        <f t="shared" si="0"/>
        <v>112</v>
      </c>
      <c r="F19" s="19">
        <v>187.7</v>
      </c>
      <c r="G19" s="33">
        <v>161</v>
      </c>
      <c r="H19" s="19">
        <v>207.2</v>
      </c>
      <c r="I19" s="33">
        <v>210</v>
      </c>
      <c r="J19" s="19">
        <v>212.6</v>
      </c>
      <c r="L19" s="22">
        <v>14</v>
      </c>
      <c r="M19" s="19">
        <v>204.3</v>
      </c>
      <c r="N19" s="22">
        <v>63</v>
      </c>
      <c r="O19" s="19"/>
      <c r="P19" s="22">
        <f t="shared" si="1"/>
        <v>112</v>
      </c>
      <c r="Q19" s="19"/>
      <c r="R19" s="33">
        <v>161</v>
      </c>
      <c r="S19" s="19">
        <v>207.2</v>
      </c>
      <c r="T19" s="33">
        <v>210</v>
      </c>
      <c r="U19" s="19"/>
      <c r="W19" s="22">
        <v>14</v>
      </c>
      <c r="X19" s="19"/>
      <c r="Y19" s="22">
        <v>63</v>
      </c>
      <c r="Z19" s="19">
        <v>206.4</v>
      </c>
      <c r="AA19" s="22">
        <f t="shared" si="2"/>
        <v>112</v>
      </c>
      <c r="AB19" s="19">
        <v>187.7</v>
      </c>
      <c r="AC19" s="33">
        <v>161</v>
      </c>
      <c r="AD19" s="19"/>
      <c r="AE19" s="33">
        <v>210</v>
      </c>
      <c r="AF19" s="19">
        <v>212.6</v>
      </c>
    </row>
    <row r="20" spans="1:32" ht="15.75" x14ac:dyDescent="0.25">
      <c r="A20" s="22">
        <v>15</v>
      </c>
      <c r="B20" s="19">
        <v>179.2</v>
      </c>
      <c r="C20" s="22">
        <v>64</v>
      </c>
      <c r="D20" s="19">
        <v>183.2</v>
      </c>
      <c r="E20" s="22">
        <f t="shared" si="0"/>
        <v>113</v>
      </c>
      <c r="F20" s="19">
        <v>204.4</v>
      </c>
      <c r="G20" s="35">
        <v>162</v>
      </c>
      <c r="H20" s="19">
        <v>204.3</v>
      </c>
      <c r="I20" s="33">
        <v>211</v>
      </c>
      <c r="J20" s="19">
        <v>211.5</v>
      </c>
      <c r="L20" s="22">
        <v>15</v>
      </c>
      <c r="M20" s="19">
        <v>179.2</v>
      </c>
      <c r="N20" s="22">
        <v>64</v>
      </c>
      <c r="O20" s="19"/>
      <c r="P20" s="22">
        <f t="shared" si="1"/>
        <v>113</v>
      </c>
      <c r="Q20" s="19"/>
      <c r="R20" s="35">
        <v>162</v>
      </c>
      <c r="S20" s="19">
        <v>204.3</v>
      </c>
      <c r="T20" s="33">
        <v>211</v>
      </c>
      <c r="U20" s="19"/>
      <c r="W20" s="22">
        <v>15</v>
      </c>
      <c r="X20" s="19"/>
      <c r="Y20" s="22">
        <v>64</v>
      </c>
      <c r="Z20" s="19">
        <v>183.2</v>
      </c>
      <c r="AA20" s="22">
        <f t="shared" si="2"/>
        <v>113</v>
      </c>
      <c r="AB20" s="19">
        <v>204.4</v>
      </c>
      <c r="AC20" s="35">
        <v>162</v>
      </c>
      <c r="AD20" s="19"/>
      <c r="AE20" s="33">
        <v>211</v>
      </c>
      <c r="AF20" s="19">
        <v>211.5</v>
      </c>
    </row>
    <row r="21" spans="1:32" ht="15.75" x14ac:dyDescent="0.25">
      <c r="A21" s="22">
        <v>16</v>
      </c>
      <c r="B21" s="19">
        <v>206.9</v>
      </c>
      <c r="C21" s="22">
        <v>65</v>
      </c>
      <c r="D21" s="19">
        <v>208</v>
      </c>
      <c r="E21" s="22">
        <f t="shared" si="0"/>
        <v>114</v>
      </c>
      <c r="F21" s="19">
        <v>165.2</v>
      </c>
      <c r="G21" s="35">
        <v>163</v>
      </c>
      <c r="H21" s="19">
        <v>211.4</v>
      </c>
      <c r="I21" s="33">
        <v>212</v>
      </c>
      <c r="J21" s="19">
        <v>214.3</v>
      </c>
      <c r="L21" s="22">
        <v>16</v>
      </c>
      <c r="M21" s="19">
        <v>206.9</v>
      </c>
      <c r="N21" s="22">
        <v>65</v>
      </c>
      <c r="O21" s="19"/>
      <c r="P21" s="22">
        <f t="shared" si="1"/>
        <v>114</v>
      </c>
      <c r="Q21" s="19"/>
      <c r="R21" s="35">
        <v>163</v>
      </c>
      <c r="S21" s="19">
        <v>211.4</v>
      </c>
      <c r="T21" s="33">
        <v>212</v>
      </c>
      <c r="U21" s="19"/>
      <c r="W21" s="22">
        <v>16</v>
      </c>
      <c r="X21" s="19"/>
      <c r="Y21" s="22">
        <v>65</v>
      </c>
      <c r="Z21" s="19">
        <v>208</v>
      </c>
      <c r="AA21" s="22">
        <f t="shared" si="2"/>
        <v>114</v>
      </c>
      <c r="AB21" s="19">
        <v>165.2</v>
      </c>
      <c r="AC21" s="35">
        <v>163</v>
      </c>
      <c r="AD21" s="19"/>
      <c r="AE21" s="33">
        <v>212</v>
      </c>
      <c r="AF21" s="19">
        <v>214.3</v>
      </c>
    </row>
    <row r="22" spans="1:32" ht="15.75" x14ac:dyDescent="0.25">
      <c r="A22" s="22">
        <v>17</v>
      </c>
      <c r="B22" s="19">
        <v>174.6</v>
      </c>
      <c r="C22" s="22">
        <v>66</v>
      </c>
      <c r="D22" s="19">
        <v>209.5</v>
      </c>
      <c r="E22" s="22">
        <f t="shared" si="0"/>
        <v>115</v>
      </c>
      <c r="F22" s="19">
        <v>209.9</v>
      </c>
      <c r="G22" s="35">
        <v>164</v>
      </c>
      <c r="H22" s="19">
        <v>206.8</v>
      </c>
      <c r="I22" s="33">
        <v>213</v>
      </c>
      <c r="J22" s="19">
        <v>214.7</v>
      </c>
      <c r="L22" s="22">
        <v>17</v>
      </c>
      <c r="M22" s="19">
        <v>174.6</v>
      </c>
      <c r="N22" s="22">
        <v>66</v>
      </c>
      <c r="O22" s="19"/>
      <c r="P22" s="22">
        <f t="shared" si="1"/>
        <v>115</v>
      </c>
      <c r="Q22" s="19"/>
      <c r="R22" s="35">
        <v>164</v>
      </c>
      <c r="S22" s="19">
        <v>206.8</v>
      </c>
      <c r="T22" s="33">
        <v>213</v>
      </c>
      <c r="U22" s="19"/>
      <c r="W22" s="22">
        <v>17</v>
      </c>
      <c r="X22" s="19"/>
      <c r="Y22" s="22">
        <v>66</v>
      </c>
      <c r="Z22" s="19">
        <v>209.5</v>
      </c>
      <c r="AA22" s="22">
        <f t="shared" si="2"/>
        <v>115</v>
      </c>
      <c r="AB22" s="19">
        <v>209.9</v>
      </c>
      <c r="AC22" s="35">
        <v>164</v>
      </c>
      <c r="AD22" s="19"/>
      <c r="AE22" s="33">
        <v>213</v>
      </c>
      <c r="AF22" s="19">
        <v>214.7</v>
      </c>
    </row>
    <row r="23" spans="1:32" ht="15.75" x14ac:dyDescent="0.25">
      <c r="A23" s="22">
        <v>18</v>
      </c>
      <c r="B23" s="19">
        <v>204.2</v>
      </c>
      <c r="C23" s="22">
        <v>67</v>
      </c>
      <c r="D23" s="19">
        <v>187.8</v>
      </c>
      <c r="E23" s="22">
        <f t="shared" si="0"/>
        <v>116</v>
      </c>
      <c r="F23" s="19">
        <v>212.2</v>
      </c>
      <c r="G23" s="35">
        <v>165</v>
      </c>
      <c r="H23" s="19">
        <v>205.8</v>
      </c>
      <c r="I23" s="33">
        <v>214</v>
      </c>
      <c r="J23" s="19">
        <v>207</v>
      </c>
      <c r="L23" s="22">
        <v>18</v>
      </c>
      <c r="M23" s="19">
        <v>204.2</v>
      </c>
      <c r="N23" s="22">
        <v>67</v>
      </c>
      <c r="O23" s="19"/>
      <c r="P23" s="22">
        <f t="shared" si="1"/>
        <v>116</v>
      </c>
      <c r="Q23" s="19"/>
      <c r="R23" s="35">
        <v>165</v>
      </c>
      <c r="S23" s="19">
        <v>205.8</v>
      </c>
      <c r="T23" s="33">
        <v>214</v>
      </c>
      <c r="U23" s="19"/>
      <c r="W23" s="22">
        <v>18</v>
      </c>
      <c r="X23" s="19"/>
      <c r="Y23" s="22">
        <v>67</v>
      </c>
      <c r="Z23" s="19">
        <v>187.8</v>
      </c>
      <c r="AA23" s="22">
        <f t="shared" si="2"/>
        <v>116</v>
      </c>
      <c r="AB23" s="19">
        <v>212.2</v>
      </c>
      <c r="AC23" s="35">
        <v>165</v>
      </c>
      <c r="AD23" s="19"/>
      <c r="AE23" s="33">
        <v>214</v>
      </c>
      <c r="AF23" s="19">
        <v>207</v>
      </c>
    </row>
    <row r="24" spans="1:32" ht="15.75" x14ac:dyDescent="0.25">
      <c r="A24" s="22">
        <v>19</v>
      </c>
      <c r="B24" s="19">
        <v>172.4</v>
      </c>
      <c r="C24" s="22">
        <v>68</v>
      </c>
      <c r="D24" s="19">
        <v>206.1</v>
      </c>
      <c r="E24" s="22">
        <f t="shared" si="0"/>
        <v>117</v>
      </c>
      <c r="F24" s="19">
        <v>177.7</v>
      </c>
      <c r="G24" s="35">
        <v>166</v>
      </c>
      <c r="H24" s="19">
        <v>210.9</v>
      </c>
      <c r="I24" s="33">
        <v>215</v>
      </c>
      <c r="J24" s="19">
        <v>207.9</v>
      </c>
      <c r="L24" s="22">
        <v>19</v>
      </c>
      <c r="M24" s="19">
        <v>172.4</v>
      </c>
      <c r="N24" s="22">
        <v>68</v>
      </c>
      <c r="O24" s="19"/>
      <c r="P24" s="22">
        <f t="shared" si="1"/>
        <v>117</v>
      </c>
      <c r="Q24" s="19"/>
      <c r="R24" s="35">
        <v>166</v>
      </c>
      <c r="S24" s="19">
        <v>210.9</v>
      </c>
      <c r="T24" s="33">
        <v>215</v>
      </c>
      <c r="U24" s="19"/>
      <c r="W24" s="22">
        <v>19</v>
      </c>
      <c r="X24" s="19"/>
      <c r="Y24" s="22">
        <v>68</v>
      </c>
      <c r="Z24" s="19">
        <v>206.1</v>
      </c>
      <c r="AA24" s="22">
        <f t="shared" si="2"/>
        <v>117</v>
      </c>
      <c r="AB24" s="19">
        <v>177.7</v>
      </c>
      <c r="AC24" s="35">
        <v>166</v>
      </c>
      <c r="AD24" s="19"/>
      <c r="AE24" s="33">
        <v>215</v>
      </c>
      <c r="AF24" s="19">
        <v>207.9</v>
      </c>
    </row>
    <row r="25" spans="1:32" ht="15.75" x14ac:dyDescent="0.25">
      <c r="A25" s="22">
        <v>20</v>
      </c>
      <c r="B25" s="19">
        <v>205</v>
      </c>
      <c r="C25" s="22">
        <v>69</v>
      </c>
      <c r="D25" s="19">
        <v>166.6</v>
      </c>
      <c r="E25" s="22">
        <f t="shared" si="0"/>
        <v>118</v>
      </c>
      <c r="F25" s="19">
        <v>208.2</v>
      </c>
      <c r="G25" s="35">
        <v>167</v>
      </c>
      <c r="H25" s="19">
        <v>205.6</v>
      </c>
      <c r="I25" s="33">
        <v>216</v>
      </c>
      <c r="J25" s="19">
        <v>214.9</v>
      </c>
      <c r="L25" s="22">
        <v>20</v>
      </c>
      <c r="M25" s="19">
        <v>205</v>
      </c>
      <c r="N25" s="22">
        <v>69</v>
      </c>
      <c r="O25" s="19"/>
      <c r="P25" s="22">
        <f t="shared" si="1"/>
        <v>118</v>
      </c>
      <c r="Q25" s="19"/>
      <c r="R25" s="35">
        <v>167</v>
      </c>
      <c r="S25" s="19">
        <v>205.6</v>
      </c>
      <c r="T25" s="33">
        <v>216</v>
      </c>
      <c r="U25" s="19"/>
      <c r="W25" s="22">
        <v>20</v>
      </c>
      <c r="X25" s="19"/>
      <c r="Y25" s="22">
        <v>69</v>
      </c>
      <c r="Z25" s="19">
        <v>166.6</v>
      </c>
      <c r="AA25" s="22">
        <f t="shared" si="2"/>
        <v>118</v>
      </c>
      <c r="AB25" s="19">
        <v>208.2</v>
      </c>
      <c r="AC25" s="35">
        <v>167</v>
      </c>
      <c r="AD25" s="19"/>
      <c r="AE25" s="33">
        <v>216</v>
      </c>
      <c r="AF25" s="19">
        <v>214.9</v>
      </c>
    </row>
    <row r="26" spans="1:32" ht="15.75" x14ac:dyDescent="0.25">
      <c r="A26" s="22">
        <v>21</v>
      </c>
      <c r="B26" s="19">
        <v>169.3</v>
      </c>
      <c r="C26" s="22">
        <v>70</v>
      </c>
      <c r="D26" s="19">
        <v>210</v>
      </c>
      <c r="E26" s="22">
        <f t="shared" si="0"/>
        <v>119</v>
      </c>
      <c r="F26" s="19">
        <v>211.3</v>
      </c>
      <c r="G26" s="35">
        <v>168</v>
      </c>
      <c r="H26" s="19">
        <v>206.7</v>
      </c>
      <c r="I26" s="33">
        <v>217</v>
      </c>
      <c r="J26" s="19">
        <v>209.3</v>
      </c>
      <c r="L26" s="22">
        <v>21</v>
      </c>
      <c r="M26" s="19">
        <v>169.3</v>
      </c>
      <c r="N26" s="22">
        <v>70</v>
      </c>
      <c r="O26" s="19"/>
      <c r="P26" s="22">
        <f t="shared" si="1"/>
        <v>119</v>
      </c>
      <c r="Q26" s="19"/>
      <c r="R26" s="35">
        <v>168</v>
      </c>
      <c r="S26" s="19">
        <v>206.7</v>
      </c>
      <c r="T26" s="33">
        <v>217</v>
      </c>
      <c r="U26" s="19"/>
      <c r="W26" s="22">
        <v>21</v>
      </c>
      <c r="X26" s="19"/>
      <c r="Y26" s="22">
        <v>70</v>
      </c>
      <c r="Z26" s="19">
        <v>210</v>
      </c>
      <c r="AA26" s="22">
        <f t="shared" si="2"/>
        <v>119</v>
      </c>
      <c r="AB26" s="19">
        <v>211.3</v>
      </c>
      <c r="AC26" s="35">
        <v>168</v>
      </c>
      <c r="AD26" s="19"/>
      <c r="AE26" s="33">
        <v>217</v>
      </c>
      <c r="AF26" s="19">
        <v>209.3</v>
      </c>
    </row>
    <row r="27" spans="1:32" ht="15.75" x14ac:dyDescent="0.25">
      <c r="A27" s="22">
        <v>22</v>
      </c>
      <c r="B27" s="19">
        <v>200.3</v>
      </c>
      <c r="C27" s="22">
        <v>71</v>
      </c>
      <c r="D27" s="19">
        <v>180.1</v>
      </c>
      <c r="E27" s="22">
        <f t="shared" si="0"/>
        <v>120</v>
      </c>
      <c r="F27" s="19">
        <v>211.6</v>
      </c>
      <c r="G27" s="35">
        <v>169</v>
      </c>
      <c r="H27" s="19">
        <v>208.6</v>
      </c>
      <c r="I27" s="33">
        <v>218</v>
      </c>
      <c r="J27" s="19">
        <v>203.9</v>
      </c>
      <c r="L27" s="22">
        <v>22</v>
      </c>
      <c r="M27" s="19">
        <v>200.3</v>
      </c>
      <c r="N27" s="22">
        <v>71</v>
      </c>
      <c r="O27" s="19"/>
      <c r="P27" s="22">
        <f t="shared" si="1"/>
        <v>120</v>
      </c>
      <c r="Q27" s="19"/>
      <c r="R27" s="35">
        <v>169</v>
      </c>
      <c r="S27" s="19">
        <v>208.6</v>
      </c>
      <c r="T27" s="33">
        <v>218</v>
      </c>
      <c r="U27" s="19"/>
      <c r="W27" s="22">
        <v>22</v>
      </c>
      <c r="X27" s="19"/>
      <c r="Y27" s="22">
        <v>71</v>
      </c>
      <c r="Z27" s="19">
        <v>180.1</v>
      </c>
      <c r="AA27" s="22">
        <f t="shared" si="2"/>
        <v>120</v>
      </c>
      <c r="AB27" s="19">
        <v>211.6</v>
      </c>
      <c r="AC27" s="35">
        <v>169</v>
      </c>
      <c r="AD27" s="19"/>
      <c r="AE27" s="33">
        <v>218</v>
      </c>
      <c r="AF27" s="19">
        <v>203.9</v>
      </c>
    </row>
    <row r="28" spans="1:32" ht="15.75" x14ac:dyDescent="0.25">
      <c r="A28" s="22">
        <v>23</v>
      </c>
      <c r="B28" s="19">
        <v>194.3</v>
      </c>
      <c r="C28" s="22">
        <v>72</v>
      </c>
      <c r="D28" s="19">
        <v>209.1</v>
      </c>
      <c r="E28" s="22">
        <f t="shared" si="0"/>
        <v>121</v>
      </c>
      <c r="F28" s="19">
        <v>200.9</v>
      </c>
      <c r="G28" s="35">
        <v>170</v>
      </c>
      <c r="H28" s="19">
        <v>208.6</v>
      </c>
      <c r="I28" s="33">
        <v>219</v>
      </c>
      <c r="J28" s="19">
        <v>202.3</v>
      </c>
      <c r="L28" s="22">
        <v>23</v>
      </c>
      <c r="M28" s="19">
        <v>194.3</v>
      </c>
      <c r="N28" s="22">
        <v>72</v>
      </c>
      <c r="O28" s="19"/>
      <c r="P28" s="22">
        <f t="shared" si="1"/>
        <v>121</v>
      </c>
      <c r="Q28" s="19"/>
      <c r="R28" s="35">
        <v>170</v>
      </c>
      <c r="S28" s="19"/>
      <c r="T28" s="33">
        <v>219</v>
      </c>
      <c r="U28" s="19"/>
      <c r="W28" s="22">
        <v>23</v>
      </c>
      <c r="X28" s="19"/>
      <c r="Y28" s="22">
        <v>72</v>
      </c>
      <c r="Z28" s="19">
        <v>209.1</v>
      </c>
      <c r="AA28" s="22">
        <f t="shared" si="2"/>
        <v>121</v>
      </c>
      <c r="AB28" s="19">
        <v>200.9</v>
      </c>
      <c r="AC28" s="35">
        <v>170</v>
      </c>
      <c r="AD28" s="19">
        <v>208.6</v>
      </c>
      <c r="AE28" s="33">
        <v>219</v>
      </c>
      <c r="AF28" s="19">
        <v>202.3</v>
      </c>
    </row>
    <row r="29" spans="1:32" ht="15.75" x14ac:dyDescent="0.25">
      <c r="A29" s="22">
        <v>24</v>
      </c>
      <c r="B29" s="19">
        <v>202.1</v>
      </c>
      <c r="C29" s="22">
        <v>73</v>
      </c>
      <c r="D29" s="19">
        <v>160</v>
      </c>
      <c r="E29" s="22">
        <f t="shared" si="0"/>
        <v>122</v>
      </c>
      <c r="F29" s="19">
        <v>204.9</v>
      </c>
      <c r="G29" s="35">
        <v>171</v>
      </c>
      <c r="H29" s="19">
        <v>211.9</v>
      </c>
      <c r="I29" s="33">
        <v>220</v>
      </c>
      <c r="J29" s="19">
        <v>208.5</v>
      </c>
      <c r="L29" s="22">
        <v>24</v>
      </c>
      <c r="M29" s="19">
        <v>202.1</v>
      </c>
      <c r="N29" s="22">
        <v>73</v>
      </c>
      <c r="O29" s="19"/>
      <c r="P29" s="22">
        <f t="shared" si="1"/>
        <v>122</v>
      </c>
      <c r="Q29" s="19"/>
      <c r="R29" s="35">
        <v>171</v>
      </c>
      <c r="S29" s="19"/>
      <c r="T29" s="33">
        <v>220</v>
      </c>
      <c r="U29" s="19"/>
      <c r="W29" s="22">
        <v>24</v>
      </c>
      <c r="X29" s="19"/>
      <c r="Y29" s="22">
        <v>73</v>
      </c>
      <c r="Z29" s="19">
        <v>160</v>
      </c>
      <c r="AA29" s="22">
        <f t="shared" si="2"/>
        <v>122</v>
      </c>
      <c r="AB29" s="19">
        <v>204.9</v>
      </c>
      <c r="AC29" s="35">
        <v>171</v>
      </c>
      <c r="AD29" s="19">
        <v>211.9</v>
      </c>
      <c r="AE29" s="33">
        <v>220</v>
      </c>
      <c r="AF29" s="19">
        <v>208.5</v>
      </c>
    </row>
    <row r="30" spans="1:32" ht="15.75" x14ac:dyDescent="0.25">
      <c r="A30" s="22">
        <v>25</v>
      </c>
      <c r="B30" s="19">
        <v>183</v>
      </c>
      <c r="C30" s="22">
        <v>74</v>
      </c>
      <c r="D30" s="19">
        <v>207.5</v>
      </c>
      <c r="E30" s="22">
        <f t="shared" si="0"/>
        <v>123</v>
      </c>
      <c r="F30" s="19">
        <v>198.6</v>
      </c>
      <c r="G30" s="35">
        <v>172</v>
      </c>
      <c r="H30" s="19">
        <v>206.8</v>
      </c>
      <c r="I30" s="20"/>
      <c r="J30" s="36"/>
      <c r="L30" s="22">
        <v>25</v>
      </c>
      <c r="M30" s="19">
        <v>183</v>
      </c>
      <c r="N30" s="22">
        <v>74</v>
      </c>
      <c r="O30" s="19"/>
      <c r="P30" s="22">
        <f t="shared" si="1"/>
        <v>123</v>
      </c>
      <c r="Q30" s="19"/>
      <c r="R30" s="35">
        <v>172</v>
      </c>
      <c r="S30" s="19"/>
      <c r="T30" s="20"/>
      <c r="U30" s="36"/>
      <c r="W30" s="22">
        <v>25</v>
      </c>
      <c r="X30" s="19"/>
      <c r="Y30" s="22">
        <v>74</v>
      </c>
      <c r="Z30" s="19">
        <v>207.5</v>
      </c>
      <c r="AA30" s="22">
        <f t="shared" si="2"/>
        <v>123</v>
      </c>
      <c r="AB30" s="19">
        <v>198.6</v>
      </c>
      <c r="AC30" s="35">
        <v>172</v>
      </c>
      <c r="AD30" s="19">
        <v>206.8</v>
      </c>
      <c r="AE30" s="20"/>
      <c r="AF30" s="36"/>
    </row>
    <row r="31" spans="1:32" ht="15.75" x14ac:dyDescent="0.25">
      <c r="A31" s="22">
        <v>26</v>
      </c>
      <c r="B31" s="19">
        <v>205.1</v>
      </c>
      <c r="C31" s="22">
        <v>75</v>
      </c>
      <c r="D31" s="19">
        <v>206.1</v>
      </c>
      <c r="E31" s="22">
        <f t="shared" si="0"/>
        <v>124</v>
      </c>
      <c r="F31" s="19">
        <v>203.5</v>
      </c>
      <c r="G31" s="35">
        <v>173</v>
      </c>
      <c r="H31" s="19">
        <v>204.3</v>
      </c>
      <c r="I31" s="20"/>
      <c r="J31" s="36"/>
      <c r="L31" s="22">
        <v>26</v>
      </c>
      <c r="M31" s="19">
        <v>205.1</v>
      </c>
      <c r="N31" s="22">
        <v>75</v>
      </c>
      <c r="O31" s="19"/>
      <c r="P31" s="22">
        <f t="shared" si="1"/>
        <v>124</v>
      </c>
      <c r="Q31" s="19"/>
      <c r="R31" s="35">
        <v>173</v>
      </c>
      <c r="S31" s="19"/>
      <c r="T31" s="20"/>
      <c r="U31" s="36"/>
      <c r="W31" s="22">
        <v>26</v>
      </c>
      <c r="X31" s="19"/>
      <c r="Y31" s="22">
        <v>75</v>
      </c>
      <c r="Z31" s="19">
        <v>206.1</v>
      </c>
      <c r="AA31" s="22">
        <f t="shared" si="2"/>
        <v>124</v>
      </c>
      <c r="AB31" s="19">
        <v>203.5</v>
      </c>
      <c r="AC31" s="35">
        <v>173</v>
      </c>
      <c r="AD31" s="19">
        <v>204.3</v>
      </c>
      <c r="AE31" s="20"/>
      <c r="AF31" s="36"/>
    </row>
    <row r="32" spans="1:32" ht="15.75" x14ac:dyDescent="0.25">
      <c r="A32" s="22">
        <v>27</v>
      </c>
      <c r="B32" s="19">
        <v>168.3</v>
      </c>
      <c r="C32" s="22">
        <v>76</v>
      </c>
      <c r="D32" s="19">
        <v>185.3</v>
      </c>
      <c r="E32" s="22">
        <f t="shared" si="0"/>
        <v>125</v>
      </c>
      <c r="F32" s="19">
        <v>180</v>
      </c>
      <c r="G32" s="33">
        <v>174</v>
      </c>
      <c r="H32" s="19">
        <v>204.9</v>
      </c>
      <c r="I32" s="21"/>
      <c r="J32" s="36"/>
      <c r="L32" s="22">
        <v>27</v>
      </c>
      <c r="M32" s="19">
        <v>168.3</v>
      </c>
      <c r="N32" s="22">
        <v>76</v>
      </c>
      <c r="O32" s="19"/>
      <c r="P32" s="22">
        <f t="shared" si="1"/>
        <v>125</v>
      </c>
      <c r="Q32" s="19"/>
      <c r="R32" s="33">
        <v>174</v>
      </c>
      <c r="S32" s="19"/>
      <c r="T32" s="21"/>
      <c r="U32" s="36"/>
      <c r="W32" s="22">
        <v>27</v>
      </c>
      <c r="X32" s="19"/>
      <c r="Y32" s="22">
        <v>76</v>
      </c>
      <c r="Z32" s="19">
        <v>185.3</v>
      </c>
      <c r="AA32" s="22">
        <f t="shared" si="2"/>
        <v>125</v>
      </c>
      <c r="AB32" s="19">
        <v>180</v>
      </c>
      <c r="AC32" s="33">
        <v>174</v>
      </c>
      <c r="AD32" s="19">
        <v>204.9</v>
      </c>
      <c r="AE32" s="21"/>
      <c r="AF32" s="36"/>
    </row>
    <row r="33" spans="1:32" ht="15.75" x14ac:dyDescent="0.25">
      <c r="A33" s="22">
        <v>28</v>
      </c>
      <c r="B33" s="19">
        <v>205.7</v>
      </c>
      <c r="C33" s="22">
        <v>77</v>
      </c>
      <c r="D33" s="19">
        <v>204.6</v>
      </c>
      <c r="E33" s="22">
        <f t="shared" si="0"/>
        <v>126</v>
      </c>
      <c r="F33" s="19">
        <v>209.9</v>
      </c>
      <c r="G33" s="33">
        <v>175</v>
      </c>
      <c r="H33" s="19">
        <v>203.3</v>
      </c>
      <c r="I33" s="20"/>
      <c r="J33" s="36"/>
      <c r="L33" s="22">
        <v>28</v>
      </c>
      <c r="M33" s="19">
        <v>205.7</v>
      </c>
      <c r="N33" s="22">
        <v>77</v>
      </c>
      <c r="O33" s="19"/>
      <c r="P33" s="22">
        <f t="shared" si="1"/>
        <v>126</v>
      </c>
      <c r="Q33" s="19"/>
      <c r="R33" s="33">
        <v>175</v>
      </c>
      <c r="S33" s="19"/>
      <c r="T33" s="20"/>
      <c r="U33" s="36"/>
      <c r="W33" s="22">
        <v>28</v>
      </c>
      <c r="X33" s="19"/>
      <c r="Y33" s="22">
        <v>77</v>
      </c>
      <c r="Z33" s="19">
        <v>204.6</v>
      </c>
      <c r="AA33" s="22">
        <f t="shared" si="2"/>
        <v>126</v>
      </c>
      <c r="AB33" s="19">
        <v>209.9</v>
      </c>
      <c r="AC33" s="33">
        <v>175</v>
      </c>
      <c r="AD33" s="19">
        <v>203.3</v>
      </c>
      <c r="AE33" s="20"/>
      <c r="AF33" s="36"/>
    </row>
    <row r="34" spans="1:32" ht="15.75" x14ac:dyDescent="0.25">
      <c r="A34" s="22">
        <v>29</v>
      </c>
      <c r="B34" s="19">
        <v>200.7</v>
      </c>
      <c r="C34" s="22">
        <v>78</v>
      </c>
      <c r="D34" s="19">
        <v>207.9</v>
      </c>
      <c r="E34" s="22">
        <f t="shared" si="0"/>
        <v>127</v>
      </c>
      <c r="F34" s="19">
        <v>175.2</v>
      </c>
      <c r="G34" s="33">
        <v>176</v>
      </c>
      <c r="H34" s="19">
        <v>207.6</v>
      </c>
      <c r="I34" s="20"/>
      <c r="J34" s="36"/>
      <c r="L34" s="22">
        <v>29</v>
      </c>
      <c r="M34" s="19">
        <v>200.7</v>
      </c>
      <c r="N34" s="22">
        <v>78</v>
      </c>
      <c r="O34" s="19"/>
      <c r="P34" s="22">
        <f t="shared" si="1"/>
        <v>127</v>
      </c>
      <c r="Q34" s="19"/>
      <c r="R34" s="33">
        <v>176</v>
      </c>
      <c r="S34" s="19"/>
      <c r="T34" s="20"/>
      <c r="U34" s="36"/>
      <c r="W34" s="22">
        <v>29</v>
      </c>
      <c r="X34" s="19"/>
      <c r="Y34" s="22">
        <v>78</v>
      </c>
      <c r="Z34" s="19">
        <v>207.9</v>
      </c>
      <c r="AA34" s="22">
        <f t="shared" si="2"/>
        <v>127</v>
      </c>
      <c r="AB34" s="19">
        <v>175.2</v>
      </c>
      <c r="AC34" s="33">
        <v>176</v>
      </c>
      <c r="AD34" s="19">
        <v>207.6</v>
      </c>
      <c r="AE34" s="20"/>
      <c r="AF34" s="36"/>
    </row>
    <row r="35" spans="1:32" ht="15.75" x14ac:dyDescent="0.25">
      <c r="A35" s="22">
        <v>30</v>
      </c>
      <c r="B35" s="19">
        <v>170.3</v>
      </c>
      <c r="C35" s="22">
        <v>79</v>
      </c>
      <c r="D35" s="19">
        <v>190.6</v>
      </c>
      <c r="E35" s="22">
        <f t="shared" si="0"/>
        <v>128</v>
      </c>
      <c r="F35" s="19">
        <v>217.1</v>
      </c>
      <c r="G35" s="33">
        <v>177</v>
      </c>
      <c r="H35" s="19">
        <v>204.4</v>
      </c>
      <c r="I35" s="21"/>
      <c r="J35" s="36"/>
      <c r="L35" s="22">
        <v>30</v>
      </c>
      <c r="M35" s="19">
        <v>170.3</v>
      </c>
      <c r="N35" s="22">
        <v>79</v>
      </c>
      <c r="O35" s="19"/>
      <c r="P35" s="22">
        <f t="shared" si="1"/>
        <v>128</v>
      </c>
      <c r="Q35" s="19">
        <v>217.1</v>
      </c>
      <c r="R35" s="33">
        <v>177</v>
      </c>
      <c r="S35" s="19"/>
      <c r="T35" s="21"/>
      <c r="U35" s="36"/>
      <c r="W35" s="22">
        <v>30</v>
      </c>
      <c r="X35" s="19"/>
      <c r="Y35" s="22">
        <v>79</v>
      </c>
      <c r="Z35" s="19">
        <v>190.6</v>
      </c>
      <c r="AA35" s="22">
        <f t="shared" si="2"/>
        <v>128</v>
      </c>
      <c r="AB35" s="19"/>
      <c r="AC35" s="33">
        <v>177</v>
      </c>
      <c r="AD35" s="19">
        <v>204.4</v>
      </c>
      <c r="AE35" s="21"/>
      <c r="AF35" s="36"/>
    </row>
    <row r="36" spans="1:32" ht="15.75" x14ac:dyDescent="0.25">
      <c r="A36" s="22">
        <v>31</v>
      </c>
      <c r="B36" s="19">
        <v>200.9</v>
      </c>
      <c r="C36" s="22">
        <v>80</v>
      </c>
      <c r="D36" s="19">
        <v>209.7</v>
      </c>
      <c r="E36" s="22">
        <f t="shared" si="0"/>
        <v>129</v>
      </c>
      <c r="F36" s="19">
        <v>214.9</v>
      </c>
      <c r="G36" s="33">
        <v>178</v>
      </c>
      <c r="H36" s="19">
        <v>207.3</v>
      </c>
      <c r="I36" s="20"/>
      <c r="J36" s="36"/>
      <c r="L36" s="22">
        <v>31</v>
      </c>
      <c r="M36" s="19">
        <v>200.9</v>
      </c>
      <c r="N36" s="22">
        <v>80</v>
      </c>
      <c r="O36" s="19"/>
      <c r="P36" s="22">
        <f t="shared" si="1"/>
        <v>129</v>
      </c>
      <c r="Q36" s="19">
        <v>214.9</v>
      </c>
      <c r="R36" s="33">
        <v>178</v>
      </c>
      <c r="S36" s="19"/>
      <c r="T36" s="20"/>
      <c r="U36" s="36"/>
      <c r="W36" s="22">
        <v>31</v>
      </c>
      <c r="X36" s="19"/>
      <c r="Y36" s="22">
        <v>80</v>
      </c>
      <c r="Z36" s="19">
        <v>209.7</v>
      </c>
      <c r="AA36" s="22">
        <f t="shared" si="2"/>
        <v>129</v>
      </c>
      <c r="AB36" s="19"/>
      <c r="AC36" s="33">
        <v>178</v>
      </c>
      <c r="AD36" s="19">
        <v>207.3</v>
      </c>
      <c r="AE36" s="20"/>
      <c r="AF36" s="36"/>
    </row>
    <row r="37" spans="1:32" ht="15.75" x14ac:dyDescent="0.25">
      <c r="A37" s="22">
        <v>32</v>
      </c>
      <c r="B37" s="19">
        <v>183.7</v>
      </c>
      <c r="C37" s="22">
        <v>81</v>
      </c>
      <c r="D37" s="19">
        <v>168</v>
      </c>
      <c r="E37" s="22">
        <f t="shared" si="0"/>
        <v>130</v>
      </c>
      <c r="F37" s="19">
        <v>192.1</v>
      </c>
      <c r="G37" s="33">
        <v>179</v>
      </c>
      <c r="H37" s="19">
        <v>185.4</v>
      </c>
      <c r="I37" s="20"/>
      <c r="J37" s="36"/>
      <c r="L37" s="22">
        <v>32</v>
      </c>
      <c r="M37" s="19">
        <v>183.7</v>
      </c>
      <c r="N37" s="22">
        <v>81</v>
      </c>
      <c r="O37" s="19"/>
      <c r="P37" s="22">
        <f t="shared" si="1"/>
        <v>130</v>
      </c>
      <c r="Q37" s="19">
        <v>192.1</v>
      </c>
      <c r="R37" s="33">
        <v>179</v>
      </c>
      <c r="S37" s="19"/>
      <c r="T37" s="20"/>
      <c r="U37" s="36"/>
      <c r="W37" s="22">
        <v>32</v>
      </c>
      <c r="X37" s="19"/>
      <c r="Y37" s="22">
        <v>81</v>
      </c>
      <c r="Z37" s="19">
        <v>168</v>
      </c>
      <c r="AA37" s="22">
        <f t="shared" si="2"/>
        <v>130</v>
      </c>
      <c r="AB37" s="19"/>
      <c r="AC37" s="33">
        <v>179</v>
      </c>
      <c r="AD37" s="19">
        <v>185.4</v>
      </c>
      <c r="AE37" s="20"/>
      <c r="AF37" s="36"/>
    </row>
    <row r="38" spans="1:32" ht="15.75" x14ac:dyDescent="0.25">
      <c r="A38" s="22">
        <v>33</v>
      </c>
      <c r="B38" s="19">
        <v>206</v>
      </c>
      <c r="C38" s="22">
        <v>82</v>
      </c>
      <c r="D38" s="19">
        <v>210.5</v>
      </c>
      <c r="E38" s="22">
        <f t="shared" si="0"/>
        <v>131</v>
      </c>
      <c r="F38" s="19">
        <v>212.4</v>
      </c>
      <c r="G38" s="33">
        <v>180</v>
      </c>
      <c r="H38" s="19">
        <v>208.2</v>
      </c>
      <c r="I38" s="21"/>
      <c r="J38" s="36"/>
      <c r="L38" s="22">
        <v>33</v>
      </c>
      <c r="M38" s="19">
        <v>206</v>
      </c>
      <c r="N38" s="22">
        <v>82</v>
      </c>
      <c r="O38" s="19"/>
      <c r="P38" s="22">
        <f t="shared" si="1"/>
        <v>131</v>
      </c>
      <c r="Q38" s="19">
        <v>212.4</v>
      </c>
      <c r="R38" s="33">
        <v>180</v>
      </c>
      <c r="S38" s="19"/>
      <c r="T38" s="21"/>
      <c r="U38" s="36"/>
      <c r="W38" s="22">
        <v>33</v>
      </c>
      <c r="X38" s="19"/>
      <c r="Y38" s="22">
        <v>82</v>
      </c>
      <c r="Z38" s="19">
        <v>210.5</v>
      </c>
      <c r="AA38" s="22">
        <f t="shared" si="2"/>
        <v>131</v>
      </c>
      <c r="AB38" s="19"/>
      <c r="AC38" s="33">
        <v>180</v>
      </c>
      <c r="AD38" s="19">
        <v>208.2</v>
      </c>
      <c r="AE38" s="21"/>
      <c r="AF38" s="36"/>
    </row>
    <row r="39" spans="1:32" ht="15.75" x14ac:dyDescent="0.25">
      <c r="A39" s="22">
        <v>34</v>
      </c>
      <c r="B39" s="19">
        <v>200</v>
      </c>
      <c r="C39" s="22">
        <v>83</v>
      </c>
      <c r="D39" s="19">
        <v>165.3</v>
      </c>
      <c r="E39" s="22">
        <f t="shared" si="0"/>
        <v>132</v>
      </c>
      <c r="F39" s="19">
        <v>189.7</v>
      </c>
      <c r="G39" s="33">
        <v>181</v>
      </c>
      <c r="H39" s="19">
        <v>214.5</v>
      </c>
      <c r="I39" s="21"/>
      <c r="J39" s="36"/>
      <c r="L39" s="22">
        <v>34</v>
      </c>
      <c r="M39" s="19">
        <v>200</v>
      </c>
      <c r="N39" s="22">
        <v>83</v>
      </c>
      <c r="O39" s="19"/>
      <c r="P39" s="22">
        <f t="shared" si="1"/>
        <v>132</v>
      </c>
      <c r="Q39" s="19">
        <v>189.7</v>
      </c>
      <c r="R39" s="33">
        <v>181</v>
      </c>
      <c r="S39" s="19"/>
      <c r="T39" s="21"/>
      <c r="U39" s="36"/>
      <c r="W39" s="22">
        <v>34</v>
      </c>
      <c r="X39" s="19"/>
      <c r="Y39" s="22">
        <v>83</v>
      </c>
      <c r="Z39" s="19">
        <v>165.3</v>
      </c>
      <c r="AA39" s="22">
        <f t="shared" si="2"/>
        <v>132</v>
      </c>
      <c r="AB39" s="19"/>
      <c r="AC39" s="33">
        <v>181</v>
      </c>
      <c r="AD39" s="19">
        <v>214.5</v>
      </c>
      <c r="AE39" s="21"/>
      <c r="AF39" s="36"/>
    </row>
    <row r="40" spans="1:32" ht="15.75" x14ac:dyDescent="0.25">
      <c r="A40" s="22">
        <v>35</v>
      </c>
      <c r="B40" s="19">
        <v>176.2</v>
      </c>
      <c r="C40" s="22">
        <v>84</v>
      </c>
      <c r="D40" s="19">
        <v>211.2</v>
      </c>
      <c r="E40" s="22">
        <f t="shared" si="0"/>
        <v>133</v>
      </c>
      <c r="F40" s="19">
        <v>216.4</v>
      </c>
      <c r="G40" s="33">
        <v>182</v>
      </c>
      <c r="H40" s="19">
        <v>183.9</v>
      </c>
      <c r="I40" s="20"/>
      <c r="J40" s="36"/>
      <c r="L40" s="22">
        <v>35</v>
      </c>
      <c r="M40" s="19">
        <v>176.2</v>
      </c>
      <c r="N40" s="22">
        <v>84</v>
      </c>
      <c r="O40" s="19"/>
      <c r="P40" s="22">
        <f t="shared" si="1"/>
        <v>133</v>
      </c>
      <c r="Q40" s="19">
        <v>216.4</v>
      </c>
      <c r="R40" s="33">
        <v>182</v>
      </c>
      <c r="S40" s="19"/>
      <c r="T40" s="20"/>
      <c r="U40" s="36"/>
      <c r="W40" s="22">
        <v>35</v>
      </c>
      <c r="X40" s="19"/>
      <c r="Y40" s="22">
        <v>84</v>
      </c>
      <c r="Z40" s="19">
        <v>211.2</v>
      </c>
      <c r="AA40" s="22">
        <f t="shared" si="2"/>
        <v>133</v>
      </c>
      <c r="AB40" s="19"/>
      <c r="AC40" s="33">
        <v>182</v>
      </c>
      <c r="AD40" s="19">
        <v>183.9</v>
      </c>
      <c r="AE40" s="20"/>
      <c r="AF40" s="36"/>
    </row>
    <row r="41" spans="1:32" ht="15.75" x14ac:dyDescent="0.25">
      <c r="A41" s="22">
        <v>36</v>
      </c>
      <c r="B41" s="19">
        <v>204</v>
      </c>
      <c r="C41" s="22">
        <v>85</v>
      </c>
      <c r="D41" s="19">
        <v>181.6</v>
      </c>
      <c r="E41" s="22">
        <f t="shared" si="0"/>
        <v>134</v>
      </c>
      <c r="F41" s="19">
        <v>211.1</v>
      </c>
      <c r="G41" s="33">
        <v>183</v>
      </c>
      <c r="H41" s="19">
        <v>207.3</v>
      </c>
      <c r="I41" s="20"/>
      <c r="J41" s="36"/>
      <c r="L41" s="22">
        <v>36</v>
      </c>
      <c r="M41" s="19">
        <v>204</v>
      </c>
      <c r="N41" s="22">
        <v>85</v>
      </c>
      <c r="O41" s="19"/>
      <c r="P41" s="22">
        <f t="shared" si="1"/>
        <v>134</v>
      </c>
      <c r="Q41" s="19">
        <v>211.1</v>
      </c>
      <c r="R41" s="33">
        <v>183</v>
      </c>
      <c r="S41" s="19"/>
      <c r="T41" s="20"/>
      <c r="U41" s="36"/>
      <c r="W41" s="22">
        <v>36</v>
      </c>
      <c r="X41" s="19"/>
      <c r="Y41" s="22">
        <v>85</v>
      </c>
      <c r="Z41" s="19">
        <v>181.6</v>
      </c>
      <c r="AA41" s="22">
        <f t="shared" si="2"/>
        <v>134</v>
      </c>
      <c r="AB41" s="19"/>
      <c r="AC41" s="33">
        <v>183</v>
      </c>
      <c r="AD41" s="19">
        <v>207.3</v>
      </c>
      <c r="AE41" s="20"/>
      <c r="AF41" s="36"/>
    </row>
    <row r="42" spans="1:32" ht="15.75" x14ac:dyDescent="0.25">
      <c r="A42" s="22">
        <v>37</v>
      </c>
      <c r="B42" s="19">
        <v>196.4</v>
      </c>
      <c r="C42" s="22">
        <v>86</v>
      </c>
      <c r="D42" s="19">
        <v>212.2</v>
      </c>
      <c r="E42" s="22">
        <f t="shared" si="0"/>
        <v>135</v>
      </c>
      <c r="F42" s="19">
        <v>195.3</v>
      </c>
      <c r="G42" s="33">
        <v>184</v>
      </c>
      <c r="H42" s="19">
        <v>206.7</v>
      </c>
      <c r="I42" s="21"/>
      <c r="J42" s="36"/>
      <c r="L42" s="22">
        <v>37</v>
      </c>
      <c r="M42" s="19">
        <v>196.4</v>
      </c>
      <c r="N42" s="22">
        <v>86</v>
      </c>
      <c r="O42" s="19"/>
      <c r="P42" s="22">
        <f t="shared" si="1"/>
        <v>135</v>
      </c>
      <c r="Q42" s="19">
        <v>195.3</v>
      </c>
      <c r="R42" s="33">
        <v>184</v>
      </c>
      <c r="S42" s="19"/>
      <c r="T42" s="21"/>
      <c r="U42" s="36"/>
      <c r="W42" s="22">
        <v>37</v>
      </c>
      <c r="X42" s="19"/>
      <c r="Y42" s="22">
        <v>86</v>
      </c>
      <c r="Z42" s="19">
        <v>212.2</v>
      </c>
      <c r="AA42" s="22">
        <f t="shared" si="2"/>
        <v>135</v>
      </c>
      <c r="AB42" s="19"/>
      <c r="AC42" s="33">
        <v>184</v>
      </c>
      <c r="AD42" s="19">
        <v>206.7</v>
      </c>
      <c r="AE42" s="21"/>
      <c r="AF42" s="36"/>
    </row>
    <row r="43" spans="1:32" ht="15.75" x14ac:dyDescent="0.25">
      <c r="A43" s="22">
        <v>38</v>
      </c>
      <c r="B43" s="19">
        <v>224</v>
      </c>
      <c r="C43" s="22">
        <v>87</v>
      </c>
      <c r="D43" s="19">
        <v>187.7</v>
      </c>
      <c r="E43" s="22">
        <f t="shared" si="0"/>
        <v>136</v>
      </c>
      <c r="F43" s="19">
        <v>188.6</v>
      </c>
      <c r="G43" s="33">
        <v>185</v>
      </c>
      <c r="H43" s="19">
        <v>178.1</v>
      </c>
      <c r="I43" s="20"/>
      <c r="J43" s="36"/>
      <c r="L43" s="22">
        <v>38</v>
      </c>
      <c r="M43" s="19"/>
      <c r="N43" s="22">
        <v>87</v>
      </c>
      <c r="O43" s="19"/>
      <c r="P43" s="22">
        <f t="shared" si="1"/>
        <v>136</v>
      </c>
      <c r="Q43" s="19">
        <v>188.6</v>
      </c>
      <c r="R43" s="33">
        <v>185</v>
      </c>
      <c r="S43" s="19"/>
      <c r="T43" s="20"/>
      <c r="U43" s="36"/>
      <c r="W43" s="22">
        <v>38</v>
      </c>
      <c r="X43" s="19">
        <v>224</v>
      </c>
      <c r="Y43" s="22">
        <v>87</v>
      </c>
      <c r="Z43" s="19">
        <v>187.7</v>
      </c>
      <c r="AA43" s="22">
        <f t="shared" si="2"/>
        <v>136</v>
      </c>
      <c r="AB43" s="19"/>
      <c r="AC43" s="33">
        <v>185</v>
      </c>
      <c r="AD43" s="19">
        <v>178.1</v>
      </c>
      <c r="AE43" s="20"/>
      <c r="AF43" s="36"/>
    </row>
    <row r="44" spans="1:32" ht="15.75" x14ac:dyDescent="0.25">
      <c r="A44" s="22">
        <v>39</v>
      </c>
      <c r="B44" s="19">
        <v>210.3</v>
      </c>
      <c r="C44" s="22">
        <v>88</v>
      </c>
      <c r="D44" s="19">
        <v>216.6</v>
      </c>
      <c r="E44" s="22">
        <f t="shared" si="0"/>
        <v>137</v>
      </c>
      <c r="F44" s="19">
        <v>212.2</v>
      </c>
      <c r="G44" s="33">
        <v>186</v>
      </c>
      <c r="H44" s="19">
        <v>203.3</v>
      </c>
      <c r="I44" s="20"/>
      <c r="J44" s="36"/>
      <c r="L44" s="22">
        <v>39</v>
      </c>
      <c r="M44" s="19"/>
      <c r="N44" s="22">
        <v>88</v>
      </c>
      <c r="O44" s="19"/>
      <c r="P44" s="22">
        <f t="shared" si="1"/>
        <v>137</v>
      </c>
      <c r="Q44" s="19">
        <v>212.2</v>
      </c>
      <c r="R44" s="33">
        <v>186</v>
      </c>
      <c r="S44" s="19"/>
      <c r="T44" s="20"/>
      <c r="U44" s="36"/>
      <c r="W44" s="22">
        <v>39</v>
      </c>
      <c r="X44" s="19">
        <v>210.3</v>
      </c>
      <c r="Y44" s="22">
        <v>88</v>
      </c>
      <c r="Z44" s="19">
        <v>216.6</v>
      </c>
      <c r="AA44" s="22">
        <f t="shared" si="2"/>
        <v>137</v>
      </c>
      <c r="AB44" s="19"/>
      <c r="AC44" s="33">
        <v>186</v>
      </c>
      <c r="AD44" s="19">
        <v>203.3</v>
      </c>
      <c r="AE44" s="20"/>
      <c r="AF44" s="36"/>
    </row>
    <row r="45" spans="1:32" ht="15.75" x14ac:dyDescent="0.25">
      <c r="A45" s="22">
        <v>40</v>
      </c>
      <c r="B45" s="19">
        <v>210.3</v>
      </c>
      <c r="C45" s="22">
        <v>89</v>
      </c>
      <c r="D45" s="19">
        <v>213.2</v>
      </c>
      <c r="E45" s="22">
        <f t="shared" si="0"/>
        <v>138</v>
      </c>
      <c r="F45" s="19">
        <v>186.7</v>
      </c>
      <c r="G45" s="33">
        <v>187</v>
      </c>
      <c r="H45" s="19">
        <v>181.8</v>
      </c>
      <c r="I45" s="21"/>
      <c r="J45" s="36"/>
      <c r="L45" s="22">
        <v>40</v>
      </c>
      <c r="M45" s="19"/>
      <c r="N45" s="22">
        <v>89</v>
      </c>
      <c r="O45" s="19"/>
      <c r="P45" s="22">
        <f t="shared" si="1"/>
        <v>138</v>
      </c>
      <c r="Q45" s="19">
        <v>186.7</v>
      </c>
      <c r="R45" s="33">
        <v>187</v>
      </c>
      <c r="S45" s="19"/>
      <c r="T45" s="21"/>
      <c r="U45" s="36"/>
      <c r="W45" s="22">
        <v>40</v>
      </c>
      <c r="X45" s="19">
        <v>210.3</v>
      </c>
      <c r="Y45" s="22">
        <v>89</v>
      </c>
      <c r="Z45" s="19">
        <v>213.2</v>
      </c>
      <c r="AA45" s="22">
        <f t="shared" si="2"/>
        <v>138</v>
      </c>
      <c r="AB45" s="19"/>
      <c r="AC45" s="33">
        <v>187</v>
      </c>
      <c r="AD45" s="19">
        <v>181.8</v>
      </c>
      <c r="AE45" s="21"/>
      <c r="AF45" s="36"/>
    </row>
    <row r="46" spans="1:32" ht="15.75" x14ac:dyDescent="0.25">
      <c r="A46" s="22">
        <v>41</v>
      </c>
      <c r="B46" s="19">
        <v>217.2</v>
      </c>
      <c r="C46" s="22">
        <v>90</v>
      </c>
      <c r="D46" s="19">
        <v>199.2</v>
      </c>
      <c r="E46" s="22">
        <f t="shared" si="0"/>
        <v>139</v>
      </c>
      <c r="F46" s="19">
        <v>184.4</v>
      </c>
      <c r="G46" s="33">
        <v>188</v>
      </c>
      <c r="H46" s="19">
        <v>204.7</v>
      </c>
      <c r="I46" s="20"/>
      <c r="J46" s="36"/>
      <c r="L46" s="22">
        <v>41</v>
      </c>
      <c r="M46" s="19"/>
      <c r="N46" s="22">
        <v>90</v>
      </c>
      <c r="O46" s="19"/>
      <c r="P46" s="22">
        <f t="shared" si="1"/>
        <v>139</v>
      </c>
      <c r="Q46" s="19">
        <v>184.4</v>
      </c>
      <c r="R46" s="33">
        <v>188</v>
      </c>
      <c r="S46" s="19"/>
      <c r="T46" s="20"/>
      <c r="U46" s="36"/>
      <c r="W46" s="22">
        <v>41</v>
      </c>
      <c r="X46" s="19">
        <v>217.2</v>
      </c>
      <c r="Y46" s="22">
        <v>90</v>
      </c>
      <c r="Z46" s="19">
        <v>199.2</v>
      </c>
      <c r="AA46" s="22">
        <f t="shared" si="2"/>
        <v>139</v>
      </c>
      <c r="AB46" s="19"/>
      <c r="AC46" s="33">
        <v>188</v>
      </c>
      <c r="AD46" s="19">
        <v>204.7</v>
      </c>
      <c r="AE46" s="20"/>
      <c r="AF46" s="36"/>
    </row>
    <row r="47" spans="1:32" ht="15.75" x14ac:dyDescent="0.25">
      <c r="A47" s="22">
        <v>42</v>
      </c>
      <c r="B47" s="19">
        <v>202.7</v>
      </c>
      <c r="C47" s="22">
        <v>91</v>
      </c>
      <c r="D47" s="19">
        <v>214.8</v>
      </c>
      <c r="E47" s="22">
        <f t="shared" si="0"/>
        <v>140</v>
      </c>
      <c r="F47" s="19">
        <v>190.6</v>
      </c>
      <c r="G47" s="33">
        <v>189</v>
      </c>
      <c r="H47" s="19">
        <v>204.1</v>
      </c>
      <c r="I47" s="20"/>
      <c r="J47" s="36"/>
      <c r="L47" s="22">
        <v>42</v>
      </c>
      <c r="M47" s="19"/>
      <c r="N47" s="22">
        <v>91</v>
      </c>
      <c r="O47" s="19"/>
      <c r="P47" s="22">
        <f t="shared" si="1"/>
        <v>140</v>
      </c>
      <c r="Q47" s="19">
        <v>190.6</v>
      </c>
      <c r="R47" s="33">
        <v>189</v>
      </c>
      <c r="S47" s="19"/>
      <c r="T47" s="20"/>
      <c r="U47" s="36"/>
      <c r="W47" s="22">
        <v>42</v>
      </c>
      <c r="X47" s="19">
        <v>202.7</v>
      </c>
      <c r="Y47" s="22">
        <v>91</v>
      </c>
      <c r="Z47" s="19">
        <v>214.8</v>
      </c>
      <c r="AA47" s="22">
        <f t="shared" si="2"/>
        <v>140</v>
      </c>
      <c r="AB47" s="19"/>
      <c r="AC47" s="33">
        <v>189</v>
      </c>
      <c r="AD47" s="19">
        <v>204.1</v>
      </c>
      <c r="AE47" s="20"/>
      <c r="AF47" s="36"/>
    </row>
    <row r="48" spans="1:32" ht="15.75" x14ac:dyDescent="0.25">
      <c r="A48" s="22">
        <v>43</v>
      </c>
      <c r="B48" s="19">
        <v>212.9</v>
      </c>
      <c r="C48" s="22">
        <v>92</v>
      </c>
      <c r="D48" s="19">
        <v>193.2</v>
      </c>
      <c r="E48" s="22">
        <f t="shared" si="0"/>
        <v>141</v>
      </c>
      <c r="F48" s="19">
        <v>211.5</v>
      </c>
      <c r="G48" s="33">
        <v>190</v>
      </c>
      <c r="H48" s="19">
        <v>192.7</v>
      </c>
      <c r="I48" s="21"/>
      <c r="J48" s="36"/>
      <c r="L48" s="22">
        <v>43</v>
      </c>
      <c r="M48" s="19"/>
      <c r="N48" s="22">
        <v>92</v>
      </c>
      <c r="O48" s="19"/>
      <c r="P48" s="22">
        <f t="shared" si="1"/>
        <v>141</v>
      </c>
      <c r="Q48" s="19">
        <v>211.5</v>
      </c>
      <c r="R48" s="33">
        <v>190</v>
      </c>
      <c r="S48" s="19"/>
      <c r="T48" s="21"/>
      <c r="U48" s="36"/>
      <c r="W48" s="22">
        <v>43</v>
      </c>
      <c r="X48" s="19">
        <v>212.9</v>
      </c>
      <c r="Y48" s="22">
        <v>92</v>
      </c>
      <c r="Z48" s="19">
        <v>193.2</v>
      </c>
      <c r="AA48" s="22">
        <f t="shared" si="2"/>
        <v>141</v>
      </c>
      <c r="AB48" s="19"/>
      <c r="AC48" s="33">
        <v>190</v>
      </c>
      <c r="AD48" s="19">
        <v>192.7</v>
      </c>
      <c r="AE48" s="21"/>
      <c r="AF48" s="36"/>
    </row>
    <row r="49" spans="1:32" ht="15.75" x14ac:dyDescent="0.25">
      <c r="A49" s="22">
        <v>44</v>
      </c>
      <c r="B49" s="19">
        <v>189.2</v>
      </c>
      <c r="C49" s="22">
        <v>93</v>
      </c>
      <c r="D49" s="19">
        <v>209.6</v>
      </c>
      <c r="E49" s="22">
        <f t="shared" si="0"/>
        <v>142</v>
      </c>
      <c r="F49" s="19">
        <v>187.2</v>
      </c>
      <c r="G49" s="33">
        <v>191</v>
      </c>
      <c r="H49" s="19">
        <v>213.9</v>
      </c>
      <c r="I49" s="21"/>
      <c r="J49" s="36"/>
      <c r="L49" s="22">
        <v>44</v>
      </c>
      <c r="M49" s="19"/>
      <c r="N49" s="22">
        <v>93</v>
      </c>
      <c r="O49" s="19"/>
      <c r="P49" s="22">
        <f t="shared" si="1"/>
        <v>142</v>
      </c>
      <c r="Q49" s="19">
        <v>187.2</v>
      </c>
      <c r="R49" s="33">
        <v>191</v>
      </c>
      <c r="S49" s="19"/>
      <c r="T49" s="21"/>
      <c r="U49" s="36"/>
      <c r="W49" s="22">
        <v>44</v>
      </c>
      <c r="X49" s="19">
        <v>189.2</v>
      </c>
      <c r="Y49" s="22">
        <v>93</v>
      </c>
      <c r="Z49" s="19">
        <v>209.6</v>
      </c>
      <c r="AA49" s="22">
        <f t="shared" si="2"/>
        <v>142</v>
      </c>
      <c r="AB49" s="19"/>
      <c r="AC49" s="33">
        <v>191</v>
      </c>
      <c r="AD49" s="19">
        <v>213.9</v>
      </c>
      <c r="AE49" s="21"/>
      <c r="AF49" s="36"/>
    </row>
    <row r="50" spans="1:32" ht="15.75" x14ac:dyDescent="0.25">
      <c r="A50" s="22">
        <v>45</v>
      </c>
      <c r="B50" s="19">
        <v>193.1</v>
      </c>
      <c r="C50" s="22">
        <v>94</v>
      </c>
      <c r="D50" s="19">
        <v>199.8</v>
      </c>
      <c r="E50" s="22">
        <f t="shared" si="0"/>
        <v>143</v>
      </c>
      <c r="F50" s="19">
        <v>212.8</v>
      </c>
      <c r="G50" s="33">
        <v>192</v>
      </c>
      <c r="H50" s="19">
        <v>170.8</v>
      </c>
      <c r="I50" s="20"/>
      <c r="J50" s="36"/>
      <c r="L50" s="22">
        <v>45</v>
      </c>
      <c r="M50" s="19"/>
      <c r="N50" s="22">
        <v>94</v>
      </c>
      <c r="O50" s="19"/>
      <c r="P50" s="22">
        <f t="shared" si="1"/>
        <v>143</v>
      </c>
      <c r="Q50" s="19">
        <v>212.8</v>
      </c>
      <c r="R50" s="33">
        <v>192</v>
      </c>
      <c r="S50" s="19"/>
      <c r="T50" s="20"/>
      <c r="U50" s="36"/>
      <c r="W50" s="22">
        <v>45</v>
      </c>
      <c r="X50" s="19">
        <v>193.1</v>
      </c>
      <c r="Y50" s="22">
        <v>94</v>
      </c>
      <c r="Z50" s="19">
        <v>199.8</v>
      </c>
      <c r="AA50" s="22">
        <f t="shared" si="2"/>
        <v>143</v>
      </c>
      <c r="AB50" s="19"/>
      <c r="AC50" s="33">
        <v>192</v>
      </c>
      <c r="AD50" s="19">
        <v>170.8</v>
      </c>
      <c r="AE50" s="20"/>
      <c r="AF50" s="36"/>
    </row>
    <row r="51" spans="1:32" ht="15.75" x14ac:dyDescent="0.25">
      <c r="A51" s="22">
        <v>46</v>
      </c>
      <c r="B51" s="19">
        <v>210</v>
      </c>
      <c r="C51" s="22">
        <v>95</v>
      </c>
      <c r="D51" s="19">
        <v>213.7</v>
      </c>
      <c r="E51" s="22">
        <f t="shared" si="0"/>
        <v>144</v>
      </c>
      <c r="F51" s="19">
        <v>178.9</v>
      </c>
      <c r="G51" s="33">
        <v>193</v>
      </c>
      <c r="H51" s="19">
        <v>210.1</v>
      </c>
      <c r="I51" s="20"/>
      <c r="J51" s="36"/>
      <c r="L51" s="22">
        <v>46</v>
      </c>
      <c r="M51" s="19"/>
      <c r="N51" s="22">
        <v>95</v>
      </c>
      <c r="O51" s="19"/>
      <c r="P51" s="22">
        <f t="shared" si="1"/>
        <v>144</v>
      </c>
      <c r="Q51" s="19">
        <v>178.9</v>
      </c>
      <c r="R51" s="33">
        <v>193</v>
      </c>
      <c r="S51" s="19"/>
      <c r="T51" s="20"/>
      <c r="U51" s="36"/>
      <c r="W51" s="22">
        <v>46</v>
      </c>
      <c r="X51" s="19">
        <v>210</v>
      </c>
      <c r="Y51" s="22">
        <v>95</v>
      </c>
      <c r="Z51" s="19">
        <v>213.7</v>
      </c>
      <c r="AA51" s="22">
        <f t="shared" si="2"/>
        <v>144</v>
      </c>
      <c r="AB51" s="19"/>
      <c r="AC51" s="33">
        <v>193</v>
      </c>
      <c r="AD51" s="19">
        <v>210.1</v>
      </c>
      <c r="AE51" s="20"/>
      <c r="AF51" s="36"/>
    </row>
    <row r="52" spans="1:32" ht="15.75" x14ac:dyDescent="0.25">
      <c r="A52" s="22">
        <v>47</v>
      </c>
      <c r="B52" s="19">
        <v>190.4</v>
      </c>
      <c r="C52" s="22">
        <v>96</v>
      </c>
      <c r="D52" s="19">
        <v>180.4</v>
      </c>
      <c r="E52" s="22">
        <f t="shared" si="0"/>
        <v>145</v>
      </c>
      <c r="F52" s="19">
        <v>209.7</v>
      </c>
      <c r="G52" s="33">
        <v>194</v>
      </c>
      <c r="H52" s="19">
        <v>209.3</v>
      </c>
      <c r="I52" s="21"/>
      <c r="J52" s="36"/>
      <c r="L52" s="22">
        <v>47</v>
      </c>
      <c r="M52" s="19"/>
      <c r="N52" s="22">
        <v>96</v>
      </c>
      <c r="O52" s="19"/>
      <c r="P52" s="22">
        <f t="shared" si="1"/>
        <v>145</v>
      </c>
      <c r="Q52" s="19">
        <v>209.7</v>
      </c>
      <c r="R52" s="33">
        <v>194</v>
      </c>
      <c r="S52" s="19"/>
      <c r="T52" s="21"/>
      <c r="U52" s="36"/>
      <c r="W52" s="22">
        <v>47</v>
      </c>
      <c r="X52" s="19">
        <v>190.4</v>
      </c>
      <c r="Y52" s="22">
        <v>96</v>
      </c>
      <c r="Z52" s="19">
        <v>180.4</v>
      </c>
      <c r="AA52" s="22">
        <f t="shared" si="2"/>
        <v>145</v>
      </c>
      <c r="AB52" s="19"/>
      <c r="AC52" s="33">
        <v>194</v>
      </c>
      <c r="AD52" s="19">
        <v>209.3</v>
      </c>
      <c r="AE52" s="21"/>
      <c r="AF52" s="36"/>
    </row>
    <row r="53" spans="1:32" ht="15.75" x14ac:dyDescent="0.25">
      <c r="A53" s="22">
        <v>48</v>
      </c>
      <c r="B53" s="19">
        <v>207.3</v>
      </c>
      <c r="C53" s="22">
        <v>97</v>
      </c>
      <c r="D53" s="19">
        <v>213.1</v>
      </c>
      <c r="E53" s="22">
        <f t="shared" si="0"/>
        <v>146</v>
      </c>
      <c r="F53" s="19">
        <v>197.4</v>
      </c>
      <c r="G53" s="33">
        <v>195</v>
      </c>
      <c r="H53" s="19">
        <v>202.8</v>
      </c>
      <c r="I53" s="20"/>
      <c r="J53" s="36"/>
      <c r="L53" s="22">
        <v>48</v>
      </c>
      <c r="M53" s="19"/>
      <c r="N53" s="22">
        <v>97</v>
      </c>
      <c r="O53" s="19"/>
      <c r="P53" s="22">
        <f t="shared" si="1"/>
        <v>146</v>
      </c>
      <c r="Q53" s="19">
        <v>197.4</v>
      </c>
      <c r="R53" s="33">
        <v>195</v>
      </c>
      <c r="S53" s="19"/>
      <c r="T53" s="20"/>
      <c r="U53" s="36"/>
      <c r="W53" s="22">
        <v>48</v>
      </c>
      <c r="X53" s="19">
        <v>207.3</v>
      </c>
      <c r="Y53" s="22">
        <v>97</v>
      </c>
      <c r="Z53" s="19">
        <v>213.1</v>
      </c>
      <c r="AA53" s="22">
        <f t="shared" si="2"/>
        <v>146</v>
      </c>
      <c r="AB53" s="19"/>
      <c r="AC53" s="33">
        <v>195</v>
      </c>
      <c r="AD53" s="19">
        <v>202.8</v>
      </c>
      <c r="AE53" s="20"/>
      <c r="AF53" s="36"/>
    </row>
    <row r="54" spans="1:32" ht="15.75" x14ac:dyDescent="0.25">
      <c r="A54" s="37">
        <v>49</v>
      </c>
      <c r="B54" s="19">
        <v>187.2</v>
      </c>
      <c r="C54" s="37">
        <v>98</v>
      </c>
      <c r="D54" s="19">
        <v>210.4</v>
      </c>
      <c r="E54" s="22">
        <f t="shared" si="0"/>
        <v>147</v>
      </c>
      <c r="F54" s="19">
        <v>213</v>
      </c>
      <c r="G54" s="38">
        <v>196</v>
      </c>
      <c r="H54" s="19">
        <v>208.9</v>
      </c>
      <c r="I54" s="39"/>
      <c r="J54" s="40"/>
      <c r="L54" s="37">
        <v>49</v>
      </c>
      <c r="M54" s="19"/>
      <c r="N54" s="37">
        <v>98</v>
      </c>
      <c r="O54" s="19"/>
      <c r="P54" s="22">
        <f t="shared" si="1"/>
        <v>147</v>
      </c>
      <c r="Q54" s="19">
        <v>213</v>
      </c>
      <c r="R54" s="38">
        <v>196</v>
      </c>
      <c r="S54" s="19"/>
      <c r="T54" s="39"/>
      <c r="U54" s="40"/>
      <c r="W54" s="37">
        <v>49</v>
      </c>
      <c r="X54" s="19">
        <v>187.2</v>
      </c>
      <c r="Y54" s="37">
        <v>98</v>
      </c>
      <c r="Z54" s="19">
        <v>210.4</v>
      </c>
      <c r="AA54" s="22">
        <f t="shared" si="2"/>
        <v>147</v>
      </c>
      <c r="AB54" s="19"/>
      <c r="AC54" s="38">
        <v>196</v>
      </c>
      <c r="AD54" s="19">
        <v>208.9</v>
      </c>
      <c r="AE54" s="39"/>
      <c r="AF54" s="40"/>
    </row>
    <row r="55" spans="1:32" ht="15.75" x14ac:dyDescent="0.25">
      <c r="A55" s="41"/>
      <c r="B55" s="23">
        <f>SUM(B6:B54)</f>
        <v>9565.2000000000007</v>
      </c>
      <c r="C55" s="23"/>
      <c r="D55" s="23">
        <f>SUM(D6:D54)</f>
        <v>9694.2000000000025</v>
      </c>
      <c r="E55" s="23"/>
      <c r="F55" s="23">
        <f>SUM(F6:F54)</f>
        <v>9781.6999999999989</v>
      </c>
      <c r="G55" s="23"/>
      <c r="H55" s="23">
        <f>SUM(H6:H54)</f>
        <v>10021</v>
      </c>
      <c r="I55" s="41"/>
      <c r="J55" s="41">
        <f>SUM(J6:J54)</f>
        <v>4956.3</v>
      </c>
      <c r="L55" s="41"/>
      <c r="M55" s="23">
        <f>SUM(M6:M54)</f>
        <v>7110.6</v>
      </c>
      <c r="N55" s="23"/>
      <c r="O55" s="23">
        <f>SUM(O6:O54)</f>
        <v>0</v>
      </c>
      <c r="P55" s="23"/>
      <c r="Q55" s="23">
        <f>SUM(Q6:Q54)</f>
        <v>4021.9999999999995</v>
      </c>
      <c r="R55" s="23"/>
      <c r="S55" s="23">
        <f>SUM(S6:S54)</f>
        <v>4575.4000000000005</v>
      </c>
      <c r="T55" s="41"/>
      <c r="U55" s="41">
        <f>SUM(U6:U54)</f>
        <v>0</v>
      </c>
      <c r="W55" s="41"/>
      <c r="X55" s="23">
        <f>SUM(X6:X54)</f>
        <v>2454.6</v>
      </c>
      <c r="Y55" s="23"/>
      <c r="Z55" s="23">
        <f>SUM(Z6:Z54)</f>
        <v>9694.2000000000025</v>
      </c>
      <c r="AA55" s="23"/>
      <c r="AB55" s="23">
        <f>SUM(AB6:AB54)</f>
        <v>5759.6999999999989</v>
      </c>
      <c r="AC55" s="23"/>
      <c r="AD55" s="23">
        <f>SUM(AD6:AD54)</f>
        <v>5445.6</v>
      </c>
      <c r="AE55" s="41"/>
      <c r="AF55" s="41">
        <f>SUM(AF6:AF54)</f>
        <v>4956.3</v>
      </c>
    </row>
    <row r="56" spans="1:32" ht="15.75" x14ac:dyDescent="0.25">
      <c r="A56" s="42" t="s">
        <v>5</v>
      </c>
      <c r="B56" s="43">
        <f>COUNT(B6:B54,D6:D54,F6:F54,H6:H54,J6:J54)</f>
        <v>220</v>
      </c>
      <c r="C56" s="13" t="s">
        <v>6</v>
      </c>
      <c r="D56" s="44"/>
      <c r="E56" s="45">
        <f>B55+D55+F55+H55+J55</f>
        <v>44018.400000000001</v>
      </c>
      <c r="F56" s="24" t="s">
        <v>7</v>
      </c>
      <c r="G56" s="1">
        <f>B56*2.2</f>
        <v>484.00000000000006</v>
      </c>
      <c r="H56" s="13" t="s">
        <v>8</v>
      </c>
      <c r="I56" s="44"/>
      <c r="J56" s="45">
        <f>E56-G56</f>
        <v>43534.400000000001</v>
      </c>
      <c r="L56" s="42" t="s">
        <v>5</v>
      </c>
      <c r="M56" s="43">
        <f>COUNT(M6:M54,O6:O54,Q6:Q54,S6:S54,U6:U54)</f>
        <v>79</v>
      </c>
      <c r="N56" s="13" t="s">
        <v>6</v>
      </c>
      <c r="O56" s="44"/>
      <c r="P56" s="45">
        <f>M55+O55+Q55+S55+U55</f>
        <v>15708</v>
      </c>
      <c r="Q56" s="24" t="s">
        <v>7</v>
      </c>
      <c r="R56" s="1">
        <f>M56*2.2</f>
        <v>173.8</v>
      </c>
      <c r="S56" s="13" t="s">
        <v>8</v>
      </c>
      <c r="T56" s="44"/>
      <c r="U56" s="45">
        <f>P56-R56</f>
        <v>15534.2</v>
      </c>
      <c r="W56" s="42" t="s">
        <v>5</v>
      </c>
      <c r="X56" s="43">
        <f>COUNT(X6:X54,Z6:Z54,AB6:AB54,AD6:AD54,AF6:AF54)</f>
        <v>141</v>
      </c>
      <c r="Y56" s="13" t="s">
        <v>6</v>
      </c>
      <c r="Z56" s="44"/>
      <c r="AA56" s="45">
        <f>X55+Z55+AB55+AD55+AF55</f>
        <v>28310.399999999998</v>
      </c>
      <c r="AB56" s="24" t="s">
        <v>7</v>
      </c>
      <c r="AC56" s="1">
        <f>X56*2.2</f>
        <v>310.20000000000005</v>
      </c>
      <c r="AD56" s="13" t="s">
        <v>8</v>
      </c>
      <c r="AE56" s="44"/>
      <c r="AF56" s="45">
        <f>AA56-AC56</f>
        <v>28000.199999999997</v>
      </c>
    </row>
    <row r="57" spans="1:32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  <c r="L57" s="42" t="s">
        <v>9</v>
      </c>
      <c r="M57" s="25"/>
      <c r="N57" s="46"/>
      <c r="O57" s="44"/>
      <c r="P57" s="47"/>
      <c r="Q57" s="25"/>
      <c r="R57" s="48"/>
      <c r="S57" s="46"/>
      <c r="T57" s="44"/>
      <c r="U57" s="49"/>
      <c r="W57" s="42" t="s">
        <v>9</v>
      </c>
      <c r="X57" s="25"/>
      <c r="Y57" s="46"/>
      <c r="Z57" s="44"/>
      <c r="AA57" s="47"/>
      <c r="AB57" s="25"/>
      <c r="AC57" s="48"/>
      <c r="AD57" s="46"/>
      <c r="AE57" s="44"/>
      <c r="AF57" s="49"/>
    </row>
    <row r="58" spans="1:32" x14ac:dyDescent="0.25">
      <c r="B58" s="79">
        <f>M56+X56</f>
        <v>220</v>
      </c>
      <c r="C58" s="79"/>
      <c r="D58" s="79"/>
      <c r="E58" s="167">
        <f>P56+AA56</f>
        <v>44018.399999999994</v>
      </c>
      <c r="F58" s="79"/>
      <c r="G58" s="79"/>
      <c r="H58" s="79"/>
      <c r="I58" s="79"/>
      <c r="J58" s="167">
        <f>U56+AF56</f>
        <v>43534.399999999994</v>
      </c>
    </row>
    <row r="59" spans="1:32" x14ac:dyDescent="0.25">
      <c r="F59" s="112" t="s">
        <v>61</v>
      </c>
      <c r="G59" s="112">
        <v>2.2000000000000002</v>
      </c>
      <c r="Q59" s="112" t="s">
        <v>61</v>
      </c>
      <c r="R59" s="112">
        <v>2.2000000000000002</v>
      </c>
      <c r="AB59" s="112" t="s">
        <v>61</v>
      </c>
      <c r="AC59" s="112">
        <v>2.2000000000000002</v>
      </c>
    </row>
  </sheetData>
  <protectedRanges>
    <protectedRange password="CCE1" sqref="C6:C54 G6:G54 E6:E54 I6:I29 N6:N54 R6:R54 P6:P54 T6:T29 Y6:Y54 AC6:AC54 AA6:AA54 AE6:AE29" name="Диапазон1_3_1_7_2_1_1_1_1_1_1_1"/>
  </protectedRanges>
  <mergeCells count="6">
    <mergeCell ref="A1:J1"/>
    <mergeCell ref="I4:J4"/>
    <mergeCell ref="L1:U1"/>
    <mergeCell ref="T4:U4"/>
    <mergeCell ref="W1:AF1"/>
    <mergeCell ref="AE4:AF4"/>
  </mergeCells>
  <pageMargins left="0.7" right="0.7" top="0.75" bottom="0.75" header="0.3" footer="0.3"/>
  <pageSetup paperSize="9" scale="83" orientation="portrait" verticalDpi="0" r:id="rId1"/>
  <rowBreaks count="1" manualBreakCount="1">
    <brk id="57" max="16383" man="1"/>
  </rowBreaks>
  <colBreaks count="2" manualBreakCount="2">
    <brk id="10" max="56" man="1"/>
    <brk id="21" max="56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9"/>
  <sheetViews>
    <sheetView topLeftCell="B1" zoomScaleNormal="100" workbookViewId="0">
      <selection activeCell="T5" sqref="T5"/>
    </sheetView>
  </sheetViews>
  <sheetFormatPr defaultRowHeight="15" x14ac:dyDescent="0.25"/>
  <cols>
    <col min="11" max="11" width="2.140625" customWidth="1"/>
  </cols>
  <sheetData>
    <row r="1" spans="1:21" ht="18.75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L1" s="204" t="s">
        <v>0</v>
      </c>
      <c r="M1" s="204"/>
      <c r="N1" s="204"/>
      <c r="O1" s="204"/>
      <c r="P1" s="204"/>
      <c r="Q1" s="204"/>
      <c r="R1" s="204"/>
      <c r="S1" s="204"/>
      <c r="T1" s="204"/>
      <c r="U1" s="204"/>
    </row>
    <row r="2" spans="1:21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  <c r="L2" s="13" t="s">
        <v>1</v>
      </c>
      <c r="M2" s="13"/>
      <c r="N2" s="13"/>
      <c r="O2" s="13"/>
      <c r="P2" s="13"/>
      <c r="Q2" s="13"/>
      <c r="R2" s="27"/>
      <c r="S2" s="13"/>
      <c r="T2" s="13"/>
      <c r="U2" s="13"/>
    </row>
    <row r="3" spans="1:21" ht="15.75" x14ac:dyDescent="0.25">
      <c r="A3" s="25" t="s">
        <v>2</v>
      </c>
      <c r="B3" s="27">
        <v>227</v>
      </c>
      <c r="C3" s="14"/>
      <c r="D3" s="15"/>
      <c r="E3" s="16"/>
      <c r="F3" s="16"/>
      <c r="G3" s="16"/>
      <c r="H3" s="16"/>
      <c r="I3" s="16" t="s">
        <v>33</v>
      </c>
      <c r="J3" s="16"/>
      <c r="L3" s="25" t="s">
        <v>2</v>
      </c>
      <c r="M3" s="27">
        <v>227</v>
      </c>
      <c r="N3" s="14"/>
      <c r="O3" s="15"/>
      <c r="P3" s="16"/>
      <c r="Q3" s="16"/>
      <c r="R3" s="16"/>
      <c r="S3" s="16"/>
      <c r="T3" s="16" t="s">
        <v>33</v>
      </c>
      <c r="U3" s="16"/>
    </row>
    <row r="4" spans="1:21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  <c r="L4" s="17"/>
      <c r="M4" s="17"/>
      <c r="N4" s="17"/>
      <c r="O4" s="17"/>
      <c r="P4" s="17"/>
      <c r="Q4" s="17"/>
      <c r="R4" s="17"/>
      <c r="S4" s="28"/>
      <c r="T4" s="205" t="s">
        <v>50</v>
      </c>
      <c r="U4" s="206"/>
    </row>
    <row r="5" spans="1:21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  <c r="L5" s="29" t="s">
        <v>3</v>
      </c>
      <c r="M5" s="18" t="s">
        <v>4</v>
      </c>
      <c r="N5" s="29" t="s">
        <v>3</v>
      </c>
      <c r="O5" s="18" t="s">
        <v>4</v>
      </c>
      <c r="P5" s="29" t="s">
        <v>3</v>
      </c>
      <c r="Q5" s="18" t="s">
        <v>4</v>
      </c>
      <c r="R5" s="29" t="s">
        <v>3</v>
      </c>
      <c r="S5" s="30" t="s">
        <v>4</v>
      </c>
      <c r="T5" s="31" t="s">
        <v>3</v>
      </c>
      <c r="U5" s="32" t="s">
        <v>4</v>
      </c>
    </row>
    <row r="6" spans="1:21" ht="15.75" x14ac:dyDescent="0.25">
      <c r="A6" s="22">
        <v>1</v>
      </c>
      <c r="B6" s="19">
        <v>191.1</v>
      </c>
      <c r="C6" s="22">
        <v>50</v>
      </c>
      <c r="D6" s="19">
        <v>211.1</v>
      </c>
      <c r="E6" s="22">
        <v>99</v>
      </c>
      <c r="F6" s="19">
        <v>187.6</v>
      </c>
      <c r="G6" s="33">
        <v>148</v>
      </c>
      <c r="H6" s="19">
        <v>185.4</v>
      </c>
      <c r="I6" s="34">
        <v>197</v>
      </c>
      <c r="J6" s="19">
        <v>173.5</v>
      </c>
      <c r="L6" s="22">
        <v>1</v>
      </c>
      <c r="M6" s="19">
        <v>191.1</v>
      </c>
      <c r="N6" s="22">
        <v>50</v>
      </c>
      <c r="O6" s="19">
        <v>211.1</v>
      </c>
      <c r="P6" s="22">
        <v>99</v>
      </c>
      <c r="Q6" s="19">
        <v>187.6</v>
      </c>
      <c r="R6" s="33">
        <v>148</v>
      </c>
      <c r="S6" s="19">
        <v>185.4</v>
      </c>
      <c r="T6" s="34">
        <v>197</v>
      </c>
      <c r="U6" s="19">
        <v>173.5</v>
      </c>
    </row>
    <row r="7" spans="1:21" ht="15.75" x14ac:dyDescent="0.25">
      <c r="A7" s="22">
        <v>2</v>
      </c>
      <c r="B7" s="19">
        <v>207.1</v>
      </c>
      <c r="C7" s="22">
        <v>51</v>
      </c>
      <c r="D7" s="19">
        <v>210.1</v>
      </c>
      <c r="E7" s="22">
        <v>100</v>
      </c>
      <c r="F7" s="19">
        <v>203.9</v>
      </c>
      <c r="G7" s="33">
        <v>149</v>
      </c>
      <c r="H7" s="19">
        <v>207.2</v>
      </c>
      <c r="I7" s="33">
        <v>198</v>
      </c>
      <c r="J7" s="19">
        <v>203.9</v>
      </c>
      <c r="L7" s="22">
        <v>2</v>
      </c>
      <c r="M7" s="19">
        <v>207.1</v>
      </c>
      <c r="N7" s="22">
        <v>51</v>
      </c>
      <c r="O7" s="19">
        <v>210.1</v>
      </c>
      <c r="P7" s="22">
        <v>100</v>
      </c>
      <c r="Q7" s="19">
        <v>203.9</v>
      </c>
      <c r="R7" s="33">
        <v>149</v>
      </c>
      <c r="S7" s="19">
        <v>207.2</v>
      </c>
      <c r="T7" s="33">
        <v>198</v>
      </c>
      <c r="U7" s="19">
        <v>203.9</v>
      </c>
    </row>
    <row r="8" spans="1:21" ht="15.75" x14ac:dyDescent="0.25">
      <c r="A8" s="22">
        <v>3</v>
      </c>
      <c r="B8" s="19">
        <v>204.9</v>
      </c>
      <c r="C8" s="22">
        <v>52</v>
      </c>
      <c r="D8" s="19">
        <v>197.2</v>
      </c>
      <c r="E8" s="22">
        <f t="shared" ref="E8:E54" si="0">+E7+1</f>
        <v>101</v>
      </c>
      <c r="F8" s="19">
        <v>175.2</v>
      </c>
      <c r="G8" s="33">
        <v>150</v>
      </c>
      <c r="H8" s="19">
        <v>210.6</v>
      </c>
      <c r="I8" s="33">
        <v>199</v>
      </c>
      <c r="J8" s="19">
        <v>210.8</v>
      </c>
      <c r="L8" s="22">
        <v>3</v>
      </c>
      <c r="M8" s="19">
        <v>204.9</v>
      </c>
      <c r="N8" s="22">
        <v>52</v>
      </c>
      <c r="O8" s="19">
        <v>197.2</v>
      </c>
      <c r="P8" s="22">
        <f t="shared" ref="P8:P54" si="1">+P7+1</f>
        <v>101</v>
      </c>
      <c r="Q8" s="19">
        <v>175.2</v>
      </c>
      <c r="R8" s="33">
        <v>150</v>
      </c>
      <c r="S8" s="19">
        <v>210.6</v>
      </c>
      <c r="T8" s="33">
        <v>199</v>
      </c>
      <c r="U8" s="19">
        <v>210.8</v>
      </c>
    </row>
    <row r="9" spans="1:21" ht="15.75" x14ac:dyDescent="0.25">
      <c r="A9" s="22">
        <v>4</v>
      </c>
      <c r="B9" s="19">
        <v>202.7</v>
      </c>
      <c r="C9" s="22">
        <v>53</v>
      </c>
      <c r="D9" s="19">
        <v>209.5</v>
      </c>
      <c r="E9" s="22">
        <f t="shared" si="0"/>
        <v>102</v>
      </c>
      <c r="F9" s="19">
        <v>204</v>
      </c>
      <c r="G9" s="33">
        <v>151</v>
      </c>
      <c r="H9" s="19">
        <v>192.4</v>
      </c>
      <c r="I9" s="33">
        <v>200</v>
      </c>
      <c r="J9" s="19">
        <v>183.5</v>
      </c>
      <c r="L9" s="22">
        <v>4</v>
      </c>
      <c r="M9" s="19">
        <v>202.7</v>
      </c>
      <c r="N9" s="22">
        <v>53</v>
      </c>
      <c r="O9" s="19">
        <v>209.5</v>
      </c>
      <c r="P9" s="22">
        <f t="shared" si="1"/>
        <v>102</v>
      </c>
      <c r="Q9" s="19">
        <v>204</v>
      </c>
      <c r="R9" s="33">
        <v>151</v>
      </c>
      <c r="S9" s="19">
        <v>192.4</v>
      </c>
      <c r="T9" s="33">
        <v>200</v>
      </c>
      <c r="U9" s="19">
        <v>183.5</v>
      </c>
    </row>
    <row r="10" spans="1:21" ht="15.75" x14ac:dyDescent="0.25">
      <c r="A10" s="22">
        <v>5</v>
      </c>
      <c r="B10" s="19">
        <v>199.9</v>
      </c>
      <c r="C10" s="22">
        <v>54</v>
      </c>
      <c r="D10" s="19">
        <v>211.6</v>
      </c>
      <c r="E10" s="22">
        <f t="shared" si="0"/>
        <v>103</v>
      </c>
      <c r="F10" s="19">
        <v>181.3</v>
      </c>
      <c r="G10" s="33">
        <v>152</v>
      </c>
      <c r="H10" s="19">
        <v>208.2</v>
      </c>
      <c r="I10" s="33">
        <v>201</v>
      </c>
      <c r="J10" s="19">
        <v>175.1</v>
      </c>
      <c r="L10" s="22">
        <v>5</v>
      </c>
      <c r="M10" s="19">
        <v>199.9</v>
      </c>
      <c r="N10" s="22">
        <v>54</v>
      </c>
      <c r="O10" s="19">
        <v>211.6</v>
      </c>
      <c r="P10" s="22">
        <f t="shared" si="1"/>
        <v>103</v>
      </c>
      <c r="Q10" s="19">
        <v>181.3</v>
      </c>
      <c r="R10" s="33">
        <v>152</v>
      </c>
      <c r="S10" s="19">
        <v>208.2</v>
      </c>
      <c r="T10" s="33">
        <v>201</v>
      </c>
      <c r="U10" s="19">
        <v>175.1</v>
      </c>
    </row>
    <row r="11" spans="1:21" ht="15.75" x14ac:dyDescent="0.25">
      <c r="A11" s="22">
        <v>6</v>
      </c>
      <c r="B11" s="19">
        <v>202.8</v>
      </c>
      <c r="C11" s="22">
        <v>55</v>
      </c>
      <c r="D11" s="19">
        <v>208.7</v>
      </c>
      <c r="E11" s="22">
        <f t="shared" si="0"/>
        <v>104</v>
      </c>
      <c r="F11" s="19">
        <v>208.2</v>
      </c>
      <c r="G11" s="33">
        <v>153</v>
      </c>
      <c r="H11" s="19">
        <v>212.1</v>
      </c>
      <c r="I11" s="33">
        <v>202</v>
      </c>
      <c r="J11" s="19">
        <v>203.5</v>
      </c>
      <c r="L11" s="22">
        <v>6</v>
      </c>
      <c r="M11" s="19">
        <v>202.8</v>
      </c>
      <c r="N11" s="22">
        <v>55</v>
      </c>
      <c r="O11" s="19">
        <v>208.7</v>
      </c>
      <c r="P11" s="22">
        <f t="shared" si="1"/>
        <v>104</v>
      </c>
      <c r="Q11" s="19">
        <v>208.2</v>
      </c>
      <c r="R11" s="33">
        <v>153</v>
      </c>
      <c r="S11" s="19">
        <v>212.1</v>
      </c>
      <c r="T11" s="33">
        <v>202</v>
      </c>
      <c r="U11" s="19">
        <v>203.5</v>
      </c>
    </row>
    <row r="12" spans="1:21" ht="15.75" x14ac:dyDescent="0.25">
      <c r="A12" s="22">
        <v>7</v>
      </c>
      <c r="B12" s="19">
        <v>198.8</v>
      </c>
      <c r="C12" s="22">
        <v>56</v>
      </c>
      <c r="D12" s="19">
        <v>212.2</v>
      </c>
      <c r="E12" s="22">
        <f t="shared" si="0"/>
        <v>105</v>
      </c>
      <c r="F12" s="19">
        <v>179.3</v>
      </c>
      <c r="G12" s="33">
        <v>154</v>
      </c>
      <c r="H12" s="19">
        <v>186.4</v>
      </c>
      <c r="I12" s="33">
        <v>203</v>
      </c>
      <c r="J12" s="19">
        <v>177.9</v>
      </c>
      <c r="L12" s="22">
        <v>7</v>
      </c>
      <c r="M12" s="19">
        <v>198.8</v>
      </c>
      <c r="N12" s="22">
        <v>56</v>
      </c>
      <c r="O12" s="19">
        <v>212.2</v>
      </c>
      <c r="P12" s="22">
        <f t="shared" si="1"/>
        <v>105</v>
      </c>
      <c r="Q12" s="19">
        <v>179.3</v>
      </c>
      <c r="R12" s="33">
        <v>154</v>
      </c>
      <c r="S12" s="19">
        <v>186.4</v>
      </c>
      <c r="T12" s="33">
        <v>203</v>
      </c>
      <c r="U12" s="19">
        <v>177.9</v>
      </c>
    </row>
    <row r="13" spans="1:21" ht="15.75" x14ac:dyDescent="0.25">
      <c r="A13" s="22">
        <v>8</v>
      </c>
      <c r="B13" s="19">
        <v>205.9</v>
      </c>
      <c r="C13" s="22">
        <v>57</v>
      </c>
      <c r="D13" s="19">
        <v>182.3</v>
      </c>
      <c r="E13" s="22">
        <f t="shared" si="0"/>
        <v>106</v>
      </c>
      <c r="F13" s="19">
        <v>210.8</v>
      </c>
      <c r="G13" s="33">
        <v>155</v>
      </c>
      <c r="H13" s="19">
        <v>190.5</v>
      </c>
      <c r="I13" s="33">
        <v>204</v>
      </c>
      <c r="J13" s="19">
        <v>209.1</v>
      </c>
      <c r="L13" s="22">
        <v>8</v>
      </c>
      <c r="M13" s="19">
        <v>205.9</v>
      </c>
      <c r="N13" s="22">
        <v>57</v>
      </c>
      <c r="O13" s="19">
        <v>182.3</v>
      </c>
      <c r="P13" s="22">
        <f t="shared" si="1"/>
        <v>106</v>
      </c>
      <c r="Q13" s="19">
        <v>210.8</v>
      </c>
      <c r="R13" s="33">
        <v>155</v>
      </c>
      <c r="S13" s="19">
        <v>190.5</v>
      </c>
      <c r="T13" s="33">
        <v>204</v>
      </c>
      <c r="U13" s="19">
        <v>209.1</v>
      </c>
    </row>
    <row r="14" spans="1:21" ht="15.75" x14ac:dyDescent="0.25">
      <c r="A14" s="22">
        <v>9</v>
      </c>
      <c r="B14" s="19">
        <v>204.8</v>
      </c>
      <c r="C14" s="22">
        <v>58</v>
      </c>
      <c r="D14" s="19">
        <v>210.3</v>
      </c>
      <c r="E14" s="22">
        <f t="shared" si="0"/>
        <v>107</v>
      </c>
      <c r="F14" s="19">
        <v>197.5</v>
      </c>
      <c r="G14" s="33">
        <v>156</v>
      </c>
      <c r="H14" s="19">
        <v>201.1</v>
      </c>
      <c r="I14" s="33">
        <v>205</v>
      </c>
      <c r="J14" s="19">
        <v>178.8</v>
      </c>
      <c r="L14" s="22">
        <v>9</v>
      </c>
      <c r="M14" s="19">
        <v>204.8</v>
      </c>
      <c r="N14" s="22">
        <v>58</v>
      </c>
      <c r="O14" s="19">
        <v>210.3</v>
      </c>
      <c r="P14" s="22">
        <f t="shared" si="1"/>
        <v>107</v>
      </c>
      <c r="Q14" s="19">
        <v>197.5</v>
      </c>
      <c r="R14" s="33">
        <v>156</v>
      </c>
      <c r="S14" s="19">
        <v>201.1</v>
      </c>
      <c r="T14" s="33">
        <v>205</v>
      </c>
      <c r="U14" s="19">
        <v>178.8</v>
      </c>
    </row>
    <row r="15" spans="1:21" ht="15.75" x14ac:dyDescent="0.25">
      <c r="A15" s="22">
        <v>10</v>
      </c>
      <c r="B15" s="19">
        <v>204.6</v>
      </c>
      <c r="C15" s="22">
        <v>59</v>
      </c>
      <c r="D15" s="19">
        <v>205.5</v>
      </c>
      <c r="E15" s="22">
        <f t="shared" si="0"/>
        <v>108</v>
      </c>
      <c r="F15" s="19">
        <v>210.7</v>
      </c>
      <c r="G15" s="33">
        <v>157</v>
      </c>
      <c r="H15" s="19">
        <v>205.5</v>
      </c>
      <c r="I15" s="33">
        <v>206</v>
      </c>
      <c r="J15" s="19">
        <v>205.8</v>
      </c>
      <c r="L15" s="22">
        <v>10</v>
      </c>
      <c r="M15" s="19">
        <v>204.6</v>
      </c>
      <c r="N15" s="22">
        <v>59</v>
      </c>
      <c r="O15" s="19">
        <v>205.5</v>
      </c>
      <c r="P15" s="22">
        <f t="shared" si="1"/>
        <v>108</v>
      </c>
      <c r="Q15" s="19">
        <v>210.7</v>
      </c>
      <c r="R15" s="33">
        <v>157</v>
      </c>
      <c r="S15" s="19">
        <v>205.5</v>
      </c>
      <c r="T15" s="33">
        <v>206</v>
      </c>
      <c r="U15" s="19">
        <v>205.8</v>
      </c>
    </row>
    <row r="16" spans="1:21" ht="15.75" x14ac:dyDescent="0.25">
      <c r="A16" s="22">
        <v>11</v>
      </c>
      <c r="B16" s="19">
        <v>203.1</v>
      </c>
      <c r="C16" s="22">
        <v>60</v>
      </c>
      <c r="D16" s="19">
        <v>192.1</v>
      </c>
      <c r="E16" s="22">
        <f t="shared" si="0"/>
        <v>109</v>
      </c>
      <c r="F16" s="19">
        <v>181.2</v>
      </c>
      <c r="G16" s="33">
        <v>158</v>
      </c>
      <c r="H16" s="19">
        <v>180</v>
      </c>
      <c r="I16" s="33">
        <v>207</v>
      </c>
      <c r="J16" s="19">
        <v>192.2</v>
      </c>
      <c r="L16" s="22">
        <v>11</v>
      </c>
      <c r="M16" s="19">
        <v>203.1</v>
      </c>
      <c r="N16" s="22">
        <v>60</v>
      </c>
      <c r="O16" s="19">
        <v>192.1</v>
      </c>
      <c r="P16" s="22">
        <f t="shared" si="1"/>
        <v>109</v>
      </c>
      <c r="Q16" s="19">
        <v>181.2</v>
      </c>
      <c r="R16" s="33">
        <v>158</v>
      </c>
      <c r="S16" s="19">
        <v>180</v>
      </c>
      <c r="T16" s="33">
        <v>207</v>
      </c>
      <c r="U16" s="19">
        <v>192.2</v>
      </c>
    </row>
    <row r="17" spans="1:21" ht="15.75" x14ac:dyDescent="0.25">
      <c r="A17" s="22">
        <v>12</v>
      </c>
      <c r="B17" s="19">
        <v>202.6</v>
      </c>
      <c r="C17" s="22">
        <v>61</v>
      </c>
      <c r="D17" s="19">
        <v>210.5</v>
      </c>
      <c r="E17" s="22">
        <f t="shared" si="0"/>
        <v>110</v>
      </c>
      <c r="F17" s="19">
        <v>208.2</v>
      </c>
      <c r="G17" s="33">
        <v>159</v>
      </c>
      <c r="H17" s="19">
        <v>197.7</v>
      </c>
      <c r="I17" s="33">
        <v>208</v>
      </c>
      <c r="J17" s="19">
        <v>210.6</v>
      </c>
      <c r="L17" s="22">
        <v>12</v>
      </c>
      <c r="M17" s="19">
        <v>202.6</v>
      </c>
      <c r="N17" s="22">
        <v>61</v>
      </c>
      <c r="O17" s="19">
        <v>210.5</v>
      </c>
      <c r="P17" s="22">
        <f t="shared" si="1"/>
        <v>110</v>
      </c>
      <c r="Q17" s="19">
        <v>208.2</v>
      </c>
      <c r="R17" s="33">
        <v>159</v>
      </c>
      <c r="S17" s="19">
        <v>197.7</v>
      </c>
      <c r="T17" s="33">
        <v>208</v>
      </c>
      <c r="U17" s="19">
        <v>210.6</v>
      </c>
    </row>
    <row r="18" spans="1:21" ht="15.75" x14ac:dyDescent="0.25">
      <c r="A18" s="22">
        <v>13</v>
      </c>
      <c r="B18" s="19">
        <v>203.7</v>
      </c>
      <c r="C18" s="22">
        <v>62</v>
      </c>
      <c r="D18" s="19">
        <v>190.6</v>
      </c>
      <c r="E18" s="22">
        <f t="shared" si="0"/>
        <v>111</v>
      </c>
      <c r="F18" s="19">
        <v>170.6</v>
      </c>
      <c r="G18" s="33">
        <v>160</v>
      </c>
      <c r="H18" s="19">
        <v>180.3</v>
      </c>
      <c r="I18" s="33">
        <v>209</v>
      </c>
      <c r="J18" s="19">
        <v>155.6</v>
      </c>
      <c r="L18" s="22">
        <v>13</v>
      </c>
      <c r="M18" s="19">
        <v>203.7</v>
      </c>
      <c r="N18" s="22">
        <v>62</v>
      </c>
      <c r="O18" s="19">
        <v>190.6</v>
      </c>
      <c r="P18" s="22">
        <f t="shared" si="1"/>
        <v>111</v>
      </c>
      <c r="Q18" s="19">
        <v>170.6</v>
      </c>
      <c r="R18" s="33">
        <v>160</v>
      </c>
      <c r="S18" s="19">
        <v>180.3</v>
      </c>
      <c r="T18" s="33">
        <v>209</v>
      </c>
      <c r="U18" s="19">
        <v>155.6</v>
      </c>
    </row>
    <row r="19" spans="1:21" ht="15.75" x14ac:dyDescent="0.25">
      <c r="A19" s="22">
        <v>14</v>
      </c>
      <c r="B19" s="19">
        <v>200.9</v>
      </c>
      <c r="C19" s="22">
        <v>63</v>
      </c>
      <c r="D19" s="19">
        <v>210.9</v>
      </c>
      <c r="E19" s="22">
        <f t="shared" si="0"/>
        <v>112</v>
      </c>
      <c r="F19" s="19">
        <v>205</v>
      </c>
      <c r="G19" s="33">
        <v>161</v>
      </c>
      <c r="H19" s="19">
        <v>172.9</v>
      </c>
      <c r="I19" s="33">
        <v>210</v>
      </c>
      <c r="J19" s="19">
        <v>175.1</v>
      </c>
      <c r="L19" s="22">
        <v>14</v>
      </c>
      <c r="M19" s="19">
        <v>200.9</v>
      </c>
      <c r="N19" s="22">
        <v>63</v>
      </c>
      <c r="O19" s="19">
        <v>210.9</v>
      </c>
      <c r="P19" s="22">
        <f t="shared" si="1"/>
        <v>112</v>
      </c>
      <c r="Q19" s="19">
        <v>205</v>
      </c>
      <c r="R19" s="33">
        <v>161</v>
      </c>
      <c r="S19" s="19">
        <v>172.9</v>
      </c>
      <c r="T19" s="33">
        <v>210</v>
      </c>
      <c r="U19" s="19">
        <v>175.1</v>
      </c>
    </row>
    <row r="20" spans="1:21" ht="15.75" x14ac:dyDescent="0.25">
      <c r="A20" s="22">
        <v>15</v>
      </c>
      <c r="B20" s="19">
        <v>197.9</v>
      </c>
      <c r="C20" s="22">
        <v>64</v>
      </c>
      <c r="D20" s="19">
        <v>203.5</v>
      </c>
      <c r="E20" s="22">
        <f t="shared" si="0"/>
        <v>113</v>
      </c>
      <c r="F20" s="19">
        <v>208.8</v>
      </c>
      <c r="G20" s="35">
        <v>162</v>
      </c>
      <c r="H20" s="19">
        <v>174</v>
      </c>
      <c r="I20" s="33">
        <v>211</v>
      </c>
      <c r="J20" s="19">
        <v>210.5</v>
      </c>
      <c r="L20" s="22">
        <v>15</v>
      </c>
      <c r="M20" s="19">
        <v>197.9</v>
      </c>
      <c r="N20" s="22">
        <v>64</v>
      </c>
      <c r="O20" s="19">
        <v>203.5</v>
      </c>
      <c r="P20" s="22">
        <f t="shared" si="1"/>
        <v>113</v>
      </c>
      <c r="Q20" s="19">
        <v>208.8</v>
      </c>
      <c r="R20" s="35">
        <v>162</v>
      </c>
      <c r="S20" s="19">
        <v>174</v>
      </c>
      <c r="T20" s="33">
        <v>211</v>
      </c>
      <c r="U20" s="19">
        <v>210.5</v>
      </c>
    </row>
    <row r="21" spans="1:21" ht="15.75" x14ac:dyDescent="0.25">
      <c r="A21" s="22">
        <v>16</v>
      </c>
      <c r="B21" s="19">
        <v>164.8</v>
      </c>
      <c r="C21" s="22">
        <v>65</v>
      </c>
      <c r="D21" s="19">
        <v>188</v>
      </c>
      <c r="E21" s="22">
        <f t="shared" si="0"/>
        <v>114</v>
      </c>
      <c r="F21" s="19">
        <v>174.4</v>
      </c>
      <c r="G21" s="35">
        <v>163</v>
      </c>
      <c r="H21" s="19">
        <v>189.8</v>
      </c>
      <c r="I21" s="33">
        <v>212</v>
      </c>
      <c r="J21" s="19">
        <v>210.9</v>
      </c>
      <c r="L21" s="22">
        <v>16</v>
      </c>
      <c r="M21" s="19">
        <v>164.8</v>
      </c>
      <c r="N21" s="22">
        <v>65</v>
      </c>
      <c r="O21" s="19">
        <v>188</v>
      </c>
      <c r="P21" s="22">
        <f t="shared" si="1"/>
        <v>114</v>
      </c>
      <c r="Q21" s="19">
        <v>174.4</v>
      </c>
      <c r="R21" s="35">
        <v>163</v>
      </c>
      <c r="S21" s="19">
        <v>189.8</v>
      </c>
      <c r="T21" s="33">
        <v>212</v>
      </c>
      <c r="U21" s="19">
        <v>210.9</v>
      </c>
    </row>
    <row r="22" spans="1:21" ht="15.75" x14ac:dyDescent="0.25">
      <c r="A22" s="22">
        <v>17</v>
      </c>
      <c r="B22" s="19">
        <v>206</v>
      </c>
      <c r="C22" s="22">
        <v>66</v>
      </c>
      <c r="D22" s="19">
        <v>182.5</v>
      </c>
      <c r="E22" s="22">
        <f t="shared" si="0"/>
        <v>115</v>
      </c>
      <c r="F22" s="19">
        <v>190.6</v>
      </c>
      <c r="G22" s="35">
        <v>164</v>
      </c>
      <c r="H22" s="19">
        <v>198.1</v>
      </c>
      <c r="I22" s="33">
        <v>213</v>
      </c>
      <c r="J22" s="19">
        <v>177</v>
      </c>
      <c r="L22" s="22">
        <v>17</v>
      </c>
      <c r="M22" s="19">
        <v>206</v>
      </c>
      <c r="N22" s="22">
        <v>66</v>
      </c>
      <c r="O22" s="19">
        <v>182.5</v>
      </c>
      <c r="P22" s="22">
        <f t="shared" si="1"/>
        <v>115</v>
      </c>
      <c r="Q22" s="19">
        <v>190.6</v>
      </c>
      <c r="R22" s="35">
        <v>164</v>
      </c>
      <c r="S22" s="19">
        <v>198.1</v>
      </c>
      <c r="T22" s="33">
        <v>213</v>
      </c>
      <c r="U22" s="19">
        <v>177</v>
      </c>
    </row>
    <row r="23" spans="1:21" ht="15.75" x14ac:dyDescent="0.25">
      <c r="A23" s="22">
        <v>18</v>
      </c>
      <c r="B23" s="19">
        <v>205.2</v>
      </c>
      <c r="C23" s="22">
        <v>67</v>
      </c>
      <c r="D23" s="19">
        <v>207.8</v>
      </c>
      <c r="E23" s="22">
        <f t="shared" si="0"/>
        <v>116</v>
      </c>
      <c r="F23" s="19">
        <v>207.2</v>
      </c>
      <c r="G23" s="35">
        <v>165</v>
      </c>
      <c r="H23" s="19">
        <v>214.6</v>
      </c>
      <c r="I23" s="33">
        <v>214</v>
      </c>
      <c r="J23" s="19">
        <v>210.5</v>
      </c>
      <c r="L23" s="22">
        <v>18</v>
      </c>
      <c r="M23" s="19">
        <v>205.2</v>
      </c>
      <c r="N23" s="22">
        <v>67</v>
      </c>
      <c r="O23" s="19">
        <v>207.8</v>
      </c>
      <c r="P23" s="22">
        <f t="shared" si="1"/>
        <v>116</v>
      </c>
      <c r="Q23" s="19">
        <v>207.2</v>
      </c>
      <c r="R23" s="35">
        <v>165</v>
      </c>
      <c r="S23" s="19">
        <v>214.6</v>
      </c>
      <c r="T23" s="33">
        <v>214</v>
      </c>
      <c r="U23" s="19">
        <v>210.5</v>
      </c>
    </row>
    <row r="24" spans="1:21" ht="15.75" x14ac:dyDescent="0.25">
      <c r="A24" s="22">
        <v>19</v>
      </c>
      <c r="B24" s="19">
        <v>189.4</v>
      </c>
      <c r="C24" s="22">
        <v>68</v>
      </c>
      <c r="D24" s="19">
        <v>185.5</v>
      </c>
      <c r="E24" s="22">
        <f t="shared" si="0"/>
        <v>117</v>
      </c>
      <c r="F24" s="19">
        <v>170.9</v>
      </c>
      <c r="G24" s="35">
        <v>166</v>
      </c>
      <c r="H24" s="19">
        <v>190.8</v>
      </c>
      <c r="I24" s="33">
        <v>215</v>
      </c>
      <c r="J24" s="19">
        <v>180.6</v>
      </c>
      <c r="L24" s="22">
        <v>19</v>
      </c>
      <c r="M24" s="19">
        <v>189.4</v>
      </c>
      <c r="N24" s="22">
        <v>68</v>
      </c>
      <c r="O24" s="19">
        <v>185.5</v>
      </c>
      <c r="P24" s="22">
        <f t="shared" si="1"/>
        <v>117</v>
      </c>
      <c r="Q24" s="19">
        <v>170.9</v>
      </c>
      <c r="R24" s="35">
        <v>166</v>
      </c>
      <c r="S24" s="19">
        <v>190.8</v>
      </c>
      <c r="T24" s="33">
        <v>215</v>
      </c>
      <c r="U24" s="19">
        <v>180.6</v>
      </c>
    </row>
    <row r="25" spans="1:21" ht="15.75" x14ac:dyDescent="0.25">
      <c r="A25" s="22">
        <v>20</v>
      </c>
      <c r="B25" s="19">
        <v>194.6</v>
      </c>
      <c r="C25" s="22">
        <v>69</v>
      </c>
      <c r="D25" s="19">
        <v>203.2</v>
      </c>
      <c r="E25" s="22">
        <f t="shared" si="0"/>
        <v>118</v>
      </c>
      <c r="F25" s="19">
        <v>210.9</v>
      </c>
      <c r="G25" s="35">
        <v>167</v>
      </c>
      <c r="H25" s="19">
        <v>205.1</v>
      </c>
      <c r="I25" s="33">
        <v>216</v>
      </c>
      <c r="J25" s="19">
        <v>207.4</v>
      </c>
      <c r="L25" s="22">
        <v>20</v>
      </c>
      <c r="M25" s="19">
        <v>194.6</v>
      </c>
      <c r="N25" s="22">
        <v>69</v>
      </c>
      <c r="O25" s="19">
        <v>203.2</v>
      </c>
      <c r="P25" s="22">
        <f t="shared" si="1"/>
        <v>118</v>
      </c>
      <c r="Q25" s="19">
        <v>210.9</v>
      </c>
      <c r="R25" s="35">
        <v>167</v>
      </c>
      <c r="S25" s="19">
        <v>205.1</v>
      </c>
      <c r="T25" s="33">
        <v>216</v>
      </c>
      <c r="U25" s="19">
        <v>207.4</v>
      </c>
    </row>
    <row r="26" spans="1:21" ht="15.75" x14ac:dyDescent="0.25">
      <c r="A26" s="22">
        <v>21</v>
      </c>
      <c r="B26" s="19">
        <v>171.6</v>
      </c>
      <c r="C26" s="22">
        <v>70</v>
      </c>
      <c r="D26" s="19">
        <v>176.2</v>
      </c>
      <c r="E26" s="22">
        <f t="shared" si="0"/>
        <v>119</v>
      </c>
      <c r="F26" s="19">
        <v>210.2</v>
      </c>
      <c r="G26" s="35">
        <v>168</v>
      </c>
      <c r="H26" s="19">
        <v>160.30000000000001</v>
      </c>
      <c r="I26" s="33">
        <v>217</v>
      </c>
      <c r="J26" s="19">
        <v>173.9</v>
      </c>
      <c r="L26" s="22">
        <v>21</v>
      </c>
      <c r="M26" s="19">
        <v>171.6</v>
      </c>
      <c r="N26" s="22">
        <v>70</v>
      </c>
      <c r="O26" s="19">
        <v>176.2</v>
      </c>
      <c r="P26" s="22">
        <f t="shared" si="1"/>
        <v>119</v>
      </c>
      <c r="Q26" s="19">
        <v>210.2</v>
      </c>
      <c r="R26" s="35">
        <v>168</v>
      </c>
      <c r="S26" s="19">
        <v>160.30000000000001</v>
      </c>
      <c r="T26" s="33">
        <v>217</v>
      </c>
      <c r="U26" s="19">
        <v>173.9</v>
      </c>
    </row>
    <row r="27" spans="1:21" ht="15.75" x14ac:dyDescent="0.25">
      <c r="A27" s="22">
        <v>22</v>
      </c>
      <c r="B27" s="19">
        <v>175.6</v>
      </c>
      <c r="C27" s="22">
        <v>71</v>
      </c>
      <c r="D27" s="19">
        <v>208.7</v>
      </c>
      <c r="E27" s="22">
        <f t="shared" si="0"/>
        <v>120</v>
      </c>
      <c r="F27" s="19">
        <v>169.8</v>
      </c>
      <c r="G27" s="35">
        <v>169</v>
      </c>
      <c r="H27" s="19">
        <v>207.2</v>
      </c>
      <c r="I27" s="33">
        <v>218</v>
      </c>
      <c r="J27" s="19">
        <v>207.1</v>
      </c>
      <c r="L27" s="22">
        <v>22</v>
      </c>
      <c r="M27" s="19">
        <v>175.6</v>
      </c>
      <c r="N27" s="22">
        <v>71</v>
      </c>
      <c r="O27" s="19">
        <v>208.7</v>
      </c>
      <c r="P27" s="22">
        <f t="shared" si="1"/>
        <v>120</v>
      </c>
      <c r="Q27" s="19">
        <v>169.8</v>
      </c>
      <c r="R27" s="35">
        <v>169</v>
      </c>
      <c r="S27" s="19">
        <v>207.2</v>
      </c>
      <c r="T27" s="33">
        <v>218</v>
      </c>
      <c r="U27" s="19">
        <v>207.1</v>
      </c>
    </row>
    <row r="28" spans="1:21" ht="15.75" x14ac:dyDescent="0.25">
      <c r="A28" s="22">
        <v>23</v>
      </c>
      <c r="B28" s="19">
        <v>207.1</v>
      </c>
      <c r="C28" s="22">
        <v>72</v>
      </c>
      <c r="D28" s="19">
        <v>206.9</v>
      </c>
      <c r="E28" s="22">
        <f t="shared" si="0"/>
        <v>121</v>
      </c>
      <c r="F28" s="19">
        <v>214.8</v>
      </c>
      <c r="G28" s="35">
        <v>170</v>
      </c>
      <c r="H28" s="19">
        <v>182.9</v>
      </c>
      <c r="I28" s="33">
        <v>219</v>
      </c>
      <c r="J28" s="19">
        <v>205.8</v>
      </c>
      <c r="L28" s="22">
        <v>23</v>
      </c>
      <c r="M28" s="19">
        <v>207.1</v>
      </c>
      <c r="N28" s="22">
        <v>72</v>
      </c>
      <c r="O28" s="19">
        <v>206.9</v>
      </c>
      <c r="P28" s="22">
        <f t="shared" si="1"/>
        <v>121</v>
      </c>
      <c r="Q28" s="19">
        <v>214.8</v>
      </c>
      <c r="R28" s="35">
        <v>170</v>
      </c>
      <c r="S28" s="19">
        <v>182.9</v>
      </c>
      <c r="T28" s="33">
        <v>219</v>
      </c>
      <c r="U28" s="19">
        <v>205.8</v>
      </c>
    </row>
    <row r="29" spans="1:21" ht="15.75" x14ac:dyDescent="0.25">
      <c r="A29" s="22">
        <v>24</v>
      </c>
      <c r="B29" s="19">
        <v>187.5</v>
      </c>
      <c r="C29" s="22">
        <v>73</v>
      </c>
      <c r="D29" s="19">
        <v>193.8</v>
      </c>
      <c r="E29" s="22">
        <f t="shared" si="0"/>
        <v>122</v>
      </c>
      <c r="F29" s="19">
        <v>195.1</v>
      </c>
      <c r="G29" s="35">
        <v>171</v>
      </c>
      <c r="H29" s="19">
        <v>205.4</v>
      </c>
      <c r="I29" s="33">
        <v>220</v>
      </c>
      <c r="J29" s="19">
        <v>180.3</v>
      </c>
      <c r="L29" s="22">
        <v>24</v>
      </c>
      <c r="M29" s="19">
        <v>187.5</v>
      </c>
      <c r="N29" s="22">
        <v>73</v>
      </c>
      <c r="O29" s="19">
        <v>193.8</v>
      </c>
      <c r="P29" s="22">
        <f t="shared" si="1"/>
        <v>122</v>
      </c>
      <c r="Q29" s="19">
        <v>195.1</v>
      </c>
      <c r="R29" s="35">
        <v>171</v>
      </c>
      <c r="S29" s="19">
        <v>205.4</v>
      </c>
      <c r="T29" s="33">
        <v>220</v>
      </c>
      <c r="U29" s="19">
        <v>180.3</v>
      </c>
    </row>
    <row r="30" spans="1:21" ht="15.75" x14ac:dyDescent="0.25">
      <c r="A30" s="22">
        <v>25</v>
      </c>
      <c r="B30" s="19">
        <v>207.3</v>
      </c>
      <c r="C30" s="22">
        <v>74</v>
      </c>
      <c r="D30" s="19">
        <v>204.2</v>
      </c>
      <c r="E30" s="22">
        <f t="shared" si="0"/>
        <v>123</v>
      </c>
      <c r="F30" s="19">
        <v>173.2</v>
      </c>
      <c r="G30" s="35">
        <v>172</v>
      </c>
      <c r="H30" s="19">
        <v>208.6</v>
      </c>
      <c r="I30" s="20"/>
      <c r="J30" s="36"/>
      <c r="L30" s="22">
        <v>25</v>
      </c>
      <c r="M30" s="19">
        <v>207.3</v>
      </c>
      <c r="N30" s="22">
        <v>74</v>
      </c>
      <c r="O30" s="19">
        <v>204.2</v>
      </c>
      <c r="P30" s="22">
        <f t="shared" si="1"/>
        <v>123</v>
      </c>
      <c r="Q30" s="19">
        <v>173.2</v>
      </c>
      <c r="R30" s="35">
        <v>172</v>
      </c>
      <c r="S30" s="19">
        <v>208.6</v>
      </c>
      <c r="T30" s="20"/>
      <c r="U30" s="36"/>
    </row>
    <row r="31" spans="1:21" ht="15.75" x14ac:dyDescent="0.25">
      <c r="A31" s="22">
        <v>26</v>
      </c>
      <c r="B31" s="19">
        <v>204.5</v>
      </c>
      <c r="C31" s="22">
        <v>75</v>
      </c>
      <c r="D31" s="19">
        <v>171.5</v>
      </c>
      <c r="E31" s="22">
        <f t="shared" si="0"/>
        <v>124</v>
      </c>
      <c r="F31" s="19">
        <v>209.4</v>
      </c>
      <c r="G31" s="35">
        <v>173</v>
      </c>
      <c r="H31" s="19">
        <v>174.2</v>
      </c>
      <c r="I31" s="20"/>
      <c r="J31" s="36"/>
      <c r="L31" s="22">
        <v>26</v>
      </c>
      <c r="M31" s="19">
        <v>204.5</v>
      </c>
      <c r="N31" s="22">
        <v>75</v>
      </c>
      <c r="O31" s="19">
        <v>171.5</v>
      </c>
      <c r="P31" s="22">
        <f t="shared" si="1"/>
        <v>124</v>
      </c>
      <c r="Q31" s="19">
        <v>209.4</v>
      </c>
      <c r="R31" s="35">
        <v>173</v>
      </c>
      <c r="S31" s="19">
        <v>174.2</v>
      </c>
      <c r="T31" s="20"/>
      <c r="U31" s="36"/>
    </row>
    <row r="32" spans="1:21" ht="15.75" x14ac:dyDescent="0.25">
      <c r="A32" s="22">
        <v>27</v>
      </c>
      <c r="B32" s="19">
        <v>203.4</v>
      </c>
      <c r="C32" s="22">
        <v>76</v>
      </c>
      <c r="D32" s="19">
        <v>202.3</v>
      </c>
      <c r="E32" s="22">
        <f t="shared" si="0"/>
        <v>125</v>
      </c>
      <c r="F32" s="19">
        <v>167.5</v>
      </c>
      <c r="G32" s="33">
        <v>174</v>
      </c>
      <c r="H32" s="19">
        <v>206.1</v>
      </c>
      <c r="I32" s="21"/>
      <c r="J32" s="36"/>
      <c r="L32" s="22">
        <v>27</v>
      </c>
      <c r="M32" s="19">
        <v>203.4</v>
      </c>
      <c r="N32" s="22">
        <v>76</v>
      </c>
      <c r="O32" s="19">
        <v>202.3</v>
      </c>
      <c r="P32" s="22">
        <f t="shared" si="1"/>
        <v>125</v>
      </c>
      <c r="Q32" s="19">
        <v>167.5</v>
      </c>
      <c r="R32" s="33">
        <v>174</v>
      </c>
      <c r="S32" s="19">
        <v>206.1</v>
      </c>
      <c r="T32" s="21"/>
      <c r="U32" s="36"/>
    </row>
    <row r="33" spans="1:21" ht="15.75" x14ac:dyDescent="0.25">
      <c r="A33" s="22">
        <v>28</v>
      </c>
      <c r="B33" s="19">
        <v>179.8</v>
      </c>
      <c r="C33" s="22">
        <v>77</v>
      </c>
      <c r="D33" s="19">
        <v>185.5</v>
      </c>
      <c r="E33" s="22">
        <f t="shared" si="0"/>
        <v>126</v>
      </c>
      <c r="F33" s="19">
        <v>204.2</v>
      </c>
      <c r="G33" s="33">
        <v>175</v>
      </c>
      <c r="H33" s="19">
        <v>179.7</v>
      </c>
      <c r="I33" s="20"/>
      <c r="J33" s="36"/>
      <c r="L33" s="22">
        <v>28</v>
      </c>
      <c r="M33" s="19">
        <v>179.8</v>
      </c>
      <c r="N33" s="22">
        <v>77</v>
      </c>
      <c r="O33" s="19">
        <v>185.5</v>
      </c>
      <c r="P33" s="22">
        <f t="shared" si="1"/>
        <v>126</v>
      </c>
      <c r="Q33" s="19">
        <v>204.2</v>
      </c>
      <c r="R33" s="33">
        <v>175</v>
      </c>
      <c r="S33" s="19">
        <v>179.7</v>
      </c>
      <c r="T33" s="20"/>
      <c r="U33" s="36"/>
    </row>
    <row r="34" spans="1:21" ht="15.75" x14ac:dyDescent="0.25">
      <c r="A34" s="22">
        <v>29</v>
      </c>
      <c r="B34" s="19">
        <v>211.1</v>
      </c>
      <c r="C34" s="22">
        <v>78</v>
      </c>
      <c r="D34" s="19">
        <v>204.5</v>
      </c>
      <c r="E34" s="22">
        <f t="shared" si="0"/>
        <v>127</v>
      </c>
      <c r="F34" s="19">
        <v>164.8</v>
      </c>
      <c r="G34" s="33">
        <v>176</v>
      </c>
      <c r="H34" s="19">
        <v>205.7</v>
      </c>
      <c r="I34" s="20"/>
      <c r="J34" s="36"/>
      <c r="L34" s="22">
        <v>29</v>
      </c>
      <c r="M34" s="19">
        <v>211.1</v>
      </c>
      <c r="N34" s="22">
        <v>78</v>
      </c>
      <c r="O34" s="19">
        <v>204.5</v>
      </c>
      <c r="P34" s="22">
        <f t="shared" si="1"/>
        <v>127</v>
      </c>
      <c r="Q34" s="19">
        <v>164.8</v>
      </c>
      <c r="R34" s="33">
        <v>176</v>
      </c>
      <c r="S34" s="19">
        <v>205.7</v>
      </c>
      <c r="T34" s="20"/>
      <c r="U34" s="36"/>
    </row>
    <row r="35" spans="1:21" ht="15.75" x14ac:dyDescent="0.25">
      <c r="A35" s="22">
        <v>30</v>
      </c>
      <c r="B35" s="19">
        <v>191.3</v>
      </c>
      <c r="C35" s="22">
        <v>79</v>
      </c>
      <c r="D35" s="19">
        <v>203.8</v>
      </c>
      <c r="E35" s="22">
        <f t="shared" si="0"/>
        <v>128</v>
      </c>
      <c r="F35" s="19">
        <v>203.5</v>
      </c>
      <c r="G35" s="33">
        <v>177</v>
      </c>
      <c r="H35" s="19">
        <v>201.4</v>
      </c>
      <c r="I35" s="21"/>
      <c r="J35" s="36"/>
      <c r="L35" s="22">
        <v>30</v>
      </c>
      <c r="M35" s="19">
        <v>191.3</v>
      </c>
      <c r="N35" s="22">
        <v>79</v>
      </c>
      <c r="O35" s="19">
        <v>203.8</v>
      </c>
      <c r="P35" s="22">
        <f t="shared" si="1"/>
        <v>128</v>
      </c>
      <c r="Q35" s="19">
        <v>203.5</v>
      </c>
      <c r="R35" s="33">
        <v>177</v>
      </c>
      <c r="S35" s="19">
        <v>201.4</v>
      </c>
      <c r="T35" s="21"/>
      <c r="U35" s="36"/>
    </row>
    <row r="36" spans="1:21" ht="15.75" x14ac:dyDescent="0.25">
      <c r="A36" s="22">
        <v>31</v>
      </c>
      <c r="B36" s="19">
        <v>209.8</v>
      </c>
      <c r="C36" s="22">
        <v>80</v>
      </c>
      <c r="D36" s="19">
        <v>172.9</v>
      </c>
      <c r="E36" s="22">
        <f t="shared" si="0"/>
        <v>129</v>
      </c>
      <c r="F36" s="19">
        <v>167.1</v>
      </c>
      <c r="G36" s="33">
        <v>178</v>
      </c>
      <c r="H36" s="19">
        <v>207.4</v>
      </c>
      <c r="I36" s="20"/>
      <c r="J36" s="36"/>
      <c r="L36" s="22">
        <v>31</v>
      </c>
      <c r="M36" s="19">
        <v>209.8</v>
      </c>
      <c r="N36" s="22">
        <v>80</v>
      </c>
      <c r="O36" s="19">
        <v>172.9</v>
      </c>
      <c r="P36" s="22">
        <f t="shared" si="1"/>
        <v>129</v>
      </c>
      <c r="Q36" s="19">
        <v>167.1</v>
      </c>
      <c r="R36" s="33">
        <v>178</v>
      </c>
      <c r="S36" s="19">
        <v>207.4</v>
      </c>
      <c r="T36" s="20"/>
      <c r="U36" s="36"/>
    </row>
    <row r="37" spans="1:21" ht="15.75" x14ac:dyDescent="0.25">
      <c r="A37" s="22">
        <v>32</v>
      </c>
      <c r="B37" s="19">
        <v>201.4</v>
      </c>
      <c r="C37" s="22">
        <v>81</v>
      </c>
      <c r="D37" s="19">
        <v>205.3</v>
      </c>
      <c r="E37" s="22">
        <f t="shared" si="0"/>
        <v>130</v>
      </c>
      <c r="F37" s="19">
        <v>210.1</v>
      </c>
      <c r="G37" s="33">
        <v>179</v>
      </c>
      <c r="H37" s="19">
        <v>211.9</v>
      </c>
      <c r="I37" s="20"/>
      <c r="J37" s="36"/>
      <c r="L37" s="22">
        <v>32</v>
      </c>
      <c r="M37" s="19">
        <v>201.4</v>
      </c>
      <c r="N37" s="22">
        <v>81</v>
      </c>
      <c r="O37" s="19">
        <v>205.3</v>
      </c>
      <c r="P37" s="22">
        <f t="shared" si="1"/>
        <v>130</v>
      </c>
      <c r="Q37" s="19">
        <v>210.1</v>
      </c>
      <c r="R37" s="33">
        <v>179</v>
      </c>
      <c r="S37" s="19">
        <v>211.9</v>
      </c>
      <c r="T37" s="20"/>
      <c r="U37" s="36"/>
    </row>
    <row r="38" spans="1:21" ht="15.75" x14ac:dyDescent="0.25">
      <c r="A38" s="22">
        <v>33</v>
      </c>
      <c r="B38" s="19">
        <v>188.2</v>
      </c>
      <c r="C38" s="22">
        <v>82</v>
      </c>
      <c r="D38" s="19">
        <v>173.5</v>
      </c>
      <c r="E38" s="22">
        <f t="shared" si="0"/>
        <v>131</v>
      </c>
      <c r="F38" s="19">
        <v>187.9</v>
      </c>
      <c r="G38" s="33">
        <v>180</v>
      </c>
      <c r="H38" s="19">
        <v>198.7</v>
      </c>
      <c r="I38" s="21"/>
      <c r="J38" s="36"/>
      <c r="L38" s="22">
        <v>33</v>
      </c>
      <c r="M38" s="19">
        <v>188.2</v>
      </c>
      <c r="N38" s="22">
        <v>82</v>
      </c>
      <c r="O38" s="19">
        <v>173.5</v>
      </c>
      <c r="P38" s="22">
        <f t="shared" si="1"/>
        <v>131</v>
      </c>
      <c r="Q38" s="19">
        <v>187.9</v>
      </c>
      <c r="R38" s="33">
        <v>180</v>
      </c>
      <c r="S38" s="19">
        <v>198.7</v>
      </c>
      <c r="T38" s="21"/>
      <c r="U38" s="36"/>
    </row>
    <row r="39" spans="1:21" ht="15.75" x14ac:dyDescent="0.25">
      <c r="A39" s="22">
        <v>34</v>
      </c>
      <c r="B39" s="19">
        <v>207.4</v>
      </c>
      <c r="C39" s="22">
        <v>83</v>
      </c>
      <c r="D39" s="19">
        <v>210.4</v>
      </c>
      <c r="E39" s="22">
        <f t="shared" si="0"/>
        <v>132</v>
      </c>
      <c r="F39" s="19">
        <v>204.2</v>
      </c>
      <c r="G39" s="33">
        <v>181</v>
      </c>
      <c r="H39" s="19">
        <v>169.4</v>
      </c>
      <c r="I39" s="21"/>
      <c r="J39" s="36"/>
      <c r="L39" s="22">
        <v>34</v>
      </c>
      <c r="M39" s="19">
        <v>207.4</v>
      </c>
      <c r="N39" s="22">
        <v>83</v>
      </c>
      <c r="O39" s="19">
        <v>210.4</v>
      </c>
      <c r="P39" s="22">
        <f t="shared" si="1"/>
        <v>132</v>
      </c>
      <c r="Q39" s="19">
        <v>204.2</v>
      </c>
      <c r="R39" s="33">
        <v>181</v>
      </c>
      <c r="S39" s="19">
        <v>169.4</v>
      </c>
      <c r="T39" s="21"/>
      <c r="U39" s="36"/>
    </row>
    <row r="40" spans="1:21" ht="15.75" x14ac:dyDescent="0.25">
      <c r="A40" s="22">
        <v>35</v>
      </c>
      <c r="B40" s="19">
        <v>190</v>
      </c>
      <c r="C40" s="22">
        <v>84</v>
      </c>
      <c r="D40" s="19">
        <v>186.4</v>
      </c>
      <c r="E40" s="22">
        <f t="shared" si="0"/>
        <v>133</v>
      </c>
      <c r="F40" s="19">
        <v>207.4</v>
      </c>
      <c r="G40" s="33">
        <v>182</v>
      </c>
      <c r="H40" s="19">
        <v>204</v>
      </c>
      <c r="I40" s="20"/>
      <c r="J40" s="36"/>
      <c r="L40" s="22">
        <v>35</v>
      </c>
      <c r="M40" s="19">
        <v>190</v>
      </c>
      <c r="N40" s="22">
        <v>84</v>
      </c>
      <c r="O40" s="19">
        <v>186.4</v>
      </c>
      <c r="P40" s="22">
        <f t="shared" si="1"/>
        <v>133</v>
      </c>
      <c r="Q40" s="19">
        <v>207.4</v>
      </c>
      <c r="R40" s="33">
        <v>182</v>
      </c>
      <c r="S40" s="19">
        <v>204</v>
      </c>
      <c r="T40" s="20"/>
      <c r="U40" s="36"/>
    </row>
    <row r="41" spans="1:21" ht="15.75" x14ac:dyDescent="0.25">
      <c r="A41" s="22">
        <v>36</v>
      </c>
      <c r="B41" s="19">
        <v>208.6</v>
      </c>
      <c r="C41" s="22">
        <v>85</v>
      </c>
      <c r="D41" s="19">
        <v>204.6</v>
      </c>
      <c r="E41" s="22">
        <f t="shared" si="0"/>
        <v>134</v>
      </c>
      <c r="F41" s="19">
        <v>188.7</v>
      </c>
      <c r="G41" s="33">
        <v>183</v>
      </c>
      <c r="H41" s="19">
        <v>185.3</v>
      </c>
      <c r="I41" s="20"/>
      <c r="J41" s="36"/>
      <c r="L41" s="22">
        <v>36</v>
      </c>
      <c r="M41" s="19">
        <v>208.6</v>
      </c>
      <c r="N41" s="22">
        <v>85</v>
      </c>
      <c r="O41" s="19">
        <v>204.6</v>
      </c>
      <c r="P41" s="22">
        <f t="shared" si="1"/>
        <v>134</v>
      </c>
      <c r="Q41" s="19">
        <v>188.7</v>
      </c>
      <c r="R41" s="33">
        <v>183</v>
      </c>
      <c r="S41" s="19">
        <v>185.3</v>
      </c>
      <c r="T41" s="20"/>
      <c r="U41" s="36"/>
    </row>
    <row r="42" spans="1:21" ht="15.75" x14ac:dyDescent="0.25">
      <c r="A42" s="22">
        <v>37</v>
      </c>
      <c r="B42" s="19">
        <v>208.3</v>
      </c>
      <c r="C42" s="22">
        <v>86</v>
      </c>
      <c r="D42" s="19">
        <v>186.4</v>
      </c>
      <c r="E42" s="22">
        <f t="shared" si="0"/>
        <v>135</v>
      </c>
      <c r="F42" s="19">
        <v>204.1</v>
      </c>
      <c r="G42" s="33">
        <v>184</v>
      </c>
      <c r="H42" s="19">
        <v>205</v>
      </c>
      <c r="I42" s="21"/>
      <c r="J42" s="36"/>
      <c r="L42" s="22">
        <v>37</v>
      </c>
      <c r="M42" s="19">
        <v>208.3</v>
      </c>
      <c r="N42" s="22">
        <v>86</v>
      </c>
      <c r="O42" s="19">
        <v>186.4</v>
      </c>
      <c r="P42" s="22">
        <f t="shared" si="1"/>
        <v>135</v>
      </c>
      <c r="Q42" s="19">
        <v>204.1</v>
      </c>
      <c r="R42" s="33">
        <v>184</v>
      </c>
      <c r="S42" s="19">
        <v>205</v>
      </c>
      <c r="T42" s="21"/>
      <c r="U42" s="36"/>
    </row>
    <row r="43" spans="1:21" ht="15.75" x14ac:dyDescent="0.25">
      <c r="A43" s="22">
        <v>38</v>
      </c>
      <c r="B43" s="19">
        <v>207.2</v>
      </c>
      <c r="C43" s="22">
        <v>87</v>
      </c>
      <c r="D43" s="19">
        <v>208.9</v>
      </c>
      <c r="E43" s="22">
        <f t="shared" si="0"/>
        <v>136</v>
      </c>
      <c r="F43" s="19">
        <v>175.3</v>
      </c>
      <c r="G43" s="33">
        <v>185</v>
      </c>
      <c r="H43" s="19">
        <v>163</v>
      </c>
      <c r="I43" s="20"/>
      <c r="J43" s="36"/>
      <c r="L43" s="22">
        <v>38</v>
      </c>
      <c r="M43" s="19">
        <v>207.2</v>
      </c>
      <c r="N43" s="22">
        <v>87</v>
      </c>
      <c r="O43" s="19">
        <v>208.9</v>
      </c>
      <c r="P43" s="22">
        <f t="shared" si="1"/>
        <v>136</v>
      </c>
      <c r="Q43" s="19">
        <v>175.3</v>
      </c>
      <c r="R43" s="33">
        <v>185</v>
      </c>
      <c r="S43" s="19">
        <v>163</v>
      </c>
      <c r="T43" s="20"/>
      <c r="U43" s="36"/>
    </row>
    <row r="44" spans="1:21" ht="15.75" x14ac:dyDescent="0.25">
      <c r="A44" s="22">
        <v>39</v>
      </c>
      <c r="B44" s="19">
        <v>186</v>
      </c>
      <c r="C44" s="22">
        <v>88</v>
      </c>
      <c r="D44" s="19">
        <v>170</v>
      </c>
      <c r="E44" s="22">
        <f t="shared" si="0"/>
        <v>137</v>
      </c>
      <c r="F44" s="19">
        <v>207.9</v>
      </c>
      <c r="G44" s="33">
        <v>186</v>
      </c>
      <c r="H44" s="19">
        <v>200.9</v>
      </c>
      <c r="I44" s="20"/>
      <c r="J44" s="36"/>
      <c r="L44" s="22">
        <v>39</v>
      </c>
      <c r="M44" s="19">
        <v>186</v>
      </c>
      <c r="N44" s="22">
        <v>88</v>
      </c>
      <c r="O44" s="19">
        <v>170</v>
      </c>
      <c r="P44" s="22">
        <f t="shared" si="1"/>
        <v>137</v>
      </c>
      <c r="Q44" s="19">
        <v>207.9</v>
      </c>
      <c r="R44" s="33">
        <v>186</v>
      </c>
      <c r="S44" s="19">
        <v>200.9</v>
      </c>
      <c r="T44" s="20"/>
      <c r="U44" s="36"/>
    </row>
    <row r="45" spans="1:21" ht="15.75" x14ac:dyDescent="0.25">
      <c r="A45" s="22">
        <v>40</v>
      </c>
      <c r="B45" s="19">
        <v>204.8</v>
      </c>
      <c r="C45" s="22">
        <v>89</v>
      </c>
      <c r="D45" s="19">
        <v>207.8</v>
      </c>
      <c r="E45" s="22">
        <f t="shared" si="0"/>
        <v>138</v>
      </c>
      <c r="F45" s="19">
        <v>185.3</v>
      </c>
      <c r="G45" s="33">
        <v>187</v>
      </c>
      <c r="H45" s="19">
        <v>167.1</v>
      </c>
      <c r="I45" s="21"/>
      <c r="J45" s="36"/>
      <c r="L45" s="22">
        <v>40</v>
      </c>
      <c r="M45" s="19">
        <v>204.8</v>
      </c>
      <c r="N45" s="22">
        <v>89</v>
      </c>
      <c r="O45" s="19">
        <v>207.8</v>
      </c>
      <c r="P45" s="22">
        <f t="shared" si="1"/>
        <v>138</v>
      </c>
      <c r="Q45" s="19">
        <v>185.3</v>
      </c>
      <c r="R45" s="33">
        <v>187</v>
      </c>
      <c r="S45" s="19">
        <v>167.1</v>
      </c>
      <c r="T45" s="21"/>
      <c r="U45" s="36"/>
    </row>
    <row r="46" spans="1:21" ht="15.75" x14ac:dyDescent="0.25">
      <c r="A46" s="22">
        <v>41</v>
      </c>
      <c r="B46" s="19">
        <v>188.1</v>
      </c>
      <c r="C46" s="22">
        <v>90</v>
      </c>
      <c r="D46" s="19">
        <v>189.6</v>
      </c>
      <c r="E46" s="22">
        <f t="shared" si="0"/>
        <v>139</v>
      </c>
      <c r="F46" s="19">
        <v>209.4</v>
      </c>
      <c r="G46" s="33">
        <v>188</v>
      </c>
      <c r="H46" s="19">
        <v>190.9</v>
      </c>
      <c r="I46" s="20"/>
      <c r="J46" s="36"/>
      <c r="L46" s="22">
        <v>41</v>
      </c>
      <c r="M46" s="19">
        <v>188.1</v>
      </c>
      <c r="N46" s="22">
        <v>90</v>
      </c>
      <c r="O46" s="19">
        <v>189.6</v>
      </c>
      <c r="P46" s="22">
        <f t="shared" si="1"/>
        <v>139</v>
      </c>
      <c r="Q46" s="19">
        <v>209.4</v>
      </c>
      <c r="R46" s="33">
        <v>188</v>
      </c>
      <c r="S46" s="19">
        <v>190.9</v>
      </c>
      <c r="T46" s="20"/>
      <c r="U46" s="36"/>
    </row>
    <row r="47" spans="1:21" ht="15.75" x14ac:dyDescent="0.25">
      <c r="A47" s="22">
        <v>42</v>
      </c>
      <c r="B47" s="19">
        <v>209.1</v>
      </c>
      <c r="C47" s="22">
        <v>91</v>
      </c>
      <c r="D47" s="19">
        <v>210.3</v>
      </c>
      <c r="E47" s="22">
        <f t="shared" si="0"/>
        <v>140</v>
      </c>
      <c r="F47" s="19">
        <v>198</v>
      </c>
      <c r="G47" s="33">
        <v>189</v>
      </c>
      <c r="H47" s="19">
        <v>207.5</v>
      </c>
      <c r="I47" s="20"/>
      <c r="J47" s="36"/>
      <c r="L47" s="22">
        <v>42</v>
      </c>
      <c r="M47" s="19">
        <v>209.1</v>
      </c>
      <c r="N47" s="22">
        <v>91</v>
      </c>
      <c r="O47" s="19">
        <v>210.3</v>
      </c>
      <c r="P47" s="22">
        <f t="shared" si="1"/>
        <v>140</v>
      </c>
      <c r="Q47" s="19">
        <v>198</v>
      </c>
      <c r="R47" s="33">
        <v>189</v>
      </c>
      <c r="S47" s="19">
        <v>207.5</v>
      </c>
      <c r="T47" s="20"/>
      <c r="U47" s="36"/>
    </row>
    <row r="48" spans="1:21" ht="15.75" x14ac:dyDescent="0.25">
      <c r="A48" s="22">
        <v>43</v>
      </c>
      <c r="B48" s="19">
        <v>199.6</v>
      </c>
      <c r="C48" s="22">
        <v>92</v>
      </c>
      <c r="D48" s="19">
        <v>209</v>
      </c>
      <c r="E48" s="22">
        <f t="shared" si="0"/>
        <v>141</v>
      </c>
      <c r="F48" s="19">
        <v>210.4</v>
      </c>
      <c r="G48" s="33">
        <v>190</v>
      </c>
      <c r="H48" s="19">
        <v>179.6</v>
      </c>
      <c r="I48" s="21"/>
      <c r="J48" s="36"/>
      <c r="L48" s="22">
        <v>43</v>
      </c>
      <c r="M48" s="19">
        <v>199.6</v>
      </c>
      <c r="N48" s="22">
        <v>92</v>
      </c>
      <c r="O48" s="19">
        <v>209</v>
      </c>
      <c r="P48" s="22">
        <f t="shared" si="1"/>
        <v>141</v>
      </c>
      <c r="Q48" s="19">
        <v>210.4</v>
      </c>
      <c r="R48" s="33">
        <v>190</v>
      </c>
      <c r="S48" s="19">
        <v>179.6</v>
      </c>
      <c r="T48" s="21"/>
      <c r="U48" s="36"/>
    </row>
    <row r="49" spans="1:21" ht="15.75" x14ac:dyDescent="0.25">
      <c r="A49" s="22">
        <v>44</v>
      </c>
      <c r="B49" s="19">
        <v>211.3</v>
      </c>
      <c r="C49" s="22">
        <v>93</v>
      </c>
      <c r="D49" s="19">
        <v>174.5</v>
      </c>
      <c r="E49" s="22">
        <f t="shared" si="0"/>
        <v>142</v>
      </c>
      <c r="F49" s="19">
        <v>176.8</v>
      </c>
      <c r="G49" s="33">
        <v>191</v>
      </c>
      <c r="H49" s="19">
        <v>177.6</v>
      </c>
      <c r="I49" s="21"/>
      <c r="J49" s="36"/>
      <c r="L49" s="22">
        <v>44</v>
      </c>
      <c r="M49" s="19">
        <v>211.3</v>
      </c>
      <c r="N49" s="22">
        <v>93</v>
      </c>
      <c r="O49" s="19">
        <v>174.5</v>
      </c>
      <c r="P49" s="22">
        <f t="shared" si="1"/>
        <v>142</v>
      </c>
      <c r="Q49" s="19">
        <v>176.8</v>
      </c>
      <c r="R49" s="33">
        <v>191</v>
      </c>
      <c r="S49" s="19">
        <v>177.6</v>
      </c>
      <c r="T49" s="21"/>
      <c r="U49" s="36"/>
    </row>
    <row r="50" spans="1:21" ht="15.75" x14ac:dyDescent="0.25">
      <c r="A50" s="22">
        <v>45</v>
      </c>
      <c r="B50" s="19">
        <v>207.4</v>
      </c>
      <c r="C50" s="22">
        <v>94</v>
      </c>
      <c r="D50" s="19">
        <v>207.3</v>
      </c>
      <c r="E50" s="22">
        <f t="shared" si="0"/>
        <v>143</v>
      </c>
      <c r="F50" s="19">
        <v>205.1</v>
      </c>
      <c r="G50" s="33">
        <v>192</v>
      </c>
      <c r="H50" s="19">
        <v>201.8</v>
      </c>
      <c r="I50" s="20"/>
      <c r="J50" s="36"/>
      <c r="L50" s="22">
        <v>45</v>
      </c>
      <c r="M50" s="19">
        <v>207.4</v>
      </c>
      <c r="N50" s="22">
        <v>94</v>
      </c>
      <c r="O50" s="19">
        <v>207.3</v>
      </c>
      <c r="P50" s="22">
        <f t="shared" si="1"/>
        <v>143</v>
      </c>
      <c r="Q50" s="19">
        <v>205.1</v>
      </c>
      <c r="R50" s="33">
        <v>192</v>
      </c>
      <c r="S50" s="19">
        <v>201.8</v>
      </c>
      <c r="T50" s="20"/>
      <c r="U50" s="36"/>
    </row>
    <row r="51" spans="1:21" ht="15.75" x14ac:dyDescent="0.25">
      <c r="A51" s="22">
        <v>46</v>
      </c>
      <c r="B51" s="19">
        <v>205.7</v>
      </c>
      <c r="C51" s="22">
        <v>95</v>
      </c>
      <c r="D51" s="19">
        <v>178.1</v>
      </c>
      <c r="E51" s="22">
        <f t="shared" si="0"/>
        <v>144</v>
      </c>
      <c r="F51" s="19">
        <v>214.6</v>
      </c>
      <c r="G51" s="33">
        <v>193</v>
      </c>
      <c r="H51" s="19">
        <v>173</v>
      </c>
      <c r="I51" s="20"/>
      <c r="J51" s="36"/>
      <c r="L51" s="22">
        <v>46</v>
      </c>
      <c r="M51" s="19">
        <v>205.7</v>
      </c>
      <c r="N51" s="22">
        <v>95</v>
      </c>
      <c r="O51" s="19">
        <v>178.1</v>
      </c>
      <c r="P51" s="22">
        <f t="shared" si="1"/>
        <v>144</v>
      </c>
      <c r="Q51" s="19">
        <v>214.6</v>
      </c>
      <c r="R51" s="33">
        <v>193</v>
      </c>
      <c r="S51" s="19">
        <v>173</v>
      </c>
      <c r="T51" s="20"/>
      <c r="U51" s="36"/>
    </row>
    <row r="52" spans="1:21" ht="15.75" x14ac:dyDescent="0.25">
      <c r="A52" s="22">
        <v>47</v>
      </c>
      <c r="B52" s="19">
        <v>206.1</v>
      </c>
      <c r="C52" s="22">
        <v>96</v>
      </c>
      <c r="D52" s="19">
        <v>206.8</v>
      </c>
      <c r="E52" s="22">
        <f t="shared" si="0"/>
        <v>145</v>
      </c>
      <c r="F52" s="19">
        <v>193.2</v>
      </c>
      <c r="G52" s="33">
        <v>194</v>
      </c>
      <c r="H52" s="19">
        <v>216.1</v>
      </c>
      <c r="I52" s="21"/>
      <c r="J52" s="36"/>
      <c r="L52" s="22">
        <v>47</v>
      </c>
      <c r="M52" s="19">
        <v>206.1</v>
      </c>
      <c r="N52" s="22">
        <v>96</v>
      </c>
      <c r="O52" s="19">
        <v>206.8</v>
      </c>
      <c r="P52" s="22">
        <f t="shared" si="1"/>
        <v>145</v>
      </c>
      <c r="Q52" s="19">
        <v>193.2</v>
      </c>
      <c r="R52" s="33">
        <v>194</v>
      </c>
      <c r="S52" s="19">
        <v>216.1</v>
      </c>
      <c r="T52" s="21"/>
      <c r="U52" s="36"/>
    </row>
    <row r="53" spans="1:21" ht="15.75" x14ac:dyDescent="0.25">
      <c r="A53" s="22">
        <v>48</v>
      </c>
      <c r="B53" s="19">
        <v>210.2</v>
      </c>
      <c r="C53" s="22">
        <v>97</v>
      </c>
      <c r="D53" s="19">
        <v>164.9</v>
      </c>
      <c r="E53" s="22">
        <f t="shared" si="0"/>
        <v>146</v>
      </c>
      <c r="F53" s="19">
        <v>181.3</v>
      </c>
      <c r="G53" s="33">
        <v>195</v>
      </c>
      <c r="H53" s="19">
        <v>191</v>
      </c>
      <c r="I53" s="20"/>
      <c r="J53" s="36"/>
      <c r="L53" s="22">
        <v>48</v>
      </c>
      <c r="M53" s="19">
        <v>210.2</v>
      </c>
      <c r="N53" s="22">
        <v>97</v>
      </c>
      <c r="O53" s="19">
        <v>164.9</v>
      </c>
      <c r="P53" s="22">
        <f t="shared" si="1"/>
        <v>146</v>
      </c>
      <c r="Q53" s="19">
        <v>181.3</v>
      </c>
      <c r="R53" s="33">
        <v>195</v>
      </c>
      <c r="S53" s="19">
        <v>191</v>
      </c>
      <c r="T53" s="20"/>
      <c r="U53" s="36"/>
    </row>
    <row r="54" spans="1:21" ht="15.75" x14ac:dyDescent="0.25">
      <c r="A54" s="37">
        <v>49</v>
      </c>
      <c r="B54" s="19">
        <v>189.1</v>
      </c>
      <c r="C54" s="37">
        <v>98</v>
      </c>
      <c r="D54" s="19">
        <v>209.2</v>
      </c>
      <c r="E54" s="22">
        <f t="shared" si="0"/>
        <v>147</v>
      </c>
      <c r="F54" s="19">
        <v>207.6</v>
      </c>
      <c r="G54" s="38">
        <v>196</v>
      </c>
      <c r="H54" s="19">
        <v>215.5</v>
      </c>
      <c r="I54" s="39"/>
      <c r="J54" s="40"/>
      <c r="L54" s="37">
        <v>49</v>
      </c>
      <c r="M54" s="19">
        <v>189.1</v>
      </c>
      <c r="N54" s="37">
        <v>98</v>
      </c>
      <c r="O54" s="19">
        <v>209.2</v>
      </c>
      <c r="P54" s="22">
        <f t="shared" si="1"/>
        <v>147</v>
      </c>
      <c r="Q54" s="19">
        <v>207.6</v>
      </c>
      <c r="R54" s="38">
        <v>196</v>
      </c>
      <c r="S54" s="19">
        <v>215.5</v>
      </c>
      <c r="T54" s="39"/>
      <c r="U54" s="40"/>
    </row>
    <row r="55" spans="1:21" ht="15.75" x14ac:dyDescent="0.25">
      <c r="A55" s="41"/>
      <c r="B55" s="23">
        <f>SUM(B6:B54)</f>
        <v>9768.3000000000029</v>
      </c>
      <c r="C55" s="23"/>
      <c r="D55" s="23">
        <f>SUM(D6:D54)</f>
        <v>9666.3999999999978</v>
      </c>
      <c r="E55" s="23"/>
      <c r="F55" s="23">
        <f>SUM(F6:F54)</f>
        <v>9533.2000000000007</v>
      </c>
      <c r="G55" s="23"/>
      <c r="H55" s="23">
        <f>SUM(H6:H54)</f>
        <v>9499.8999999999978</v>
      </c>
      <c r="I55" s="41"/>
      <c r="J55" s="41">
        <f>SUM(J6:J54)</f>
        <v>4619.4000000000005</v>
      </c>
      <c r="L55" s="41"/>
      <c r="M55" s="23">
        <f>SUM(M6:M54)</f>
        <v>9768.3000000000029</v>
      </c>
      <c r="N55" s="23"/>
      <c r="O55" s="23">
        <f>SUM(O6:O54)</f>
        <v>9666.3999999999978</v>
      </c>
      <c r="P55" s="23"/>
      <c r="Q55" s="23">
        <f>SUM(Q6:Q54)</f>
        <v>9533.2000000000007</v>
      </c>
      <c r="R55" s="23"/>
      <c r="S55" s="23">
        <f>SUM(S6:S54)</f>
        <v>9499.8999999999978</v>
      </c>
      <c r="T55" s="41"/>
      <c r="U55" s="41">
        <f>SUM(U6:U54)</f>
        <v>4619.4000000000005</v>
      </c>
    </row>
    <row r="56" spans="1:21" ht="15.75" x14ac:dyDescent="0.25">
      <c r="A56" s="42" t="s">
        <v>5</v>
      </c>
      <c r="B56" s="43">
        <f>COUNT(B6:B54,D6:D54,F6:F54,H6:H54,J6:J54)</f>
        <v>220</v>
      </c>
      <c r="C56" s="13" t="s">
        <v>6</v>
      </c>
      <c r="D56" s="44"/>
      <c r="E56" s="45">
        <f>B55+D55+F55+H55+J55</f>
        <v>43087.200000000004</v>
      </c>
      <c r="F56" s="24" t="s">
        <v>7</v>
      </c>
      <c r="G56" s="1">
        <f>B56*2.2</f>
        <v>484.00000000000006</v>
      </c>
      <c r="H56" s="13" t="s">
        <v>8</v>
      </c>
      <c r="I56" s="44"/>
      <c r="J56" s="45">
        <f>E56-G56</f>
        <v>42603.200000000004</v>
      </c>
      <c r="L56" s="42" t="s">
        <v>5</v>
      </c>
      <c r="M56" s="43">
        <f>COUNT(M6:M54,O6:O54,Q6:Q54,S6:S54,U6:U54)</f>
        <v>220</v>
      </c>
      <c r="N56" s="13" t="s">
        <v>6</v>
      </c>
      <c r="O56" s="44"/>
      <c r="P56" s="45">
        <f>M55+O55+Q55+S55+U55</f>
        <v>43087.200000000004</v>
      </c>
      <c r="Q56" s="24" t="s">
        <v>7</v>
      </c>
      <c r="R56" s="1">
        <f>M56*2.2</f>
        <v>484.00000000000006</v>
      </c>
      <c r="S56" s="13" t="s">
        <v>8</v>
      </c>
      <c r="T56" s="44"/>
      <c r="U56" s="45">
        <f>P56-R56</f>
        <v>42603.200000000004</v>
      </c>
    </row>
    <row r="57" spans="1:21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  <c r="L57" s="42" t="s">
        <v>9</v>
      </c>
      <c r="M57" s="25"/>
      <c r="N57" s="46"/>
      <c r="O57" s="44"/>
      <c r="P57" s="47"/>
      <c r="Q57" s="25"/>
      <c r="R57" s="48"/>
      <c r="S57" s="46"/>
      <c r="T57" s="44"/>
      <c r="U57" s="49"/>
    </row>
    <row r="59" spans="1:21" x14ac:dyDescent="0.25">
      <c r="F59" s="112" t="s">
        <v>61</v>
      </c>
      <c r="G59" s="112">
        <v>2.2000000000000002</v>
      </c>
      <c r="Q59" s="112" t="s">
        <v>61</v>
      </c>
      <c r="R59" s="112">
        <v>2.2000000000000002</v>
      </c>
    </row>
  </sheetData>
  <protectedRanges>
    <protectedRange password="CCE1" sqref="C6:C54 G6:G54 E6:E54 I6:I29 N6:N54 R6:R54 P6:P54 T6:T29" name="Диапазон1_3_1_7_2_1_1_1_1_1_1_1"/>
  </protectedRanges>
  <mergeCells count="4">
    <mergeCell ref="A1:J1"/>
    <mergeCell ref="I4:J4"/>
    <mergeCell ref="L1:U1"/>
    <mergeCell ref="T4:U4"/>
  </mergeCells>
  <pageMargins left="0.7" right="0.7" top="0.75" bottom="0.75" header="0.3" footer="0.3"/>
  <pageSetup paperSize="9" scale="83" orientation="portrait" verticalDpi="0" r:id="rId1"/>
  <rowBreaks count="1" manualBreakCount="1">
    <brk id="57" max="16383" man="1"/>
  </rowBreaks>
  <colBreaks count="1" manualBreakCount="1">
    <brk id="10" max="56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9"/>
  <sheetViews>
    <sheetView topLeftCell="J40" zoomScale="90" zoomScaleNormal="90" workbookViewId="0">
      <selection activeCell="L61" sqref="L61"/>
    </sheetView>
  </sheetViews>
  <sheetFormatPr defaultRowHeight="15" x14ac:dyDescent="0.25"/>
  <cols>
    <col min="11" max="11" width="2.7109375" customWidth="1"/>
    <col min="22" max="22" width="3" customWidth="1"/>
  </cols>
  <sheetData>
    <row r="1" spans="1:32" ht="18.75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L1" s="204" t="s">
        <v>0</v>
      </c>
      <c r="M1" s="204"/>
      <c r="N1" s="204"/>
      <c r="O1" s="204"/>
      <c r="P1" s="204"/>
      <c r="Q1" s="204"/>
      <c r="R1" s="204"/>
      <c r="S1" s="204"/>
      <c r="T1" s="204"/>
      <c r="U1" s="204"/>
      <c r="W1" s="204" t="s">
        <v>0</v>
      </c>
      <c r="X1" s="204"/>
      <c r="Y1" s="204"/>
      <c r="Z1" s="204"/>
      <c r="AA1" s="204"/>
      <c r="AB1" s="204"/>
      <c r="AC1" s="204"/>
      <c r="AD1" s="204"/>
      <c r="AE1" s="204"/>
      <c r="AF1" s="204"/>
    </row>
    <row r="2" spans="1:32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  <c r="L2" s="13" t="s">
        <v>1</v>
      </c>
      <c r="M2" s="13"/>
      <c r="N2" s="13"/>
      <c r="O2" s="13"/>
      <c r="P2" s="13"/>
      <c r="Q2" s="13"/>
      <c r="R2" s="27"/>
      <c r="S2" s="13"/>
      <c r="T2" s="13"/>
      <c r="U2" s="13"/>
      <c r="W2" s="13" t="s">
        <v>1</v>
      </c>
      <c r="X2" s="13"/>
      <c r="Y2" s="13"/>
      <c r="Z2" s="13"/>
      <c r="AA2" s="13"/>
      <c r="AB2" s="13"/>
      <c r="AC2" s="27"/>
      <c r="AD2" s="13"/>
      <c r="AE2" s="13"/>
      <c r="AF2" s="13"/>
    </row>
    <row r="3" spans="1:32" ht="15.75" x14ac:dyDescent="0.25">
      <c r="A3" s="25" t="s">
        <v>2</v>
      </c>
      <c r="B3" s="27">
        <v>226</v>
      </c>
      <c r="C3" s="14"/>
      <c r="D3" s="15"/>
      <c r="E3" s="16"/>
      <c r="F3" s="16"/>
      <c r="G3" s="16"/>
      <c r="H3" s="16"/>
      <c r="I3" s="16" t="s">
        <v>33</v>
      </c>
      <c r="J3" s="16"/>
      <c r="L3" s="25" t="s">
        <v>2</v>
      </c>
      <c r="M3" s="27">
        <v>226</v>
      </c>
      <c r="N3" s="14"/>
      <c r="O3" s="15"/>
      <c r="P3" s="16"/>
      <c r="Q3" s="16"/>
      <c r="R3" s="16"/>
      <c r="S3" s="16"/>
      <c r="T3" s="16" t="s">
        <v>33</v>
      </c>
      <c r="U3" s="16"/>
      <c r="W3" s="25" t="s">
        <v>2</v>
      </c>
      <c r="X3" s="27">
        <v>226</v>
      </c>
      <c r="Y3" s="14"/>
      <c r="Z3" s="15"/>
      <c r="AA3" s="16"/>
      <c r="AB3" s="16"/>
      <c r="AC3" s="16"/>
      <c r="AD3" s="16"/>
      <c r="AE3" s="16" t="s">
        <v>33</v>
      </c>
      <c r="AF3" s="16"/>
    </row>
    <row r="4" spans="1:32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  <c r="L4" s="17"/>
      <c r="M4" s="17"/>
      <c r="N4" s="17"/>
      <c r="O4" s="17"/>
      <c r="P4" s="17"/>
      <c r="Q4" s="17"/>
      <c r="R4" s="17"/>
      <c r="S4" s="28"/>
      <c r="T4" s="205" t="s">
        <v>48</v>
      </c>
      <c r="U4" s="206"/>
      <c r="W4" s="17"/>
      <c r="X4" s="17"/>
      <c r="Y4" s="17"/>
      <c r="Z4" s="17"/>
      <c r="AA4" s="17"/>
      <c r="AB4" s="17"/>
      <c r="AC4" s="17"/>
      <c r="AD4" s="28"/>
      <c r="AE4" s="205" t="s">
        <v>50</v>
      </c>
      <c r="AF4" s="206"/>
    </row>
    <row r="5" spans="1:32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  <c r="L5" s="29" t="s">
        <v>3</v>
      </c>
      <c r="M5" s="18" t="s">
        <v>4</v>
      </c>
      <c r="N5" s="29" t="s">
        <v>3</v>
      </c>
      <c r="O5" s="18" t="s">
        <v>4</v>
      </c>
      <c r="P5" s="29" t="s">
        <v>3</v>
      </c>
      <c r="Q5" s="18" t="s">
        <v>4</v>
      </c>
      <c r="R5" s="29" t="s">
        <v>3</v>
      </c>
      <c r="S5" s="30" t="s">
        <v>4</v>
      </c>
      <c r="T5" s="31" t="s">
        <v>3</v>
      </c>
      <c r="U5" s="32" t="s">
        <v>4</v>
      </c>
      <c r="W5" s="29" t="s">
        <v>3</v>
      </c>
      <c r="X5" s="18" t="s">
        <v>4</v>
      </c>
      <c r="Y5" s="29" t="s">
        <v>3</v>
      </c>
      <c r="Z5" s="18" t="s">
        <v>4</v>
      </c>
      <c r="AA5" s="29" t="s">
        <v>3</v>
      </c>
      <c r="AB5" s="18" t="s">
        <v>4</v>
      </c>
      <c r="AC5" s="29" t="s">
        <v>3</v>
      </c>
      <c r="AD5" s="30" t="s">
        <v>4</v>
      </c>
      <c r="AE5" s="31" t="s">
        <v>3</v>
      </c>
      <c r="AF5" s="32" t="s">
        <v>4</v>
      </c>
    </row>
    <row r="6" spans="1:32" ht="15.75" x14ac:dyDescent="0.25">
      <c r="A6" s="22">
        <v>1</v>
      </c>
      <c r="B6" s="19">
        <v>195.1</v>
      </c>
      <c r="C6" s="22">
        <v>50</v>
      </c>
      <c r="D6" s="19">
        <v>201.3</v>
      </c>
      <c r="E6" s="22">
        <v>99</v>
      </c>
      <c r="F6" s="19">
        <v>198.7</v>
      </c>
      <c r="G6" s="33">
        <v>148</v>
      </c>
      <c r="H6" s="19">
        <v>204.3</v>
      </c>
      <c r="I6" s="34">
        <v>197</v>
      </c>
      <c r="J6" s="19">
        <v>176.8</v>
      </c>
      <c r="L6" s="22">
        <v>1</v>
      </c>
      <c r="M6" s="19">
        <v>195.1</v>
      </c>
      <c r="N6" s="22">
        <v>50</v>
      </c>
      <c r="O6" s="19">
        <v>201.3</v>
      </c>
      <c r="P6" s="22">
        <v>99</v>
      </c>
      <c r="Q6" s="19">
        <v>198.7</v>
      </c>
      <c r="R6" s="33">
        <v>148</v>
      </c>
      <c r="S6" s="19"/>
      <c r="T6" s="34">
        <v>197</v>
      </c>
      <c r="U6" s="19"/>
      <c r="W6" s="22">
        <v>1</v>
      </c>
      <c r="X6" s="19"/>
      <c r="Y6" s="22">
        <v>50</v>
      </c>
      <c r="Z6" s="19"/>
      <c r="AA6" s="22">
        <v>99</v>
      </c>
      <c r="AB6" s="19"/>
      <c r="AC6" s="33">
        <v>148</v>
      </c>
      <c r="AD6" s="19">
        <v>204.3</v>
      </c>
      <c r="AE6" s="34">
        <v>197</v>
      </c>
      <c r="AF6" s="19">
        <v>176.8</v>
      </c>
    </row>
    <row r="7" spans="1:32" ht="15.75" x14ac:dyDescent="0.25">
      <c r="A7" s="22">
        <v>2</v>
      </c>
      <c r="B7" s="19">
        <v>202.3</v>
      </c>
      <c r="C7" s="22">
        <v>51</v>
      </c>
      <c r="D7" s="19">
        <v>153.4</v>
      </c>
      <c r="E7" s="22">
        <v>100</v>
      </c>
      <c r="F7" s="19">
        <v>179.2</v>
      </c>
      <c r="G7" s="33">
        <v>149</v>
      </c>
      <c r="H7" s="19">
        <v>183.4</v>
      </c>
      <c r="I7" s="33">
        <v>198</v>
      </c>
      <c r="J7" s="19">
        <v>211.4</v>
      </c>
      <c r="L7" s="22">
        <v>2</v>
      </c>
      <c r="M7" s="19">
        <v>202.3</v>
      </c>
      <c r="N7" s="22">
        <v>51</v>
      </c>
      <c r="O7" s="19"/>
      <c r="P7" s="22">
        <v>100</v>
      </c>
      <c r="Q7" s="19">
        <v>179.2</v>
      </c>
      <c r="R7" s="33">
        <v>149</v>
      </c>
      <c r="S7" s="19"/>
      <c r="T7" s="33">
        <v>198</v>
      </c>
      <c r="U7" s="19"/>
      <c r="W7" s="22">
        <v>2</v>
      </c>
      <c r="X7" s="19"/>
      <c r="Y7" s="22">
        <v>51</v>
      </c>
      <c r="Z7" s="19">
        <v>153.4</v>
      </c>
      <c r="AA7" s="22">
        <v>100</v>
      </c>
      <c r="AB7" s="19"/>
      <c r="AC7" s="33">
        <v>149</v>
      </c>
      <c r="AD7" s="19">
        <v>183.4</v>
      </c>
      <c r="AE7" s="33">
        <v>198</v>
      </c>
      <c r="AF7" s="19">
        <v>211.4</v>
      </c>
    </row>
    <row r="8" spans="1:32" ht="15.75" x14ac:dyDescent="0.25">
      <c r="A8" s="22">
        <v>3</v>
      </c>
      <c r="B8" s="19">
        <v>192.5</v>
      </c>
      <c r="C8" s="22">
        <v>52</v>
      </c>
      <c r="D8" s="19">
        <v>201</v>
      </c>
      <c r="E8" s="22">
        <f t="shared" ref="E8:E54" si="0">+E7+1</f>
        <v>101</v>
      </c>
      <c r="F8" s="19">
        <v>170</v>
      </c>
      <c r="G8" s="33">
        <v>150</v>
      </c>
      <c r="H8" s="19">
        <v>208.2</v>
      </c>
      <c r="I8" s="33">
        <v>199</v>
      </c>
      <c r="J8" s="19">
        <v>202.6</v>
      </c>
      <c r="L8" s="22">
        <v>3</v>
      </c>
      <c r="M8" s="19">
        <v>192.5</v>
      </c>
      <c r="N8" s="22">
        <v>52</v>
      </c>
      <c r="O8" s="19"/>
      <c r="P8" s="22">
        <f t="shared" ref="P8:P54" si="1">+P7+1</f>
        <v>101</v>
      </c>
      <c r="Q8" s="19">
        <v>170</v>
      </c>
      <c r="R8" s="33">
        <v>150</v>
      </c>
      <c r="S8" s="19"/>
      <c r="T8" s="33">
        <v>199</v>
      </c>
      <c r="U8" s="19"/>
      <c r="W8" s="22">
        <v>3</v>
      </c>
      <c r="X8" s="19"/>
      <c r="Y8" s="22">
        <v>52</v>
      </c>
      <c r="Z8" s="19">
        <v>201</v>
      </c>
      <c r="AA8" s="22">
        <f t="shared" ref="AA8:AA54" si="2">+AA7+1</f>
        <v>101</v>
      </c>
      <c r="AB8" s="19"/>
      <c r="AC8" s="33">
        <v>150</v>
      </c>
      <c r="AD8" s="19">
        <v>208.2</v>
      </c>
      <c r="AE8" s="33">
        <v>199</v>
      </c>
      <c r="AF8" s="19">
        <v>202.6</v>
      </c>
    </row>
    <row r="9" spans="1:32" ht="15.75" x14ac:dyDescent="0.25">
      <c r="A9" s="22">
        <v>4</v>
      </c>
      <c r="B9" s="19">
        <v>198.2</v>
      </c>
      <c r="C9" s="22">
        <v>53</v>
      </c>
      <c r="D9" s="19">
        <v>202.8</v>
      </c>
      <c r="E9" s="22">
        <f t="shared" si="0"/>
        <v>102</v>
      </c>
      <c r="F9" s="19">
        <v>201.3</v>
      </c>
      <c r="G9" s="33">
        <v>151</v>
      </c>
      <c r="H9" s="19">
        <v>170.1</v>
      </c>
      <c r="I9" s="33">
        <v>200</v>
      </c>
      <c r="J9" s="19">
        <v>207.2</v>
      </c>
      <c r="L9" s="22">
        <v>4</v>
      </c>
      <c r="M9" s="19">
        <v>198.2</v>
      </c>
      <c r="N9" s="22">
        <v>53</v>
      </c>
      <c r="O9" s="19"/>
      <c r="P9" s="22">
        <f t="shared" si="1"/>
        <v>102</v>
      </c>
      <c r="Q9" s="19">
        <v>201.3</v>
      </c>
      <c r="R9" s="33">
        <v>151</v>
      </c>
      <c r="S9" s="19"/>
      <c r="T9" s="33">
        <v>200</v>
      </c>
      <c r="U9" s="19"/>
      <c r="W9" s="22">
        <v>4</v>
      </c>
      <c r="X9" s="19"/>
      <c r="Y9" s="22">
        <v>53</v>
      </c>
      <c r="Z9" s="19">
        <v>202.8</v>
      </c>
      <c r="AA9" s="22">
        <f t="shared" si="2"/>
        <v>102</v>
      </c>
      <c r="AB9" s="19"/>
      <c r="AC9" s="33">
        <v>151</v>
      </c>
      <c r="AD9" s="19">
        <v>170.1</v>
      </c>
      <c r="AE9" s="33">
        <v>200</v>
      </c>
      <c r="AF9" s="19">
        <v>207.2</v>
      </c>
    </row>
    <row r="10" spans="1:32" ht="15.75" x14ac:dyDescent="0.25">
      <c r="A10" s="22">
        <v>5</v>
      </c>
      <c r="B10" s="19">
        <v>200</v>
      </c>
      <c r="C10" s="22">
        <v>54</v>
      </c>
      <c r="D10" s="19">
        <v>190</v>
      </c>
      <c r="E10" s="22">
        <f t="shared" si="0"/>
        <v>103</v>
      </c>
      <c r="F10" s="19">
        <v>174.5</v>
      </c>
      <c r="G10" s="33">
        <v>152</v>
      </c>
      <c r="H10" s="19">
        <v>205.5</v>
      </c>
      <c r="I10" s="33">
        <v>201</v>
      </c>
      <c r="J10" s="19">
        <v>202.1</v>
      </c>
      <c r="L10" s="22">
        <v>5</v>
      </c>
      <c r="M10" s="19">
        <v>200</v>
      </c>
      <c r="N10" s="22">
        <v>54</v>
      </c>
      <c r="O10" s="19"/>
      <c r="P10" s="22">
        <f t="shared" si="1"/>
        <v>103</v>
      </c>
      <c r="Q10" s="19">
        <v>174.5</v>
      </c>
      <c r="R10" s="33">
        <v>152</v>
      </c>
      <c r="S10" s="19"/>
      <c r="T10" s="33">
        <v>201</v>
      </c>
      <c r="U10" s="19"/>
      <c r="W10" s="22">
        <v>5</v>
      </c>
      <c r="X10" s="19"/>
      <c r="Y10" s="22">
        <v>54</v>
      </c>
      <c r="Z10" s="19">
        <v>190</v>
      </c>
      <c r="AA10" s="22">
        <f t="shared" si="2"/>
        <v>103</v>
      </c>
      <c r="AB10" s="19"/>
      <c r="AC10" s="33">
        <v>152</v>
      </c>
      <c r="AD10" s="19">
        <v>205.5</v>
      </c>
      <c r="AE10" s="33">
        <v>201</v>
      </c>
      <c r="AF10" s="19">
        <v>202.1</v>
      </c>
    </row>
    <row r="11" spans="1:32" ht="15.75" x14ac:dyDescent="0.25">
      <c r="A11" s="22">
        <v>6</v>
      </c>
      <c r="B11" s="19">
        <v>187.6</v>
      </c>
      <c r="C11" s="22">
        <v>55</v>
      </c>
      <c r="D11" s="19">
        <v>207</v>
      </c>
      <c r="E11" s="22">
        <f t="shared" si="0"/>
        <v>104</v>
      </c>
      <c r="F11" s="19">
        <v>208.1</v>
      </c>
      <c r="G11" s="33">
        <v>153</v>
      </c>
      <c r="H11" s="19">
        <v>204.4</v>
      </c>
      <c r="I11" s="33">
        <v>202</v>
      </c>
      <c r="J11" s="19">
        <v>205.1</v>
      </c>
      <c r="L11" s="22">
        <v>6</v>
      </c>
      <c r="M11" s="19">
        <v>187.6</v>
      </c>
      <c r="N11" s="22">
        <v>55</v>
      </c>
      <c r="O11" s="19"/>
      <c r="P11" s="22">
        <f t="shared" si="1"/>
        <v>104</v>
      </c>
      <c r="Q11" s="19">
        <v>208.1</v>
      </c>
      <c r="R11" s="33">
        <v>153</v>
      </c>
      <c r="S11" s="19"/>
      <c r="T11" s="33">
        <v>202</v>
      </c>
      <c r="U11" s="19"/>
      <c r="W11" s="22">
        <v>6</v>
      </c>
      <c r="X11" s="19"/>
      <c r="Y11" s="22">
        <v>55</v>
      </c>
      <c r="Z11" s="19">
        <v>207</v>
      </c>
      <c r="AA11" s="22">
        <f t="shared" si="2"/>
        <v>104</v>
      </c>
      <c r="AB11" s="19"/>
      <c r="AC11" s="33">
        <v>153</v>
      </c>
      <c r="AD11" s="19">
        <v>204.4</v>
      </c>
      <c r="AE11" s="33">
        <v>202</v>
      </c>
      <c r="AF11" s="19">
        <v>205.1</v>
      </c>
    </row>
    <row r="12" spans="1:32" ht="15.75" x14ac:dyDescent="0.25">
      <c r="A12" s="22">
        <v>7</v>
      </c>
      <c r="B12" s="19">
        <v>200.3</v>
      </c>
      <c r="C12" s="22">
        <v>56</v>
      </c>
      <c r="D12" s="19">
        <v>171.8</v>
      </c>
      <c r="E12" s="22">
        <f t="shared" si="0"/>
        <v>105</v>
      </c>
      <c r="F12" s="19">
        <v>171.5</v>
      </c>
      <c r="G12" s="33">
        <v>154</v>
      </c>
      <c r="H12" s="19">
        <v>187.3</v>
      </c>
      <c r="I12" s="33">
        <v>203</v>
      </c>
      <c r="J12" s="19">
        <v>200.4</v>
      </c>
      <c r="L12" s="22">
        <v>7</v>
      </c>
      <c r="M12" s="19">
        <v>200.3</v>
      </c>
      <c r="N12" s="22">
        <v>56</v>
      </c>
      <c r="O12" s="19"/>
      <c r="P12" s="22">
        <f t="shared" si="1"/>
        <v>105</v>
      </c>
      <c r="Q12" s="19">
        <v>171.5</v>
      </c>
      <c r="R12" s="33">
        <v>154</v>
      </c>
      <c r="S12" s="19"/>
      <c r="T12" s="33">
        <v>203</v>
      </c>
      <c r="U12" s="19"/>
      <c r="W12" s="22">
        <v>7</v>
      </c>
      <c r="X12" s="19"/>
      <c r="Y12" s="22">
        <v>56</v>
      </c>
      <c r="Z12" s="19">
        <v>171.8</v>
      </c>
      <c r="AA12" s="22">
        <f t="shared" si="2"/>
        <v>105</v>
      </c>
      <c r="AB12" s="19"/>
      <c r="AC12" s="33">
        <v>154</v>
      </c>
      <c r="AD12" s="19">
        <v>187.3</v>
      </c>
      <c r="AE12" s="33">
        <v>203</v>
      </c>
      <c r="AF12" s="19">
        <v>200.4</v>
      </c>
    </row>
    <row r="13" spans="1:32" ht="15.75" x14ac:dyDescent="0.25">
      <c r="A13" s="22">
        <v>8</v>
      </c>
      <c r="B13" s="19">
        <v>184</v>
      </c>
      <c r="C13" s="22">
        <v>57</v>
      </c>
      <c r="D13" s="19">
        <v>203.5</v>
      </c>
      <c r="E13" s="22">
        <f t="shared" si="0"/>
        <v>106</v>
      </c>
      <c r="F13" s="19">
        <v>209.8</v>
      </c>
      <c r="G13" s="33">
        <v>155</v>
      </c>
      <c r="H13" s="19">
        <v>200.1</v>
      </c>
      <c r="I13" s="33">
        <v>204</v>
      </c>
      <c r="J13" s="19">
        <v>190.1</v>
      </c>
      <c r="L13" s="22">
        <v>8</v>
      </c>
      <c r="M13" s="19">
        <v>184</v>
      </c>
      <c r="N13" s="22">
        <v>57</v>
      </c>
      <c r="O13" s="19"/>
      <c r="P13" s="22">
        <f t="shared" si="1"/>
        <v>106</v>
      </c>
      <c r="Q13" s="19">
        <v>209.8</v>
      </c>
      <c r="R13" s="33">
        <v>155</v>
      </c>
      <c r="S13" s="19"/>
      <c r="T13" s="33">
        <v>204</v>
      </c>
      <c r="U13" s="19"/>
      <c r="W13" s="22">
        <v>8</v>
      </c>
      <c r="X13" s="19"/>
      <c r="Y13" s="22">
        <v>57</v>
      </c>
      <c r="Z13" s="19">
        <v>203.5</v>
      </c>
      <c r="AA13" s="22">
        <f t="shared" si="2"/>
        <v>106</v>
      </c>
      <c r="AB13" s="19"/>
      <c r="AC13" s="33">
        <v>155</v>
      </c>
      <c r="AD13" s="19">
        <v>200.1</v>
      </c>
      <c r="AE13" s="33">
        <v>204</v>
      </c>
      <c r="AF13" s="19">
        <v>190.1</v>
      </c>
    </row>
    <row r="14" spans="1:32" ht="15.75" x14ac:dyDescent="0.25">
      <c r="A14" s="22">
        <v>9</v>
      </c>
      <c r="B14" s="19">
        <v>203.4</v>
      </c>
      <c r="C14" s="22">
        <v>58</v>
      </c>
      <c r="D14" s="19">
        <v>205</v>
      </c>
      <c r="E14" s="22">
        <f t="shared" si="0"/>
        <v>107</v>
      </c>
      <c r="F14" s="19">
        <v>212</v>
      </c>
      <c r="G14" s="33">
        <v>156</v>
      </c>
      <c r="H14" s="19">
        <v>182</v>
      </c>
      <c r="I14" s="33">
        <v>205</v>
      </c>
      <c r="J14" s="19">
        <v>198.6</v>
      </c>
      <c r="L14" s="22">
        <v>9</v>
      </c>
      <c r="M14" s="19">
        <v>203.4</v>
      </c>
      <c r="N14" s="22">
        <v>58</v>
      </c>
      <c r="O14" s="19"/>
      <c r="P14" s="22">
        <f t="shared" si="1"/>
        <v>107</v>
      </c>
      <c r="Q14" s="19">
        <v>212</v>
      </c>
      <c r="R14" s="33">
        <v>156</v>
      </c>
      <c r="S14" s="19"/>
      <c r="T14" s="33">
        <v>205</v>
      </c>
      <c r="U14" s="19"/>
      <c r="W14" s="22">
        <v>9</v>
      </c>
      <c r="X14" s="19"/>
      <c r="Y14" s="22">
        <v>58</v>
      </c>
      <c r="Z14" s="19">
        <v>205</v>
      </c>
      <c r="AA14" s="22">
        <f t="shared" si="2"/>
        <v>107</v>
      </c>
      <c r="AB14" s="19"/>
      <c r="AC14" s="33">
        <v>156</v>
      </c>
      <c r="AD14" s="19">
        <v>182</v>
      </c>
      <c r="AE14" s="33">
        <v>205</v>
      </c>
      <c r="AF14" s="19">
        <v>198.6</v>
      </c>
    </row>
    <row r="15" spans="1:32" ht="15.75" x14ac:dyDescent="0.25">
      <c r="A15" s="22">
        <v>10</v>
      </c>
      <c r="B15" s="19">
        <v>205.9</v>
      </c>
      <c r="C15" s="22">
        <v>59</v>
      </c>
      <c r="D15" s="19">
        <v>206.2</v>
      </c>
      <c r="E15" s="22">
        <f t="shared" si="0"/>
        <v>108</v>
      </c>
      <c r="F15" s="19">
        <v>203.6</v>
      </c>
      <c r="G15" s="33">
        <v>157</v>
      </c>
      <c r="H15" s="19">
        <v>204.9</v>
      </c>
      <c r="I15" s="33">
        <v>206</v>
      </c>
      <c r="J15" s="19">
        <v>182.3</v>
      </c>
      <c r="L15" s="22">
        <v>10</v>
      </c>
      <c r="M15" s="19">
        <v>205.9</v>
      </c>
      <c r="N15" s="22">
        <v>59</v>
      </c>
      <c r="O15" s="19"/>
      <c r="P15" s="22">
        <f t="shared" si="1"/>
        <v>108</v>
      </c>
      <c r="Q15" s="19">
        <v>203.6</v>
      </c>
      <c r="R15" s="33">
        <v>157</v>
      </c>
      <c r="S15" s="19"/>
      <c r="T15" s="33">
        <v>206</v>
      </c>
      <c r="U15" s="19"/>
      <c r="W15" s="22">
        <v>10</v>
      </c>
      <c r="X15" s="19"/>
      <c r="Y15" s="22">
        <v>59</v>
      </c>
      <c r="Z15" s="19">
        <v>206.2</v>
      </c>
      <c r="AA15" s="22">
        <f t="shared" si="2"/>
        <v>108</v>
      </c>
      <c r="AB15" s="19"/>
      <c r="AC15" s="33">
        <v>157</v>
      </c>
      <c r="AD15" s="19">
        <v>204.9</v>
      </c>
      <c r="AE15" s="33">
        <v>206</v>
      </c>
      <c r="AF15" s="19">
        <v>182.3</v>
      </c>
    </row>
    <row r="16" spans="1:32" ht="15.75" x14ac:dyDescent="0.25">
      <c r="A16" s="22">
        <v>11</v>
      </c>
      <c r="B16" s="19">
        <v>198.8</v>
      </c>
      <c r="C16" s="22">
        <v>60</v>
      </c>
      <c r="D16" s="19">
        <v>175.2</v>
      </c>
      <c r="E16" s="22">
        <f t="shared" si="0"/>
        <v>109</v>
      </c>
      <c r="F16" s="19">
        <v>207.6</v>
      </c>
      <c r="G16" s="33">
        <v>158</v>
      </c>
      <c r="H16" s="19">
        <v>176.8</v>
      </c>
      <c r="I16" s="33">
        <v>207</v>
      </c>
      <c r="J16" s="19">
        <v>201.6</v>
      </c>
      <c r="L16" s="22">
        <v>11</v>
      </c>
      <c r="M16" s="19">
        <v>198.8</v>
      </c>
      <c r="N16" s="22">
        <v>60</v>
      </c>
      <c r="O16" s="19"/>
      <c r="P16" s="22">
        <f t="shared" si="1"/>
        <v>109</v>
      </c>
      <c r="Q16" s="19">
        <v>207.6</v>
      </c>
      <c r="R16" s="33">
        <v>158</v>
      </c>
      <c r="S16" s="19"/>
      <c r="T16" s="33">
        <v>207</v>
      </c>
      <c r="U16" s="19"/>
      <c r="W16" s="22">
        <v>11</v>
      </c>
      <c r="X16" s="19"/>
      <c r="Y16" s="22">
        <v>60</v>
      </c>
      <c r="Z16" s="19">
        <v>175.2</v>
      </c>
      <c r="AA16" s="22">
        <f t="shared" si="2"/>
        <v>109</v>
      </c>
      <c r="AB16" s="19"/>
      <c r="AC16" s="33">
        <v>158</v>
      </c>
      <c r="AD16" s="19">
        <v>176.8</v>
      </c>
      <c r="AE16" s="33">
        <v>207</v>
      </c>
      <c r="AF16" s="19">
        <v>201.6</v>
      </c>
    </row>
    <row r="17" spans="1:32" ht="15.75" x14ac:dyDescent="0.25">
      <c r="A17" s="22">
        <v>12</v>
      </c>
      <c r="B17" s="19">
        <v>202.9</v>
      </c>
      <c r="C17" s="22">
        <v>61</v>
      </c>
      <c r="D17" s="19">
        <v>199.6</v>
      </c>
      <c r="E17" s="22">
        <f t="shared" si="0"/>
        <v>110</v>
      </c>
      <c r="F17" s="19">
        <v>182.4</v>
      </c>
      <c r="G17" s="33">
        <v>159</v>
      </c>
      <c r="H17" s="19">
        <v>205.3</v>
      </c>
      <c r="I17" s="33">
        <v>208</v>
      </c>
      <c r="J17" s="19">
        <v>199.7</v>
      </c>
      <c r="L17" s="22">
        <v>12</v>
      </c>
      <c r="M17" s="19">
        <v>202.9</v>
      </c>
      <c r="N17" s="22">
        <v>61</v>
      </c>
      <c r="O17" s="19"/>
      <c r="P17" s="22">
        <f t="shared" si="1"/>
        <v>110</v>
      </c>
      <c r="Q17" s="19">
        <v>182.4</v>
      </c>
      <c r="R17" s="33">
        <v>159</v>
      </c>
      <c r="S17" s="19"/>
      <c r="T17" s="33">
        <v>208</v>
      </c>
      <c r="U17" s="19"/>
      <c r="W17" s="22">
        <v>12</v>
      </c>
      <c r="X17" s="19"/>
      <c r="Y17" s="22">
        <v>61</v>
      </c>
      <c r="Z17" s="19">
        <v>199.6</v>
      </c>
      <c r="AA17" s="22">
        <f t="shared" si="2"/>
        <v>110</v>
      </c>
      <c r="AB17" s="19"/>
      <c r="AC17" s="33">
        <v>159</v>
      </c>
      <c r="AD17" s="19">
        <v>205.3</v>
      </c>
      <c r="AE17" s="33">
        <v>208</v>
      </c>
      <c r="AF17" s="19">
        <v>199.7</v>
      </c>
    </row>
    <row r="18" spans="1:32" ht="15.75" x14ac:dyDescent="0.25">
      <c r="A18" s="22">
        <v>13</v>
      </c>
      <c r="B18" s="19">
        <v>191</v>
      </c>
      <c r="C18" s="22">
        <v>62</v>
      </c>
      <c r="D18" s="19">
        <v>201.5</v>
      </c>
      <c r="E18" s="22">
        <f t="shared" si="0"/>
        <v>111</v>
      </c>
      <c r="F18" s="19">
        <v>204.7</v>
      </c>
      <c r="G18" s="33">
        <v>160</v>
      </c>
      <c r="H18" s="19">
        <v>173.1</v>
      </c>
      <c r="I18" s="33">
        <v>209</v>
      </c>
      <c r="J18" s="19">
        <v>199.2</v>
      </c>
      <c r="L18" s="22">
        <v>13</v>
      </c>
      <c r="M18" s="19">
        <v>191</v>
      </c>
      <c r="N18" s="22">
        <v>62</v>
      </c>
      <c r="O18" s="19"/>
      <c r="P18" s="22">
        <f t="shared" si="1"/>
        <v>111</v>
      </c>
      <c r="Q18" s="19">
        <v>204.7</v>
      </c>
      <c r="R18" s="33">
        <v>160</v>
      </c>
      <c r="S18" s="19"/>
      <c r="T18" s="33">
        <v>209</v>
      </c>
      <c r="U18" s="19"/>
      <c r="W18" s="22">
        <v>13</v>
      </c>
      <c r="X18" s="19"/>
      <c r="Y18" s="22">
        <v>62</v>
      </c>
      <c r="Z18" s="19">
        <v>201.5</v>
      </c>
      <c r="AA18" s="22">
        <f t="shared" si="2"/>
        <v>111</v>
      </c>
      <c r="AB18" s="19"/>
      <c r="AC18" s="33">
        <v>160</v>
      </c>
      <c r="AD18" s="19">
        <v>173.1</v>
      </c>
      <c r="AE18" s="33">
        <v>209</v>
      </c>
      <c r="AF18" s="19">
        <v>199.2</v>
      </c>
    </row>
    <row r="19" spans="1:32" ht="15.75" x14ac:dyDescent="0.25">
      <c r="A19" s="22">
        <v>14</v>
      </c>
      <c r="B19" s="19">
        <v>207.1</v>
      </c>
      <c r="C19" s="22">
        <v>63</v>
      </c>
      <c r="D19" s="19">
        <v>182.2</v>
      </c>
      <c r="E19" s="22">
        <f t="shared" si="0"/>
        <v>112</v>
      </c>
      <c r="F19" s="19">
        <v>200.5</v>
      </c>
      <c r="G19" s="33">
        <v>161</v>
      </c>
      <c r="H19" s="19">
        <v>200.3</v>
      </c>
      <c r="I19" s="33">
        <v>210</v>
      </c>
      <c r="J19" s="19">
        <v>201.7</v>
      </c>
      <c r="L19" s="22">
        <v>14</v>
      </c>
      <c r="M19" s="19">
        <v>207.1</v>
      </c>
      <c r="N19" s="22">
        <v>63</v>
      </c>
      <c r="O19" s="19"/>
      <c r="P19" s="22">
        <f t="shared" si="1"/>
        <v>112</v>
      </c>
      <c r="Q19" s="19">
        <v>200.5</v>
      </c>
      <c r="R19" s="33">
        <v>161</v>
      </c>
      <c r="S19" s="19"/>
      <c r="T19" s="33">
        <v>210</v>
      </c>
      <c r="U19" s="19"/>
      <c r="W19" s="22">
        <v>14</v>
      </c>
      <c r="X19" s="19"/>
      <c r="Y19" s="22">
        <v>63</v>
      </c>
      <c r="Z19" s="19">
        <v>182.2</v>
      </c>
      <c r="AA19" s="22">
        <f t="shared" si="2"/>
        <v>112</v>
      </c>
      <c r="AB19" s="19"/>
      <c r="AC19" s="33">
        <v>161</v>
      </c>
      <c r="AD19" s="19">
        <v>200.3</v>
      </c>
      <c r="AE19" s="33">
        <v>210</v>
      </c>
      <c r="AF19" s="19">
        <v>201.7</v>
      </c>
    </row>
    <row r="20" spans="1:32" ht="15.75" x14ac:dyDescent="0.25">
      <c r="A20" s="22">
        <v>15</v>
      </c>
      <c r="B20" s="19">
        <v>191.8</v>
      </c>
      <c r="C20" s="22">
        <v>64</v>
      </c>
      <c r="D20" s="19">
        <v>204</v>
      </c>
      <c r="E20" s="22">
        <f t="shared" si="0"/>
        <v>113</v>
      </c>
      <c r="F20" s="19">
        <v>168.7</v>
      </c>
      <c r="G20" s="35">
        <v>162</v>
      </c>
      <c r="H20" s="19">
        <v>197.1</v>
      </c>
      <c r="I20" s="33">
        <v>211</v>
      </c>
      <c r="J20" s="19">
        <v>201.9</v>
      </c>
      <c r="L20" s="22">
        <v>15</v>
      </c>
      <c r="M20" s="19">
        <v>191.8</v>
      </c>
      <c r="N20" s="22">
        <v>64</v>
      </c>
      <c r="O20" s="19"/>
      <c r="P20" s="22">
        <f t="shared" si="1"/>
        <v>113</v>
      </c>
      <c r="Q20" s="19">
        <v>168.7</v>
      </c>
      <c r="R20" s="35">
        <v>162</v>
      </c>
      <c r="S20" s="19"/>
      <c r="T20" s="33">
        <v>211</v>
      </c>
      <c r="U20" s="19"/>
      <c r="W20" s="22">
        <v>15</v>
      </c>
      <c r="X20" s="19"/>
      <c r="Y20" s="22">
        <v>64</v>
      </c>
      <c r="Z20" s="19">
        <v>204</v>
      </c>
      <c r="AA20" s="22">
        <f t="shared" si="2"/>
        <v>113</v>
      </c>
      <c r="AB20" s="19"/>
      <c r="AC20" s="35">
        <v>162</v>
      </c>
      <c r="AD20" s="19">
        <v>197.1</v>
      </c>
      <c r="AE20" s="33">
        <v>211</v>
      </c>
      <c r="AF20" s="19">
        <v>201.9</v>
      </c>
    </row>
    <row r="21" spans="1:32" ht="15.75" x14ac:dyDescent="0.25">
      <c r="A21" s="22">
        <v>16</v>
      </c>
      <c r="B21" s="19">
        <v>199.3</v>
      </c>
      <c r="C21" s="22">
        <v>65</v>
      </c>
      <c r="D21" s="19">
        <v>194.1</v>
      </c>
      <c r="E21" s="22">
        <f t="shared" si="0"/>
        <v>114</v>
      </c>
      <c r="F21" s="19">
        <v>203.2</v>
      </c>
      <c r="G21" s="35">
        <v>163</v>
      </c>
      <c r="H21" s="19">
        <v>206.3</v>
      </c>
      <c r="I21" s="33">
        <v>212</v>
      </c>
      <c r="J21" s="19">
        <v>208.1</v>
      </c>
      <c r="L21" s="22">
        <v>16</v>
      </c>
      <c r="M21" s="19">
        <v>199.3</v>
      </c>
      <c r="N21" s="22">
        <v>65</v>
      </c>
      <c r="O21" s="19"/>
      <c r="P21" s="22">
        <f t="shared" si="1"/>
        <v>114</v>
      </c>
      <c r="Q21" s="19">
        <v>203.2</v>
      </c>
      <c r="R21" s="35">
        <v>163</v>
      </c>
      <c r="S21" s="19"/>
      <c r="T21" s="33">
        <v>212</v>
      </c>
      <c r="U21" s="19"/>
      <c r="W21" s="22">
        <v>16</v>
      </c>
      <c r="X21" s="19"/>
      <c r="Y21" s="22">
        <v>65</v>
      </c>
      <c r="Z21" s="19">
        <v>194.1</v>
      </c>
      <c r="AA21" s="22">
        <f t="shared" si="2"/>
        <v>114</v>
      </c>
      <c r="AB21" s="19"/>
      <c r="AC21" s="35">
        <v>163</v>
      </c>
      <c r="AD21" s="19">
        <v>206.3</v>
      </c>
      <c r="AE21" s="33">
        <v>212</v>
      </c>
      <c r="AF21" s="19">
        <v>208.1</v>
      </c>
    </row>
    <row r="22" spans="1:32" ht="15.75" x14ac:dyDescent="0.25">
      <c r="A22" s="22">
        <v>17</v>
      </c>
      <c r="B22" s="19">
        <v>201</v>
      </c>
      <c r="C22" s="22">
        <v>66</v>
      </c>
      <c r="D22" s="19">
        <v>201.7</v>
      </c>
      <c r="E22" s="22">
        <f t="shared" si="0"/>
        <v>115</v>
      </c>
      <c r="F22" s="19">
        <v>199.8</v>
      </c>
      <c r="G22" s="35">
        <v>164</v>
      </c>
      <c r="H22" s="19">
        <v>204.6</v>
      </c>
      <c r="I22" s="33">
        <v>213</v>
      </c>
      <c r="J22" s="19">
        <v>200.8</v>
      </c>
      <c r="L22" s="22">
        <v>17</v>
      </c>
      <c r="M22" s="19">
        <v>201</v>
      </c>
      <c r="N22" s="22">
        <v>66</v>
      </c>
      <c r="O22" s="19"/>
      <c r="P22" s="22">
        <f t="shared" si="1"/>
        <v>115</v>
      </c>
      <c r="Q22" s="19">
        <v>199.8</v>
      </c>
      <c r="R22" s="35">
        <v>164</v>
      </c>
      <c r="S22" s="19"/>
      <c r="T22" s="33">
        <v>213</v>
      </c>
      <c r="U22" s="19"/>
      <c r="W22" s="22">
        <v>17</v>
      </c>
      <c r="X22" s="19"/>
      <c r="Y22" s="22">
        <v>66</v>
      </c>
      <c r="Z22" s="19">
        <v>201.7</v>
      </c>
      <c r="AA22" s="22">
        <f t="shared" si="2"/>
        <v>115</v>
      </c>
      <c r="AB22" s="19"/>
      <c r="AC22" s="35">
        <v>164</v>
      </c>
      <c r="AD22" s="19">
        <v>204.6</v>
      </c>
      <c r="AE22" s="33">
        <v>213</v>
      </c>
      <c r="AF22" s="19">
        <v>200.8</v>
      </c>
    </row>
    <row r="23" spans="1:32" ht="15.75" x14ac:dyDescent="0.25">
      <c r="A23" s="22">
        <v>18</v>
      </c>
      <c r="B23" s="19">
        <v>189.2</v>
      </c>
      <c r="C23" s="22">
        <v>67</v>
      </c>
      <c r="D23" s="19">
        <v>198.3</v>
      </c>
      <c r="E23" s="22">
        <f t="shared" si="0"/>
        <v>116</v>
      </c>
      <c r="F23" s="19">
        <v>202.7</v>
      </c>
      <c r="G23" s="35">
        <v>165</v>
      </c>
      <c r="H23" s="19">
        <v>181</v>
      </c>
      <c r="I23" s="33">
        <v>214</v>
      </c>
      <c r="J23" s="19">
        <v>190.7</v>
      </c>
      <c r="L23" s="22">
        <v>18</v>
      </c>
      <c r="M23" s="19">
        <v>189.2</v>
      </c>
      <c r="N23" s="22">
        <v>67</v>
      </c>
      <c r="O23" s="19"/>
      <c r="P23" s="22">
        <f t="shared" si="1"/>
        <v>116</v>
      </c>
      <c r="Q23" s="19">
        <v>202.7</v>
      </c>
      <c r="R23" s="35">
        <v>165</v>
      </c>
      <c r="S23" s="19"/>
      <c r="T23" s="33">
        <v>214</v>
      </c>
      <c r="U23" s="19"/>
      <c r="W23" s="22">
        <v>18</v>
      </c>
      <c r="X23" s="19"/>
      <c r="Y23" s="22">
        <v>67</v>
      </c>
      <c r="Z23" s="19">
        <v>198.3</v>
      </c>
      <c r="AA23" s="22">
        <f t="shared" si="2"/>
        <v>116</v>
      </c>
      <c r="AB23" s="19"/>
      <c r="AC23" s="35">
        <v>165</v>
      </c>
      <c r="AD23" s="19">
        <v>181</v>
      </c>
      <c r="AE23" s="33">
        <v>214</v>
      </c>
      <c r="AF23" s="19">
        <v>190.7</v>
      </c>
    </row>
    <row r="24" spans="1:32" ht="15.75" x14ac:dyDescent="0.25">
      <c r="A24" s="22">
        <v>19</v>
      </c>
      <c r="B24" s="19">
        <v>210.1</v>
      </c>
      <c r="C24" s="22">
        <v>68</v>
      </c>
      <c r="D24" s="19">
        <v>189.7</v>
      </c>
      <c r="E24" s="22">
        <f t="shared" si="0"/>
        <v>117</v>
      </c>
      <c r="F24" s="19">
        <v>209.2</v>
      </c>
      <c r="G24" s="35">
        <v>166</v>
      </c>
      <c r="H24" s="19">
        <v>206.4</v>
      </c>
      <c r="I24" s="33">
        <v>215</v>
      </c>
      <c r="J24" s="19">
        <v>198.1</v>
      </c>
      <c r="L24" s="22">
        <v>19</v>
      </c>
      <c r="M24" s="19">
        <v>210.1</v>
      </c>
      <c r="N24" s="22">
        <v>68</v>
      </c>
      <c r="O24" s="19"/>
      <c r="P24" s="22">
        <f t="shared" si="1"/>
        <v>117</v>
      </c>
      <c r="Q24" s="19">
        <v>209.2</v>
      </c>
      <c r="R24" s="35">
        <v>166</v>
      </c>
      <c r="S24" s="19"/>
      <c r="T24" s="33">
        <v>215</v>
      </c>
      <c r="U24" s="19"/>
      <c r="W24" s="22">
        <v>19</v>
      </c>
      <c r="X24" s="19"/>
      <c r="Y24" s="22">
        <v>68</v>
      </c>
      <c r="Z24" s="19">
        <v>189.7</v>
      </c>
      <c r="AA24" s="22">
        <f t="shared" si="2"/>
        <v>117</v>
      </c>
      <c r="AB24" s="19"/>
      <c r="AC24" s="35">
        <v>166</v>
      </c>
      <c r="AD24" s="19">
        <v>206.4</v>
      </c>
      <c r="AE24" s="33">
        <v>215</v>
      </c>
      <c r="AF24" s="19">
        <v>198.1</v>
      </c>
    </row>
    <row r="25" spans="1:32" ht="15.75" x14ac:dyDescent="0.25">
      <c r="A25" s="22">
        <v>20</v>
      </c>
      <c r="B25" s="19">
        <v>191.1</v>
      </c>
      <c r="C25" s="22">
        <v>69</v>
      </c>
      <c r="D25" s="19">
        <v>200.6</v>
      </c>
      <c r="E25" s="22">
        <f t="shared" si="0"/>
        <v>118</v>
      </c>
      <c r="F25" s="19">
        <v>170.8</v>
      </c>
      <c r="G25" s="35">
        <v>167</v>
      </c>
      <c r="H25" s="19">
        <v>198.4</v>
      </c>
      <c r="I25" s="33">
        <v>216</v>
      </c>
      <c r="J25" s="19">
        <v>185</v>
      </c>
      <c r="L25" s="22">
        <v>20</v>
      </c>
      <c r="M25" s="19">
        <v>191.1</v>
      </c>
      <c r="N25" s="22">
        <v>69</v>
      </c>
      <c r="O25" s="19"/>
      <c r="P25" s="22">
        <f t="shared" si="1"/>
        <v>118</v>
      </c>
      <c r="Q25" s="19">
        <v>170.8</v>
      </c>
      <c r="R25" s="35">
        <v>167</v>
      </c>
      <c r="S25" s="19"/>
      <c r="T25" s="33">
        <v>216</v>
      </c>
      <c r="U25" s="19"/>
      <c r="W25" s="22">
        <v>20</v>
      </c>
      <c r="X25" s="19"/>
      <c r="Y25" s="22">
        <v>69</v>
      </c>
      <c r="Z25" s="19">
        <v>200.6</v>
      </c>
      <c r="AA25" s="22">
        <f t="shared" si="2"/>
        <v>118</v>
      </c>
      <c r="AB25" s="19"/>
      <c r="AC25" s="35">
        <v>167</v>
      </c>
      <c r="AD25" s="19">
        <v>198.4</v>
      </c>
      <c r="AE25" s="33">
        <v>216</v>
      </c>
      <c r="AF25" s="19">
        <v>185</v>
      </c>
    </row>
    <row r="26" spans="1:32" ht="15.75" x14ac:dyDescent="0.25">
      <c r="A26" s="22">
        <v>21</v>
      </c>
      <c r="B26" s="19">
        <v>202.5</v>
      </c>
      <c r="C26" s="22">
        <v>70</v>
      </c>
      <c r="D26" s="19">
        <v>194.9</v>
      </c>
      <c r="E26" s="22">
        <f t="shared" si="0"/>
        <v>119</v>
      </c>
      <c r="F26" s="19">
        <v>209.4</v>
      </c>
      <c r="G26" s="35">
        <v>168</v>
      </c>
      <c r="H26" s="19">
        <v>203</v>
      </c>
      <c r="I26" s="33">
        <v>217</v>
      </c>
      <c r="J26" s="19">
        <v>200.5</v>
      </c>
      <c r="L26" s="22">
        <v>21</v>
      </c>
      <c r="M26" s="19">
        <v>202.5</v>
      </c>
      <c r="N26" s="22">
        <v>70</v>
      </c>
      <c r="O26" s="19"/>
      <c r="P26" s="22">
        <f t="shared" si="1"/>
        <v>119</v>
      </c>
      <c r="Q26" s="19">
        <v>209.4</v>
      </c>
      <c r="R26" s="35">
        <v>168</v>
      </c>
      <c r="S26" s="19"/>
      <c r="T26" s="33">
        <v>217</v>
      </c>
      <c r="U26" s="19"/>
      <c r="W26" s="22">
        <v>21</v>
      </c>
      <c r="X26" s="19"/>
      <c r="Y26" s="22">
        <v>70</v>
      </c>
      <c r="Z26" s="19">
        <v>194.9</v>
      </c>
      <c r="AA26" s="22">
        <f t="shared" si="2"/>
        <v>119</v>
      </c>
      <c r="AB26" s="19"/>
      <c r="AC26" s="35">
        <v>168</v>
      </c>
      <c r="AD26" s="19">
        <v>203</v>
      </c>
      <c r="AE26" s="33">
        <v>217</v>
      </c>
      <c r="AF26" s="19">
        <v>200.5</v>
      </c>
    </row>
    <row r="27" spans="1:32" ht="15.75" x14ac:dyDescent="0.25">
      <c r="A27" s="22">
        <v>22</v>
      </c>
      <c r="B27" s="19">
        <v>177.7</v>
      </c>
      <c r="C27" s="22">
        <v>71</v>
      </c>
      <c r="D27" s="19">
        <v>205.3</v>
      </c>
      <c r="E27" s="22">
        <f t="shared" si="0"/>
        <v>120</v>
      </c>
      <c r="F27" s="19">
        <v>193.8</v>
      </c>
      <c r="G27" s="35">
        <v>169</v>
      </c>
      <c r="H27" s="19">
        <v>207.4</v>
      </c>
      <c r="I27" s="33">
        <v>218</v>
      </c>
      <c r="J27" s="19">
        <v>204.1</v>
      </c>
      <c r="L27" s="22">
        <v>22</v>
      </c>
      <c r="M27" s="19">
        <v>177.7</v>
      </c>
      <c r="N27" s="22">
        <v>71</v>
      </c>
      <c r="O27" s="19"/>
      <c r="P27" s="22">
        <f t="shared" si="1"/>
        <v>120</v>
      </c>
      <c r="Q27" s="19">
        <v>193.8</v>
      </c>
      <c r="R27" s="35">
        <v>169</v>
      </c>
      <c r="S27" s="19"/>
      <c r="T27" s="33">
        <v>218</v>
      </c>
      <c r="U27" s="19"/>
      <c r="W27" s="22">
        <v>22</v>
      </c>
      <c r="X27" s="19"/>
      <c r="Y27" s="22">
        <v>71</v>
      </c>
      <c r="Z27" s="19">
        <v>205.3</v>
      </c>
      <c r="AA27" s="22">
        <f t="shared" si="2"/>
        <v>120</v>
      </c>
      <c r="AB27" s="19"/>
      <c r="AC27" s="35">
        <v>169</v>
      </c>
      <c r="AD27" s="19">
        <v>207.4</v>
      </c>
      <c r="AE27" s="33">
        <v>218</v>
      </c>
      <c r="AF27" s="19">
        <v>204.1</v>
      </c>
    </row>
    <row r="28" spans="1:32" ht="15.75" x14ac:dyDescent="0.25">
      <c r="A28" s="22">
        <v>23</v>
      </c>
      <c r="B28" s="19">
        <v>203.4</v>
      </c>
      <c r="C28" s="22">
        <v>72</v>
      </c>
      <c r="D28" s="19">
        <v>200.1</v>
      </c>
      <c r="E28" s="22">
        <f t="shared" si="0"/>
        <v>121</v>
      </c>
      <c r="F28" s="19">
        <v>202.4</v>
      </c>
      <c r="G28" s="35">
        <v>170</v>
      </c>
      <c r="H28" s="19">
        <v>199.6</v>
      </c>
      <c r="I28" s="33">
        <v>219</v>
      </c>
      <c r="J28" s="19">
        <v>177.5</v>
      </c>
      <c r="L28" s="22">
        <v>23</v>
      </c>
      <c r="M28" s="19">
        <v>203.4</v>
      </c>
      <c r="N28" s="22">
        <v>72</v>
      </c>
      <c r="O28" s="19"/>
      <c r="P28" s="22">
        <f t="shared" si="1"/>
        <v>121</v>
      </c>
      <c r="Q28" s="19">
        <v>202.4</v>
      </c>
      <c r="R28" s="35">
        <v>170</v>
      </c>
      <c r="S28" s="19"/>
      <c r="T28" s="33">
        <v>219</v>
      </c>
      <c r="U28" s="19"/>
      <c r="W28" s="22">
        <v>23</v>
      </c>
      <c r="X28" s="19"/>
      <c r="Y28" s="22">
        <v>72</v>
      </c>
      <c r="Z28" s="19">
        <v>200.1</v>
      </c>
      <c r="AA28" s="22">
        <f t="shared" si="2"/>
        <v>121</v>
      </c>
      <c r="AB28" s="19"/>
      <c r="AC28" s="35">
        <v>170</v>
      </c>
      <c r="AD28" s="19">
        <v>199.6</v>
      </c>
      <c r="AE28" s="33">
        <v>219</v>
      </c>
      <c r="AF28" s="19">
        <v>177.5</v>
      </c>
    </row>
    <row r="29" spans="1:32" ht="15.75" x14ac:dyDescent="0.25">
      <c r="A29" s="22">
        <v>24</v>
      </c>
      <c r="B29" s="19">
        <v>180.5</v>
      </c>
      <c r="C29" s="22">
        <v>73</v>
      </c>
      <c r="D29" s="19">
        <v>185.1</v>
      </c>
      <c r="E29" s="22">
        <f t="shared" si="0"/>
        <v>122</v>
      </c>
      <c r="F29" s="19">
        <v>204</v>
      </c>
      <c r="G29" s="35">
        <v>171</v>
      </c>
      <c r="H29" s="19">
        <v>199.2</v>
      </c>
      <c r="I29" s="33">
        <v>220</v>
      </c>
      <c r="J29" s="19">
        <v>209.8</v>
      </c>
      <c r="L29" s="22">
        <v>24</v>
      </c>
      <c r="M29" s="19">
        <v>180.5</v>
      </c>
      <c r="N29" s="22">
        <v>73</v>
      </c>
      <c r="O29" s="19"/>
      <c r="P29" s="22">
        <f t="shared" si="1"/>
        <v>122</v>
      </c>
      <c r="Q29" s="19">
        <v>204</v>
      </c>
      <c r="R29" s="35">
        <v>171</v>
      </c>
      <c r="S29" s="19"/>
      <c r="T29" s="33">
        <v>220</v>
      </c>
      <c r="U29" s="19"/>
      <c r="W29" s="22">
        <v>24</v>
      </c>
      <c r="X29" s="19"/>
      <c r="Y29" s="22">
        <v>73</v>
      </c>
      <c r="Z29" s="19">
        <v>185.1</v>
      </c>
      <c r="AA29" s="22">
        <f t="shared" si="2"/>
        <v>122</v>
      </c>
      <c r="AB29" s="19"/>
      <c r="AC29" s="35">
        <v>171</v>
      </c>
      <c r="AD29" s="19">
        <v>199.2</v>
      </c>
      <c r="AE29" s="33">
        <v>220</v>
      </c>
      <c r="AF29" s="19">
        <v>209.8</v>
      </c>
    </row>
    <row r="30" spans="1:32" ht="15.75" x14ac:dyDescent="0.25">
      <c r="A30" s="22">
        <v>25</v>
      </c>
      <c r="B30" s="19">
        <v>200.1</v>
      </c>
      <c r="C30" s="22">
        <v>74</v>
      </c>
      <c r="D30" s="19">
        <v>197.5</v>
      </c>
      <c r="E30" s="22">
        <f t="shared" si="0"/>
        <v>123</v>
      </c>
      <c r="F30" s="19">
        <v>184.9</v>
      </c>
      <c r="G30" s="35">
        <v>172</v>
      </c>
      <c r="H30" s="19">
        <v>193.5</v>
      </c>
      <c r="I30" s="20"/>
      <c r="J30" s="36"/>
      <c r="L30" s="22">
        <v>25</v>
      </c>
      <c r="M30" s="19">
        <v>200.1</v>
      </c>
      <c r="N30" s="22">
        <v>74</v>
      </c>
      <c r="O30" s="19"/>
      <c r="P30" s="22">
        <f t="shared" si="1"/>
        <v>123</v>
      </c>
      <c r="Q30" s="19">
        <v>184.9</v>
      </c>
      <c r="R30" s="35">
        <v>172</v>
      </c>
      <c r="S30" s="19"/>
      <c r="T30" s="20"/>
      <c r="U30" s="36"/>
      <c r="W30" s="22">
        <v>25</v>
      </c>
      <c r="X30" s="19"/>
      <c r="Y30" s="22">
        <v>74</v>
      </c>
      <c r="Z30" s="19">
        <v>197.5</v>
      </c>
      <c r="AA30" s="22">
        <f t="shared" si="2"/>
        <v>123</v>
      </c>
      <c r="AB30" s="19"/>
      <c r="AC30" s="35">
        <v>172</v>
      </c>
      <c r="AD30" s="19">
        <v>193.5</v>
      </c>
      <c r="AE30" s="20"/>
      <c r="AF30" s="36"/>
    </row>
    <row r="31" spans="1:32" ht="15.75" x14ac:dyDescent="0.25">
      <c r="A31" s="22">
        <v>26</v>
      </c>
      <c r="B31" s="19">
        <v>175.4</v>
      </c>
      <c r="C31" s="22">
        <v>75</v>
      </c>
      <c r="D31" s="19">
        <v>188.8</v>
      </c>
      <c r="E31" s="22">
        <f t="shared" si="0"/>
        <v>124</v>
      </c>
      <c r="F31" s="19">
        <v>209.2</v>
      </c>
      <c r="G31" s="35">
        <v>173</v>
      </c>
      <c r="H31" s="19">
        <v>201.6</v>
      </c>
      <c r="I31" s="20"/>
      <c r="J31" s="36"/>
      <c r="L31" s="22">
        <v>26</v>
      </c>
      <c r="M31" s="19">
        <v>175.4</v>
      </c>
      <c r="N31" s="22">
        <v>75</v>
      </c>
      <c r="O31" s="19"/>
      <c r="P31" s="22">
        <f t="shared" si="1"/>
        <v>124</v>
      </c>
      <c r="Q31" s="19">
        <v>209.2</v>
      </c>
      <c r="R31" s="35">
        <v>173</v>
      </c>
      <c r="S31" s="19"/>
      <c r="T31" s="20"/>
      <c r="U31" s="36"/>
      <c r="W31" s="22">
        <v>26</v>
      </c>
      <c r="X31" s="19"/>
      <c r="Y31" s="22">
        <v>75</v>
      </c>
      <c r="Z31" s="19">
        <v>188.8</v>
      </c>
      <c r="AA31" s="22">
        <f t="shared" si="2"/>
        <v>124</v>
      </c>
      <c r="AB31" s="19"/>
      <c r="AC31" s="35">
        <v>173</v>
      </c>
      <c r="AD31" s="19">
        <v>201.6</v>
      </c>
      <c r="AE31" s="20"/>
      <c r="AF31" s="36"/>
    </row>
    <row r="32" spans="1:32" ht="15.75" x14ac:dyDescent="0.25">
      <c r="A32" s="22">
        <v>27</v>
      </c>
      <c r="B32" s="19">
        <v>194.8</v>
      </c>
      <c r="C32" s="22">
        <v>76</v>
      </c>
      <c r="D32" s="19">
        <v>199.9</v>
      </c>
      <c r="E32" s="22">
        <f t="shared" si="0"/>
        <v>125</v>
      </c>
      <c r="F32" s="19">
        <v>177.6</v>
      </c>
      <c r="G32" s="33">
        <v>174</v>
      </c>
      <c r="H32" s="19">
        <v>190.2</v>
      </c>
      <c r="I32" s="21"/>
      <c r="J32" s="36"/>
      <c r="L32" s="22">
        <v>27</v>
      </c>
      <c r="M32" s="19">
        <v>194.8</v>
      </c>
      <c r="N32" s="22">
        <v>76</v>
      </c>
      <c r="O32" s="19"/>
      <c r="P32" s="22">
        <f t="shared" si="1"/>
        <v>125</v>
      </c>
      <c r="Q32" s="19">
        <v>177.6</v>
      </c>
      <c r="R32" s="33">
        <v>174</v>
      </c>
      <c r="S32" s="19"/>
      <c r="T32" s="21"/>
      <c r="U32" s="36"/>
      <c r="W32" s="22">
        <v>27</v>
      </c>
      <c r="X32" s="19"/>
      <c r="Y32" s="22">
        <v>76</v>
      </c>
      <c r="Z32" s="19">
        <v>199.9</v>
      </c>
      <c r="AA32" s="22">
        <f t="shared" si="2"/>
        <v>125</v>
      </c>
      <c r="AB32" s="19"/>
      <c r="AC32" s="33">
        <v>174</v>
      </c>
      <c r="AD32" s="19">
        <v>190.2</v>
      </c>
      <c r="AE32" s="21"/>
      <c r="AF32" s="36"/>
    </row>
    <row r="33" spans="1:32" ht="15.75" x14ac:dyDescent="0.25">
      <c r="A33" s="22">
        <v>28</v>
      </c>
      <c r="B33" s="19">
        <v>179.4</v>
      </c>
      <c r="C33" s="22">
        <v>77</v>
      </c>
      <c r="D33" s="19">
        <v>201.3</v>
      </c>
      <c r="E33" s="22">
        <f t="shared" si="0"/>
        <v>126</v>
      </c>
      <c r="F33" s="19">
        <v>201.6</v>
      </c>
      <c r="G33" s="33">
        <v>175</v>
      </c>
      <c r="H33" s="19">
        <v>205.3</v>
      </c>
      <c r="I33" s="20"/>
      <c r="J33" s="36"/>
      <c r="L33" s="22">
        <v>28</v>
      </c>
      <c r="M33" s="19">
        <v>179.4</v>
      </c>
      <c r="N33" s="22">
        <v>77</v>
      </c>
      <c r="O33" s="19"/>
      <c r="P33" s="22">
        <f t="shared" si="1"/>
        <v>126</v>
      </c>
      <c r="Q33" s="19">
        <v>201.6</v>
      </c>
      <c r="R33" s="33">
        <v>175</v>
      </c>
      <c r="S33" s="19"/>
      <c r="T33" s="20"/>
      <c r="U33" s="36"/>
      <c r="W33" s="22">
        <v>28</v>
      </c>
      <c r="X33" s="19"/>
      <c r="Y33" s="22">
        <v>77</v>
      </c>
      <c r="Z33" s="19">
        <v>201.3</v>
      </c>
      <c r="AA33" s="22">
        <f t="shared" si="2"/>
        <v>126</v>
      </c>
      <c r="AB33" s="19"/>
      <c r="AC33" s="33">
        <v>175</v>
      </c>
      <c r="AD33" s="19">
        <v>205.3</v>
      </c>
      <c r="AE33" s="20"/>
      <c r="AF33" s="36"/>
    </row>
    <row r="34" spans="1:32" ht="15.75" x14ac:dyDescent="0.25">
      <c r="A34" s="22">
        <v>29</v>
      </c>
      <c r="B34" s="19">
        <v>202.8</v>
      </c>
      <c r="C34" s="22">
        <v>78</v>
      </c>
      <c r="D34" s="19">
        <v>203.7</v>
      </c>
      <c r="E34" s="22">
        <f t="shared" si="0"/>
        <v>127</v>
      </c>
      <c r="F34" s="19">
        <v>184.1</v>
      </c>
      <c r="G34" s="33">
        <v>176</v>
      </c>
      <c r="H34" s="19">
        <v>166.1</v>
      </c>
      <c r="I34" s="20"/>
      <c r="J34" s="36"/>
      <c r="L34" s="22">
        <v>29</v>
      </c>
      <c r="M34" s="19">
        <v>202.8</v>
      </c>
      <c r="N34" s="22">
        <v>78</v>
      </c>
      <c r="O34" s="19"/>
      <c r="P34" s="22">
        <f t="shared" si="1"/>
        <v>127</v>
      </c>
      <c r="Q34" s="19">
        <v>184.1</v>
      </c>
      <c r="R34" s="33">
        <v>176</v>
      </c>
      <c r="S34" s="19"/>
      <c r="T34" s="20"/>
      <c r="U34" s="36"/>
      <c r="W34" s="22">
        <v>29</v>
      </c>
      <c r="X34" s="19"/>
      <c r="Y34" s="22">
        <v>78</v>
      </c>
      <c r="Z34" s="19">
        <v>203.7</v>
      </c>
      <c r="AA34" s="22">
        <f t="shared" si="2"/>
        <v>127</v>
      </c>
      <c r="AB34" s="19"/>
      <c r="AC34" s="33">
        <v>176</v>
      </c>
      <c r="AD34" s="19">
        <v>166.1</v>
      </c>
      <c r="AE34" s="20"/>
      <c r="AF34" s="36"/>
    </row>
    <row r="35" spans="1:32" ht="15.75" x14ac:dyDescent="0.25">
      <c r="A35" s="22">
        <v>30</v>
      </c>
      <c r="B35" s="19">
        <v>198.8</v>
      </c>
      <c r="C35" s="22">
        <v>79</v>
      </c>
      <c r="D35" s="19">
        <v>197.2</v>
      </c>
      <c r="E35" s="22">
        <f t="shared" si="0"/>
        <v>128</v>
      </c>
      <c r="F35" s="19">
        <v>205.5</v>
      </c>
      <c r="G35" s="33">
        <v>177</v>
      </c>
      <c r="H35" s="19">
        <v>204.9</v>
      </c>
      <c r="I35" s="21"/>
      <c r="J35" s="36"/>
      <c r="L35" s="22">
        <v>30</v>
      </c>
      <c r="M35" s="19">
        <v>198.8</v>
      </c>
      <c r="N35" s="22">
        <v>79</v>
      </c>
      <c r="O35" s="19"/>
      <c r="P35" s="22">
        <f t="shared" si="1"/>
        <v>128</v>
      </c>
      <c r="Q35" s="19">
        <v>205.5</v>
      </c>
      <c r="R35" s="33">
        <v>177</v>
      </c>
      <c r="S35" s="19"/>
      <c r="T35" s="21"/>
      <c r="U35" s="36"/>
      <c r="W35" s="22">
        <v>30</v>
      </c>
      <c r="X35" s="19"/>
      <c r="Y35" s="22">
        <v>79</v>
      </c>
      <c r="Z35" s="19">
        <v>197.2</v>
      </c>
      <c r="AA35" s="22">
        <f t="shared" si="2"/>
        <v>128</v>
      </c>
      <c r="AB35" s="19"/>
      <c r="AC35" s="33">
        <v>177</v>
      </c>
      <c r="AD35" s="19">
        <v>204.9</v>
      </c>
      <c r="AE35" s="21"/>
      <c r="AF35" s="36"/>
    </row>
    <row r="36" spans="1:32" ht="15.75" x14ac:dyDescent="0.25">
      <c r="A36" s="22">
        <v>31</v>
      </c>
      <c r="B36" s="19">
        <v>181.8</v>
      </c>
      <c r="C36" s="22">
        <v>80</v>
      </c>
      <c r="D36" s="19">
        <v>176.7</v>
      </c>
      <c r="E36" s="22">
        <f t="shared" si="0"/>
        <v>129</v>
      </c>
      <c r="F36" s="19">
        <v>202.8</v>
      </c>
      <c r="G36" s="33">
        <v>178</v>
      </c>
      <c r="H36" s="19">
        <v>168.7</v>
      </c>
      <c r="I36" s="20"/>
      <c r="J36" s="36"/>
      <c r="L36" s="22">
        <v>31</v>
      </c>
      <c r="M36" s="19">
        <v>181.8</v>
      </c>
      <c r="N36" s="22">
        <v>80</v>
      </c>
      <c r="O36" s="19"/>
      <c r="P36" s="22">
        <f t="shared" si="1"/>
        <v>129</v>
      </c>
      <c r="Q36" s="19">
        <v>202.8</v>
      </c>
      <c r="R36" s="33">
        <v>178</v>
      </c>
      <c r="S36" s="19"/>
      <c r="T36" s="20"/>
      <c r="U36" s="36"/>
      <c r="W36" s="22">
        <v>31</v>
      </c>
      <c r="X36" s="19"/>
      <c r="Y36" s="22">
        <v>80</v>
      </c>
      <c r="Z36" s="19">
        <v>176.7</v>
      </c>
      <c r="AA36" s="22">
        <f t="shared" si="2"/>
        <v>129</v>
      </c>
      <c r="AB36" s="19"/>
      <c r="AC36" s="33">
        <v>178</v>
      </c>
      <c r="AD36" s="19">
        <v>168.7</v>
      </c>
      <c r="AE36" s="20"/>
      <c r="AF36" s="36"/>
    </row>
    <row r="37" spans="1:32" ht="15.75" x14ac:dyDescent="0.25">
      <c r="A37" s="22">
        <v>32</v>
      </c>
      <c r="B37" s="19">
        <v>205.2</v>
      </c>
      <c r="C37" s="22">
        <v>81</v>
      </c>
      <c r="D37" s="19">
        <v>197.3</v>
      </c>
      <c r="E37" s="22">
        <f t="shared" si="0"/>
        <v>130</v>
      </c>
      <c r="F37" s="19">
        <v>181.8</v>
      </c>
      <c r="G37" s="33">
        <v>179</v>
      </c>
      <c r="H37" s="19">
        <v>207.3</v>
      </c>
      <c r="I37" s="20"/>
      <c r="J37" s="36"/>
      <c r="L37" s="22">
        <v>32</v>
      </c>
      <c r="M37" s="19">
        <v>205.2</v>
      </c>
      <c r="N37" s="22">
        <v>81</v>
      </c>
      <c r="O37" s="19"/>
      <c r="P37" s="22">
        <f t="shared" si="1"/>
        <v>130</v>
      </c>
      <c r="Q37" s="19">
        <v>181.8</v>
      </c>
      <c r="R37" s="33">
        <v>179</v>
      </c>
      <c r="S37" s="19"/>
      <c r="T37" s="20"/>
      <c r="U37" s="36"/>
      <c r="W37" s="22">
        <v>32</v>
      </c>
      <c r="X37" s="19"/>
      <c r="Y37" s="22">
        <v>81</v>
      </c>
      <c r="Z37" s="19">
        <v>197.3</v>
      </c>
      <c r="AA37" s="22">
        <f t="shared" si="2"/>
        <v>130</v>
      </c>
      <c r="AB37" s="19"/>
      <c r="AC37" s="33">
        <v>179</v>
      </c>
      <c r="AD37" s="19">
        <v>207.3</v>
      </c>
      <c r="AE37" s="20"/>
      <c r="AF37" s="36"/>
    </row>
    <row r="38" spans="1:32" ht="15.75" x14ac:dyDescent="0.25">
      <c r="A38" s="22">
        <v>33</v>
      </c>
      <c r="B38" s="19">
        <v>206.1</v>
      </c>
      <c r="C38" s="22">
        <v>82</v>
      </c>
      <c r="D38" s="19">
        <v>197.9</v>
      </c>
      <c r="E38" s="22">
        <f t="shared" si="0"/>
        <v>131</v>
      </c>
      <c r="F38" s="19">
        <v>208</v>
      </c>
      <c r="G38" s="33">
        <v>180</v>
      </c>
      <c r="H38" s="19">
        <v>197.5</v>
      </c>
      <c r="I38" s="21"/>
      <c r="J38" s="36"/>
      <c r="L38" s="22">
        <v>33</v>
      </c>
      <c r="M38" s="19">
        <v>206.1</v>
      </c>
      <c r="N38" s="22">
        <v>82</v>
      </c>
      <c r="O38" s="19"/>
      <c r="P38" s="22">
        <f t="shared" si="1"/>
        <v>131</v>
      </c>
      <c r="Q38" s="19">
        <v>208</v>
      </c>
      <c r="R38" s="33">
        <v>180</v>
      </c>
      <c r="S38" s="19"/>
      <c r="T38" s="21"/>
      <c r="U38" s="36"/>
      <c r="W38" s="22">
        <v>33</v>
      </c>
      <c r="X38" s="19"/>
      <c r="Y38" s="22">
        <v>82</v>
      </c>
      <c r="Z38" s="19">
        <v>197.9</v>
      </c>
      <c r="AA38" s="22">
        <f t="shared" si="2"/>
        <v>131</v>
      </c>
      <c r="AB38" s="19"/>
      <c r="AC38" s="33">
        <v>180</v>
      </c>
      <c r="AD38" s="19">
        <v>197.5</v>
      </c>
      <c r="AE38" s="21"/>
      <c r="AF38" s="36"/>
    </row>
    <row r="39" spans="1:32" ht="15.75" x14ac:dyDescent="0.25">
      <c r="A39" s="22">
        <v>34</v>
      </c>
      <c r="B39" s="19">
        <v>190.3</v>
      </c>
      <c r="C39" s="22">
        <v>83</v>
      </c>
      <c r="D39" s="19">
        <v>193.6</v>
      </c>
      <c r="E39" s="22">
        <f t="shared" si="0"/>
        <v>132</v>
      </c>
      <c r="F39" s="19">
        <v>170.2</v>
      </c>
      <c r="G39" s="33">
        <v>181</v>
      </c>
      <c r="H39" s="19">
        <v>206.5</v>
      </c>
      <c r="I39" s="21"/>
      <c r="J39" s="36"/>
      <c r="L39" s="22">
        <v>34</v>
      </c>
      <c r="M39" s="19">
        <v>190.3</v>
      </c>
      <c r="N39" s="22">
        <v>83</v>
      </c>
      <c r="O39" s="19"/>
      <c r="P39" s="22">
        <f t="shared" si="1"/>
        <v>132</v>
      </c>
      <c r="Q39" s="19">
        <v>170.2</v>
      </c>
      <c r="R39" s="33">
        <v>181</v>
      </c>
      <c r="S39" s="19"/>
      <c r="T39" s="21"/>
      <c r="U39" s="36"/>
      <c r="W39" s="22">
        <v>34</v>
      </c>
      <c r="X39" s="19"/>
      <c r="Y39" s="22">
        <v>83</v>
      </c>
      <c r="Z39" s="19">
        <v>193.6</v>
      </c>
      <c r="AA39" s="22">
        <f t="shared" si="2"/>
        <v>132</v>
      </c>
      <c r="AB39" s="19"/>
      <c r="AC39" s="33">
        <v>181</v>
      </c>
      <c r="AD39" s="19">
        <v>206.5</v>
      </c>
      <c r="AE39" s="21"/>
      <c r="AF39" s="36"/>
    </row>
    <row r="40" spans="1:32" ht="15.75" x14ac:dyDescent="0.25">
      <c r="A40" s="22">
        <v>35</v>
      </c>
      <c r="B40" s="19">
        <v>202.9</v>
      </c>
      <c r="C40" s="22">
        <v>84</v>
      </c>
      <c r="D40" s="19">
        <v>202.7</v>
      </c>
      <c r="E40" s="22">
        <f t="shared" si="0"/>
        <v>133</v>
      </c>
      <c r="F40" s="19">
        <v>204.3</v>
      </c>
      <c r="G40" s="33">
        <v>182</v>
      </c>
      <c r="H40" s="19">
        <v>185.1</v>
      </c>
      <c r="I40" s="20"/>
      <c r="J40" s="36"/>
      <c r="L40" s="22">
        <v>35</v>
      </c>
      <c r="M40" s="19">
        <v>202.9</v>
      </c>
      <c r="N40" s="22">
        <v>84</v>
      </c>
      <c r="O40" s="19"/>
      <c r="P40" s="22">
        <f t="shared" si="1"/>
        <v>133</v>
      </c>
      <c r="Q40" s="19">
        <v>204.3</v>
      </c>
      <c r="R40" s="33">
        <v>182</v>
      </c>
      <c r="S40" s="19"/>
      <c r="T40" s="20"/>
      <c r="U40" s="36"/>
      <c r="W40" s="22">
        <v>35</v>
      </c>
      <c r="X40" s="19"/>
      <c r="Y40" s="22">
        <v>84</v>
      </c>
      <c r="Z40" s="19">
        <v>202.7</v>
      </c>
      <c r="AA40" s="22">
        <f t="shared" si="2"/>
        <v>133</v>
      </c>
      <c r="AB40" s="19"/>
      <c r="AC40" s="33">
        <v>182</v>
      </c>
      <c r="AD40" s="19">
        <v>185.1</v>
      </c>
      <c r="AE40" s="20"/>
      <c r="AF40" s="36"/>
    </row>
    <row r="41" spans="1:32" ht="15.75" x14ac:dyDescent="0.25">
      <c r="A41" s="22">
        <v>36</v>
      </c>
      <c r="B41" s="19">
        <v>172</v>
      </c>
      <c r="C41" s="22">
        <v>85</v>
      </c>
      <c r="D41" s="19">
        <v>190</v>
      </c>
      <c r="E41" s="22">
        <f t="shared" si="0"/>
        <v>134</v>
      </c>
      <c r="F41" s="19">
        <v>208.9</v>
      </c>
      <c r="G41" s="33">
        <v>183</v>
      </c>
      <c r="H41" s="19">
        <v>206</v>
      </c>
      <c r="I41" s="20"/>
      <c r="J41" s="36"/>
      <c r="L41" s="22">
        <v>36</v>
      </c>
      <c r="M41" s="19">
        <v>172</v>
      </c>
      <c r="N41" s="22">
        <v>85</v>
      </c>
      <c r="O41" s="19"/>
      <c r="P41" s="22">
        <f t="shared" si="1"/>
        <v>134</v>
      </c>
      <c r="Q41" s="19">
        <v>208.9</v>
      </c>
      <c r="R41" s="33">
        <v>183</v>
      </c>
      <c r="S41" s="19"/>
      <c r="T41" s="20"/>
      <c r="U41" s="36"/>
      <c r="W41" s="22">
        <v>36</v>
      </c>
      <c r="X41" s="19"/>
      <c r="Y41" s="22">
        <v>85</v>
      </c>
      <c r="Z41" s="19">
        <v>190</v>
      </c>
      <c r="AA41" s="22">
        <f t="shared" si="2"/>
        <v>134</v>
      </c>
      <c r="AB41" s="19"/>
      <c r="AC41" s="33">
        <v>183</v>
      </c>
      <c r="AD41" s="19">
        <v>206</v>
      </c>
      <c r="AE41" s="20"/>
      <c r="AF41" s="36"/>
    </row>
    <row r="42" spans="1:32" ht="15.75" x14ac:dyDescent="0.25">
      <c r="A42" s="22">
        <v>37</v>
      </c>
      <c r="B42" s="19">
        <v>200.2</v>
      </c>
      <c r="C42" s="22">
        <v>86</v>
      </c>
      <c r="D42" s="19">
        <v>195.5</v>
      </c>
      <c r="E42" s="22">
        <f t="shared" si="0"/>
        <v>135</v>
      </c>
      <c r="F42" s="19">
        <v>190.7</v>
      </c>
      <c r="G42" s="33">
        <v>184</v>
      </c>
      <c r="H42" s="19">
        <v>189.7</v>
      </c>
      <c r="I42" s="21"/>
      <c r="J42" s="36"/>
      <c r="L42" s="22">
        <v>37</v>
      </c>
      <c r="M42" s="19">
        <v>200.2</v>
      </c>
      <c r="N42" s="22">
        <v>86</v>
      </c>
      <c r="O42" s="19"/>
      <c r="P42" s="22">
        <f t="shared" si="1"/>
        <v>135</v>
      </c>
      <c r="Q42" s="19">
        <v>190.7</v>
      </c>
      <c r="R42" s="33">
        <v>184</v>
      </c>
      <c r="S42" s="19"/>
      <c r="T42" s="21"/>
      <c r="U42" s="36"/>
      <c r="W42" s="22">
        <v>37</v>
      </c>
      <c r="X42" s="19"/>
      <c r="Y42" s="22">
        <v>86</v>
      </c>
      <c r="Z42" s="19">
        <v>195.5</v>
      </c>
      <c r="AA42" s="22">
        <f t="shared" si="2"/>
        <v>135</v>
      </c>
      <c r="AB42" s="19"/>
      <c r="AC42" s="33">
        <v>184</v>
      </c>
      <c r="AD42" s="19">
        <v>189.7</v>
      </c>
      <c r="AE42" s="21"/>
      <c r="AF42" s="36"/>
    </row>
    <row r="43" spans="1:32" ht="15.75" x14ac:dyDescent="0.25">
      <c r="A43" s="22">
        <v>38</v>
      </c>
      <c r="B43" s="19">
        <v>209.1</v>
      </c>
      <c r="C43" s="22">
        <v>87</v>
      </c>
      <c r="D43" s="19">
        <v>187.8</v>
      </c>
      <c r="E43" s="22">
        <f t="shared" si="0"/>
        <v>136</v>
      </c>
      <c r="F43" s="19">
        <v>206.6</v>
      </c>
      <c r="G43" s="33">
        <v>185</v>
      </c>
      <c r="H43" s="19">
        <v>205.3</v>
      </c>
      <c r="I43" s="20"/>
      <c r="J43" s="36"/>
      <c r="L43" s="22">
        <v>38</v>
      </c>
      <c r="M43" s="19">
        <v>209.1</v>
      </c>
      <c r="N43" s="22">
        <v>87</v>
      </c>
      <c r="O43" s="19"/>
      <c r="P43" s="22">
        <f t="shared" si="1"/>
        <v>136</v>
      </c>
      <c r="Q43" s="19">
        <v>206.6</v>
      </c>
      <c r="R43" s="33">
        <v>185</v>
      </c>
      <c r="S43" s="19"/>
      <c r="T43" s="20"/>
      <c r="U43" s="36"/>
      <c r="W43" s="22">
        <v>38</v>
      </c>
      <c r="X43" s="19"/>
      <c r="Y43" s="22">
        <v>87</v>
      </c>
      <c r="Z43" s="19">
        <v>187.8</v>
      </c>
      <c r="AA43" s="22">
        <f t="shared" si="2"/>
        <v>136</v>
      </c>
      <c r="AB43" s="19"/>
      <c r="AC43" s="33">
        <v>185</v>
      </c>
      <c r="AD43" s="19">
        <v>205.3</v>
      </c>
      <c r="AE43" s="20"/>
      <c r="AF43" s="36"/>
    </row>
    <row r="44" spans="1:32" ht="15.75" x14ac:dyDescent="0.25">
      <c r="A44" s="22">
        <v>39</v>
      </c>
      <c r="B44" s="19">
        <v>171.9</v>
      </c>
      <c r="C44" s="22">
        <v>88</v>
      </c>
      <c r="D44" s="19">
        <v>206.6</v>
      </c>
      <c r="E44" s="22">
        <f t="shared" si="0"/>
        <v>137</v>
      </c>
      <c r="F44" s="19">
        <v>181.5</v>
      </c>
      <c r="G44" s="33">
        <v>186</v>
      </c>
      <c r="H44" s="19">
        <v>187.1</v>
      </c>
      <c r="I44" s="20"/>
      <c r="J44" s="36"/>
      <c r="L44" s="22">
        <v>39</v>
      </c>
      <c r="M44" s="19">
        <v>171.9</v>
      </c>
      <c r="N44" s="22">
        <v>88</v>
      </c>
      <c r="O44" s="19"/>
      <c r="P44" s="22">
        <f t="shared" si="1"/>
        <v>137</v>
      </c>
      <c r="Q44" s="19">
        <v>181.5</v>
      </c>
      <c r="R44" s="33">
        <v>186</v>
      </c>
      <c r="S44" s="19"/>
      <c r="T44" s="20"/>
      <c r="U44" s="36"/>
      <c r="W44" s="22">
        <v>39</v>
      </c>
      <c r="X44" s="19"/>
      <c r="Y44" s="22">
        <v>88</v>
      </c>
      <c r="Z44" s="19">
        <v>206.6</v>
      </c>
      <c r="AA44" s="22">
        <f t="shared" si="2"/>
        <v>137</v>
      </c>
      <c r="AB44" s="19"/>
      <c r="AC44" s="33">
        <v>186</v>
      </c>
      <c r="AD44" s="19">
        <v>187.1</v>
      </c>
      <c r="AE44" s="20"/>
      <c r="AF44" s="36"/>
    </row>
    <row r="45" spans="1:32" ht="15.75" x14ac:dyDescent="0.25">
      <c r="A45" s="22">
        <v>40</v>
      </c>
      <c r="B45" s="19">
        <v>211.7</v>
      </c>
      <c r="C45" s="22">
        <v>89</v>
      </c>
      <c r="D45" s="19">
        <v>201.1</v>
      </c>
      <c r="E45" s="22">
        <f t="shared" si="0"/>
        <v>138</v>
      </c>
      <c r="F45" s="19">
        <v>204.5</v>
      </c>
      <c r="G45" s="33">
        <v>187</v>
      </c>
      <c r="H45" s="19">
        <v>203</v>
      </c>
      <c r="I45" s="21"/>
      <c r="J45" s="36"/>
      <c r="L45" s="22">
        <v>40</v>
      </c>
      <c r="M45" s="19">
        <v>211.7</v>
      </c>
      <c r="N45" s="22">
        <v>89</v>
      </c>
      <c r="O45" s="19"/>
      <c r="P45" s="22">
        <f t="shared" si="1"/>
        <v>138</v>
      </c>
      <c r="Q45" s="19">
        <v>204.5</v>
      </c>
      <c r="R45" s="33">
        <v>187</v>
      </c>
      <c r="S45" s="19"/>
      <c r="T45" s="21"/>
      <c r="U45" s="36"/>
      <c r="W45" s="22">
        <v>40</v>
      </c>
      <c r="X45" s="19"/>
      <c r="Y45" s="22">
        <v>89</v>
      </c>
      <c r="Z45" s="19">
        <v>201.1</v>
      </c>
      <c r="AA45" s="22">
        <f t="shared" si="2"/>
        <v>138</v>
      </c>
      <c r="AB45" s="19"/>
      <c r="AC45" s="33">
        <v>187</v>
      </c>
      <c r="AD45" s="19">
        <v>203</v>
      </c>
      <c r="AE45" s="21"/>
      <c r="AF45" s="36"/>
    </row>
    <row r="46" spans="1:32" ht="15.75" x14ac:dyDescent="0.25">
      <c r="A46" s="22">
        <v>41</v>
      </c>
      <c r="B46" s="19">
        <v>195.9</v>
      </c>
      <c r="C46" s="22">
        <v>90</v>
      </c>
      <c r="D46" s="19">
        <v>201.4</v>
      </c>
      <c r="E46" s="22">
        <f t="shared" si="0"/>
        <v>139</v>
      </c>
      <c r="F46" s="19">
        <v>201.9</v>
      </c>
      <c r="G46" s="33">
        <v>188</v>
      </c>
      <c r="H46" s="19">
        <v>206</v>
      </c>
      <c r="I46" s="20"/>
      <c r="J46" s="36"/>
      <c r="L46" s="22">
        <v>41</v>
      </c>
      <c r="M46" s="19">
        <v>195.9</v>
      </c>
      <c r="N46" s="22">
        <v>90</v>
      </c>
      <c r="O46" s="19"/>
      <c r="P46" s="22">
        <f t="shared" si="1"/>
        <v>139</v>
      </c>
      <c r="Q46" s="19">
        <v>201.9</v>
      </c>
      <c r="R46" s="33">
        <v>188</v>
      </c>
      <c r="S46" s="19"/>
      <c r="T46" s="20"/>
      <c r="U46" s="36"/>
      <c r="W46" s="22">
        <v>41</v>
      </c>
      <c r="X46" s="19"/>
      <c r="Y46" s="22">
        <v>90</v>
      </c>
      <c r="Z46" s="19">
        <v>201.4</v>
      </c>
      <c r="AA46" s="22">
        <f t="shared" si="2"/>
        <v>139</v>
      </c>
      <c r="AB46" s="19"/>
      <c r="AC46" s="33">
        <v>188</v>
      </c>
      <c r="AD46" s="19">
        <v>206</v>
      </c>
      <c r="AE46" s="20"/>
      <c r="AF46" s="36"/>
    </row>
    <row r="47" spans="1:32" ht="15.75" x14ac:dyDescent="0.25">
      <c r="A47" s="22">
        <v>42</v>
      </c>
      <c r="B47" s="19">
        <v>201.1</v>
      </c>
      <c r="C47" s="22">
        <v>91</v>
      </c>
      <c r="D47" s="19">
        <v>206.6</v>
      </c>
      <c r="E47" s="22">
        <f t="shared" si="0"/>
        <v>140</v>
      </c>
      <c r="F47" s="19">
        <v>177.3</v>
      </c>
      <c r="G47" s="33">
        <v>189</v>
      </c>
      <c r="H47" s="19">
        <v>187.4</v>
      </c>
      <c r="I47" s="20"/>
      <c r="J47" s="36"/>
      <c r="L47" s="22">
        <v>42</v>
      </c>
      <c r="M47" s="19">
        <v>201.1</v>
      </c>
      <c r="N47" s="22">
        <v>91</v>
      </c>
      <c r="O47" s="19">
        <v>206.6</v>
      </c>
      <c r="P47" s="22">
        <f t="shared" si="1"/>
        <v>140</v>
      </c>
      <c r="Q47" s="19">
        <v>177.3</v>
      </c>
      <c r="R47" s="33">
        <v>189</v>
      </c>
      <c r="S47" s="19"/>
      <c r="T47" s="20"/>
      <c r="U47" s="36"/>
      <c r="W47" s="22">
        <v>42</v>
      </c>
      <c r="X47" s="19"/>
      <c r="Y47" s="22">
        <v>91</v>
      </c>
      <c r="Z47" s="19"/>
      <c r="AA47" s="22">
        <f t="shared" si="2"/>
        <v>140</v>
      </c>
      <c r="AB47" s="19"/>
      <c r="AC47" s="33">
        <v>189</v>
      </c>
      <c r="AD47" s="19">
        <v>187.4</v>
      </c>
      <c r="AE47" s="20"/>
      <c r="AF47" s="36"/>
    </row>
    <row r="48" spans="1:32" ht="15.75" x14ac:dyDescent="0.25">
      <c r="A48" s="22">
        <v>43</v>
      </c>
      <c r="B48" s="19">
        <v>207.3</v>
      </c>
      <c r="C48" s="22">
        <v>92</v>
      </c>
      <c r="D48" s="19">
        <v>179</v>
      </c>
      <c r="E48" s="22">
        <f t="shared" si="0"/>
        <v>141</v>
      </c>
      <c r="F48" s="19">
        <v>203.4</v>
      </c>
      <c r="G48" s="33">
        <v>190</v>
      </c>
      <c r="H48" s="19">
        <v>196.6</v>
      </c>
      <c r="I48" s="21"/>
      <c r="J48" s="36"/>
      <c r="L48" s="22">
        <v>43</v>
      </c>
      <c r="M48" s="19">
        <v>207.3</v>
      </c>
      <c r="N48" s="22">
        <v>92</v>
      </c>
      <c r="O48" s="19">
        <v>179</v>
      </c>
      <c r="P48" s="22">
        <f t="shared" si="1"/>
        <v>141</v>
      </c>
      <c r="Q48" s="19">
        <v>203.4</v>
      </c>
      <c r="R48" s="33">
        <v>190</v>
      </c>
      <c r="S48" s="19"/>
      <c r="T48" s="21"/>
      <c r="U48" s="36"/>
      <c r="W48" s="22">
        <v>43</v>
      </c>
      <c r="X48" s="19"/>
      <c r="Y48" s="22">
        <v>92</v>
      </c>
      <c r="Z48" s="19"/>
      <c r="AA48" s="22">
        <f t="shared" si="2"/>
        <v>141</v>
      </c>
      <c r="AB48" s="19"/>
      <c r="AC48" s="33">
        <v>190</v>
      </c>
      <c r="AD48" s="19">
        <v>196.6</v>
      </c>
      <c r="AE48" s="21"/>
      <c r="AF48" s="36"/>
    </row>
    <row r="49" spans="1:32" ht="15.75" x14ac:dyDescent="0.25">
      <c r="A49" s="22">
        <v>44</v>
      </c>
      <c r="B49" s="19">
        <v>172.1</v>
      </c>
      <c r="C49" s="22">
        <v>93</v>
      </c>
      <c r="D49" s="19">
        <v>209</v>
      </c>
      <c r="E49" s="22">
        <f t="shared" si="0"/>
        <v>142</v>
      </c>
      <c r="F49" s="19">
        <v>194.1</v>
      </c>
      <c r="G49" s="33">
        <v>191</v>
      </c>
      <c r="H49" s="19">
        <v>182.3</v>
      </c>
      <c r="I49" s="21"/>
      <c r="J49" s="36"/>
      <c r="L49" s="22">
        <v>44</v>
      </c>
      <c r="M49" s="19">
        <v>172.1</v>
      </c>
      <c r="N49" s="22">
        <v>93</v>
      </c>
      <c r="O49" s="19">
        <v>209</v>
      </c>
      <c r="P49" s="22">
        <f t="shared" si="1"/>
        <v>142</v>
      </c>
      <c r="Q49" s="19"/>
      <c r="R49" s="33">
        <v>191</v>
      </c>
      <c r="S49" s="19"/>
      <c r="T49" s="21"/>
      <c r="U49" s="36"/>
      <c r="W49" s="22">
        <v>44</v>
      </c>
      <c r="X49" s="19"/>
      <c r="Y49" s="22">
        <v>93</v>
      </c>
      <c r="Z49" s="19"/>
      <c r="AA49" s="22">
        <f t="shared" si="2"/>
        <v>142</v>
      </c>
      <c r="AB49" s="19">
        <v>194.1</v>
      </c>
      <c r="AC49" s="33">
        <v>191</v>
      </c>
      <c r="AD49" s="19">
        <v>182.3</v>
      </c>
      <c r="AE49" s="21"/>
      <c r="AF49" s="36"/>
    </row>
    <row r="50" spans="1:32" ht="15.75" x14ac:dyDescent="0.25">
      <c r="A50" s="22">
        <v>45</v>
      </c>
      <c r="B50" s="19">
        <v>211.3</v>
      </c>
      <c r="C50" s="22">
        <v>94</v>
      </c>
      <c r="D50" s="19">
        <v>199.3</v>
      </c>
      <c r="E50" s="22">
        <f t="shared" si="0"/>
        <v>143</v>
      </c>
      <c r="F50" s="19">
        <v>203.7</v>
      </c>
      <c r="G50" s="33">
        <v>192</v>
      </c>
      <c r="H50" s="19">
        <v>203.1</v>
      </c>
      <c r="I50" s="20"/>
      <c r="J50" s="36"/>
      <c r="L50" s="22">
        <v>45</v>
      </c>
      <c r="M50" s="19">
        <v>211.3</v>
      </c>
      <c r="N50" s="22">
        <v>94</v>
      </c>
      <c r="O50" s="19">
        <v>199.3</v>
      </c>
      <c r="P50" s="22">
        <f t="shared" si="1"/>
        <v>143</v>
      </c>
      <c r="Q50" s="19"/>
      <c r="R50" s="33">
        <v>192</v>
      </c>
      <c r="S50" s="19"/>
      <c r="T50" s="20"/>
      <c r="U50" s="36"/>
      <c r="W50" s="22">
        <v>45</v>
      </c>
      <c r="X50" s="19"/>
      <c r="Y50" s="22">
        <v>94</v>
      </c>
      <c r="Z50" s="19"/>
      <c r="AA50" s="22">
        <f t="shared" si="2"/>
        <v>143</v>
      </c>
      <c r="AB50" s="19">
        <v>203.7</v>
      </c>
      <c r="AC50" s="33">
        <v>192</v>
      </c>
      <c r="AD50" s="19">
        <v>203.1</v>
      </c>
      <c r="AE50" s="20"/>
      <c r="AF50" s="36"/>
    </row>
    <row r="51" spans="1:32" ht="15.75" x14ac:dyDescent="0.25">
      <c r="A51" s="22">
        <v>46</v>
      </c>
      <c r="B51" s="19">
        <v>201.3</v>
      </c>
      <c r="C51" s="22">
        <v>95</v>
      </c>
      <c r="D51" s="19">
        <v>170.7</v>
      </c>
      <c r="E51" s="22">
        <f t="shared" si="0"/>
        <v>144</v>
      </c>
      <c r="F51" s="19">
        <v>204.8</v>
      </c>
      <c r="G51" s="33">
        <v>193</v>
      </c>
      <c r="H51" s="19">
        <v>200.1</v>
      </c>
      <c r="I51" s="20"/>
      <c r="J51" s="36"/>
      <c r="L51" s="22">
        <v>46</v>
      </c>
      <c r="M51" s="19">
        <v>201.3</v>
      </c>
      <c r="N51" s="22">
        <v>95</v>
      </c>
      <c r="O51" s="19">
        <v>170.7</v>
      </c>
      <c r="P51" s="22">
        <f t="shared" si="1"/>
        <v>144</v>
      </c>
      <c r="Q51" s="19"/>
      <c r="R51" s="33">
        <v>193</v>
      </c>
      <c r="S51" s="19"/>
      <c r="T51" s="20"/>
      <c r="U51" s="36"/>
      <c r="W51" s="22">
        <v>46</v>
      </c>
      <c r="X51" s="19"/>
      <c r="Y51" s="22">
        <v>95</v>
      </c>
      <c r="Z51" s="19"/>
      <c r="AA51" s="22">
        <f t="shared" si="2"/>
        <v>144</v>
      </c>
      <c r="AB51" s="19">
        <v>204.8</v>
      </c>
      <c r="AC51" s="33">
        <v>193</v>
      </c>
      <c r="AD51" s="19">
        <v>200.1</v>
      </c>
      <c r="AE51" s="20"/>
      <c r="AF51" s="36"/>
    </row>
    <row r="52" spans="1:32" ht="15.75" x14ac:dyDescent="0.25">
      <c r="A52" s="22">
        <v>47</v>
      </c>
      <c r="B52" s="19">
        <v>205.8</v>
      </c>
      <c r="C52" s="22">
        <v>96</v>
      </c>
      <c r="D52" s="19">
        <v>204.4</v>
      </c>
      <c r="E52" s="22">
        <f t="shared" si="0"/>
        <v>145</v>
      </c>
      <c r="F52" s="19">
        <v>179.8</v>
      </c>
      <c r="G52" s="33">
        <v>194</v>
      </c>
      <c r="H52" s="19">
        <v>202.3</v>
      </c>
      <c r="I52" s="21"/>
      <c r="J52" s="36"/>
      <c r="L52" s="22">
        <v>47</v>
      </c>
      <c r="M52" s="19">
        <v>205.8</v>
      </c>
      <c r="N52" s="22">
        <v>96</v>
      </c>
      <c r="O52" s="19">
        <v>204.4</v>
      </c>
      <c r="P52" s="22">
        <f t="shared" si="1"/>
        <v>145</v>
      </c>
      <c r="Q52" s="19"/>
      <c r="R52" s="33">
        <v>194</v>
      </c>
      <c r="S52" s="19"/>
      <c r="T52" s="21"/>
      <c r="U52" s="36"/>
      <c r="W52" s="22">
        <v>47</v>
      </c>
      <c r="X52" s="19"/>
      <c r="Y52" s="22">
        <v>96</v>
      </c>
      <c r="Z52" s="19"/>
      <c r="AA52" s="22">
        <f t="shared" si="2"/>
        <v>145</v>
      </c>
      <c r="AB52" s="19">
        <v>179.8</v>
      </c>
      <c r="AC52" s="33">
        <v>194</v>
      </c>
      <c r="AD52" s="19">
        <v>202.3</v>
      </c>
      <c r="AE52" s="21"/>
      <c r="AF52" s="36"/>
    </row>
    <row r="53" spans="1:32" ht="15.75" x14ac:dyDescent="0.25">
      <c r="A53" s="22">
        <v>48</v>
      </c>
      <c r="B53" s="19">
        <v>206.4</v>
      </c>
      <c r="C53" s="22">
        <v>97</v>
      </c>
      <c r="D53" s="19">
        <v>198.1</v>
      </c>
      <c r="E53" s="22">
        <f t="shared" si="0"/>
        <v>146</v>
      </c>
      <c r="F53" s="19">
        <v>201</v>
      </c>
      <c r="G53" s="33">
        <v>195</v>
      </c>
      <c r="H53" s="19">
        <v>206.8</v>
      </c>
      <c r="I53" s="20"/>
      <c r="J53" s="36"/>
      <c r="L53" s="22">
        <v>48</v>
      </c>
      <c r="M53" s="19">
        <v>206.4</v>
      </c>
      <c r="N53" s="22">
        <v>97</v>
      </c>
      <c r="O53" s="19">
        <v>198.1</v>
      </c>
      <c r="P53" s="22">
        <f t="shared" si="1"/>
        <v>146</v>
      </c>
      <c r="Q53" s="19"/>
      <c r="R53" s="33">
        <v>195</v>
      </c>
      <c r="S53" s="19"/>
      <c r="T53" s="20"/>
      <c r="U53" s="36"/>
      <c r="W53" s="22">
        <v>48</v>
      </c>
      <c r="X53" s="19"/>
      <c r="Y53" s="22">
        <v>97</v>
      </c>
      <c r="Z53" s="19"/>
      <c r="AA53" s="22">
        <f t="shared" si="2"/>
        <v>146</v>
      </c>
      <c r="AB53" s="19">
        <v>201</v>
      </c>
      <c r="AC53" s="33">
        <v>195</v>
      </c>
      <c r="AD53" s="19">
        <v>206.8</v>
      </c>
      <c r="AE53" s="20"/>
      <c r="AF53" s="36"/>
    </row>
    <row r="54" spans="1:32" ht="15.75" x14ac:dyDescent="0.25">
      <c r="A54" s="37">
        <v>49</v>
      </c>
      <c r="B54" s="19">
        <v>183.3</v>
      </c>
      <c r="C54" s="37">
        <v>98</v>
      </c>
      <c r="D54" s="19">
        <v>206.4</v>
      </c>
      <c r="E54" s="22">
        <f t="shared" si="0"/>
        <v>147</v>
      </c>
      <c r="F54" s="19">
        <v>167.3</v>
      </c>
      <c r="G54" s="38">
        <v>196</v>
      </c>
      <c r="H54" s="19">
        <v>205.3</v>
      </c>
      <c r="I54" s="39"/>
      <c r="J54" s="40"/>
      <c r="L54" s="37">
        <v>49</v>
      </c>
      <c r="M54" s="19">
        <v>183.3</v>
      </c>
      <c r="N54" s="37">
        <v>98</v>
      </c>
      <c r="O54" s="19">
        <v>206.4</v>
      </c>
      <c r="P54" s="22">
        <f t="shared" si="1"/>
        <v>147</v>
      </c>
      <c r="Q54" s="19"/>
      <c r="R54" s="38">
        <v>196</v>
      </c>
      <c r="S54" s="19"/>
      <c r="T54" s="39"/>
      <c r="U54" s="40"/>
      <c r="W54" s="37">
        <v>49</v>
      </c>
      <c r="X54" s="19"/>
      <c r="Y54" s="37">
        <v>98</v>
      </c>
      <c r="Z54" s="19"/>
      <c r="AA54" s="22">
        <f t="shared" si="2"/>
        <v>147</v>
      </c>
      <c r="AB54" s="19">
        <v>167.3</v>
      </c>
      <c r="AC54" s="38">
        <v>196</v>
      </c>
      <c r="AD54" s="19">
        <v>205.3</v>
      </c>
      <c r="AE54" s="39"/>
      <c r="AF54" s="40"/>
    </row>
    <row r="55" spans="1:32" ht="15.75" x14ac:dyDescent="0.25">
      <c r="A55" s="41"/>
      <c r="B55" s="23">
        <f>SUM(B6:B54)</f>
        <v>9602.6999999999953</v>
      </c>
      <c r="C55" s="23"/>
      <c r="D55" s="23">
        <f>SUM(D6:D54)</f>
        <v>9586.7999999999993</v>
      </c>
      <c r="E55" s="23"/>
      <c r="F55" s="23">
        <f>SUM(F6:F54)</f>
        <v>9543.3999999999978</v>
      </c>
      <c r="G55" s="23"/>
      <c r="H55" s="23">
        <f>SUM(H6:H54)</f>
        <v>9616.4</v>
      </c>
      <c r="I55" s="41"/>
      <c r="J55" s="41">
        <f>SUM(J6:J54)</f>
        <v>4755.3</v>
      </c>
      <c r="L55" s="41"/>
      <c r="M55" s="23">
        <f>SUM(M6:M54)</f>
        <v>9602.6999999999953</v>
      </c>
      <c r="N55" s="23"/>
      <c r="O55" s="23">
        <f>SUM(O6:O54)</f>
        <v>1774.8000000000002</v>
      </c>
      <c r="P55" s="23"/>
      <c r="Q55" s="23">
        <f>SUM(Q6:Q54)</f>
        <v>8392.6999999999989</v>
      </c>
      <c r="R55" s="23"/>
      <c r="S55" s="23">
        <f>SUM(S6:S54)</f>
        <v>0</v>
      </c>
      <c r="T55" s="41"/>
      <c r="U55" s="41">
        <f>SUM(U6:U54)</f>
        <v>0</v>
      </c>
      <c r="W55" s="41"/>
      <c r="X55" s="23">
        <f>SUM(X6:X54)</f>
        <v>0</v>
      </c>
      <c r="Y55" s="23"/>
      <c r="Z55" s="23">
        <f>SUM(Z6:Z54)</f>
        <v>7812</v>
      </c>
      <c r="AA55" s="23"/>
      <c r="AB55" s="23">
        <f>SUM(AB6:AB54)</f>
        <v>1150.6999999999998</v>
      </c>
      <c r="AC55" s="23"/>
      <c r="AD55" s="23">
        <f>SUM(AD6:AD54)</f>
        <v>9616.4</v>
      </c>
      <c r="AE55" s="41"/>
      <c r="AF55" s="41">
        <f>SUM(AF6:AF54)</f>
        <v>4755.3</v>
      </c>
    </row>
    <row r="56" spans="1:32" ht="15.75" x14ac:dyDescent="0.25">
      <c r="A56" s="42" t="s">
        <v>5</v>
      </c>
      <c r="B56" s="43">
        <f>COUNT(B6:B54,D6:D54,F6:F54,H6:H54,J6:J54)</f>
        <v>220</v>
      </c>
      <c r="C56" s="13" t="s">
        <v>6</v>
      </c>
      <c r="D56" s="44"/>
      <c r="E56" s="45">
        <f>B55+D55+F55+H55+J55</f>
        <v>43104.599999999991</v>
      </c>
      <c r="F56" s="24" t="s">
        <v>7</v>
      </c>
      <c r="G56" s="1">
        <f>B56*2.2</f>
        <v>484.00000000000006</v>
      </c>
      <c r="H56" s="13" t="s">
        <v>8</v>
      </c>
      <c r="I56" s="44"/>
      <c r="J56" s="45">
        <f>E56-G56</f>
        <v>42620.599999999991</v>
      </c>
      <c r="L56" s="42" t="s">
        <v>5</v>
      </c>
      <c r="M56" s="43">
        <f>COUNT(M6:M54,O6:O54,Q6:Q54,S6:S54,U6:U54)</f>
        <v>101</v>
      </c>
      <c r="N56" s="13" t="s">
        <v>6</v>
      </c>
      <c r="O56" s="44"/>
      <c r="P56" s="45">
        <f>M55+O55+Q55+S55+U55</f>
        <v>19770.199999999997</v>
      </c>
      <c r="Q56" s="24" t="s">
        <v>7</v>
      </c>
      <c r="R56" s="1">
        <f>M56*2.2</f>
        <v>222.20000000000002</v>
      </c>
      <c r="S56" s="13" t="s">
        <v>8</v>
      </c>
      <c r="T56" s="44"/>
      <c r="U56" s="45">
        <f>P56-R56</f>
        <v>19547.999999999996</v>
      </c>
      <c r="W56" s="42" t="s">
        <v>5</v>
      </c>
      <c r="X56" s="43">
        <f>COUNT(X6:X54,Z6:Z54,AB6:AB54,AD6:AD54,AF6:AF54)</f>
        <v>119</v>
      </c>
      <c r="Y56" s="13" t="s">
        <v>6</v>
      </c>
      <c r="Z56" s="44"/>
      <c r="AA56" s="45">
        <f>X55+Z55+AB55+AD55+AF55</f>
        <v>23334.399999999998</v>
      </c>
      <c r="AB56" s="24" t="s">
        <v>7</v>
      </c>
      <c r="AC56" s="1">
        <f>X56*2.2</f>
        <v>261.8</v>
      </c>
      <c r="AD56" s="13" t="s">
        <v>8</v>
      </c>
      <c r="AE56" s="44"/>
      <c r="AF56" s="45">
        <f>AA56-AC56</f>
        <v>23072.6</v>
      </c>
    </row>
    <row r="57" spans="1:32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  <c r="L57" s="42" t="s">
        <v>9</v>
      </c>
      <c r="M57" s="25"/>
      <c r="N57" s="46"/>
      <c r="O57" s="44"/>
      <c r="P57" s="47"/>
      <c r="Q57" s="25"/>
      <c r="R57" s="48"/>
      <c r="S57" s="46"/>
      <c r="T57" s="44"/>
      <c r="U57" s="49"/>
      <c r="W57" s="42" t="s">
        <v>9</v>
      </c>
      <c r="X57" s="25"/>
      <c r="Y57" s="46"/>
      <c r="Z57" s="44"/>
      <c r="AA57" s="47"/>
      <c r="AB57" s="25"/>
      <c r="AC57" s="48"/>
      <c r="AD57" s="46"/>
      <c r="AE57" s="44"/>
      <c r="AF57" s="49"/>
    </row>
    <row r="58" spans="1:32" x14ac:dyDescent="0.25">
      <c r="B58">
        <f>M56+X56</f>
        <v>220</v>
      </c>
      <c r="E58" s="80">
        <f>P56+AA56</f>
        <v>43104.599999999991</v>
      </c>
      <c r="J58" s="80">
        <f>U56+AF56</f>
        <v>42620.599999999991</v>
      </c>
    </row>
    <row r="59" spans="1:32" x14ac:dyDescent="0.25">
      <c r="F59" s="112" t="s">
        <v>61</v>
      </c>
      <c r="G59" s="112">
        <v>2.2000000000000002</v>
      </c>
      <c r="Q59" s="112" t="s">
        <v>61</v>
      </c>
      <c r="R59" s="112">
        <v>2.2000000000000002</v>
      </c>
      <c r="AB59" s="112" t="s">
        <v>61</v>
      </c>
      <c r="AC59" s="112">
        <v>2.2000000000000002</v>
      </c>
    </row>
  </sheetData>
  <protectedRanges>
    <protectedRange password="CCE1" sqref="C6:C54 G6:G54 E6:E54 I6:I29 N6:N54 R6:R54 P6:P54 T6:T29 Y6:Y54 AC6:AC54 AA6:AA54 AE6:AE29" name="Диапазон1_3_1_7_2_1_1_1_1_1_1_1"/>
  </protectedRanges>
  <mergeCells count="6">
    <mergeCell ref="A1:J1"/>
    <mergeCell ref="I4:J4"/>
    <mergeCell ref="L1:U1"/>
    <mergeCell ref="T4:U4"/>
    <mergeCell ref="W1:AF1"/>
    <mergeCell ref="AE4:AF4"/>
  </mergeCells>
  <pageMargins left="0.7" right="0.7" top="0.75" bottom="0.75" header="0.3" footer="0.3"/>
  <pageSetup paperSize="9" scale="83" orientation="portrait" verticalDpi="0" r:id="rId1"/>
  <rowBreaks count="1" manualBreakCount="1">
    <brk id="57" max="16383" man="1"/>
  </rowBreaks>
  <colBreaks count="2" manualBreakCount="2">
    <brk id="10" max="56" man="1"/>
    <brk id="21" max="56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9"/>
  <sheetViews>
    <sheetView topLeftCell="I38" zoomScale="90" zoomScaleNormal="90" workbookViewId="0">
      <selection activeCell="J59" sqref="J59"/>
    </sheetView>
  </sheetViews>
  <sheetFormatPr defaultRowHeight="15" x14ac:dyDescent="0.25"/>
  <cols>
    <col min="11" max="11" width="2" customWidth="1"/>
    <col min="22" max="22" width="1.5703125" customWidth="1"/>
  </cols>
  <sheetData>
    <row r="1" spans="1:32" ht="18.75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L1" s="204" t="s">
        <v>0</v>
      </c>
      <c r="M1" s="204"/>
      <c r="N1" s="204"/>
      <c r="O1" s="204"/>
      <c r="P1" s="204"/>
      <c r="Q1" s="204"/>
      <c r="R1" s="204"/>
      <c r="S1" s="204"/>
      <c r="T1" s="204"/>
      <c r="U1" s="204"/>
      <c r="W1" s="204" t="s">
        <v>0</v>
      </c>
      <c r="X1" s="204"/>
      <c r="Y1" s="204"/>
      <c r="Z1" s="204"/>
      <c r="AA1" s="204"/>
      <c r="AB1" s="204"/>
      <c r="AC1" s="204"/>
      <c r="AD1" s="204"/>
      <c r="AE1" s="204"/>
      <c r="AF1" s="204"/>
    </row>
    <row r="2" spans="1:32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  <c r="L2" s="13" t="s">
        <v>1</v>
      </c>
      <c r="M2" s="13"/>
      <c r="N2" s="13"/>
      <c r="O2" s="13"/>
      <c r="P2" s="13"/>
      <c r="Q2" s="13"/>
      <c r="R2" s="27"/>
      <c r="S2" s="13"/>
      <c r="T2" s="13"/>
      <c r="U2" s="13"/>
      <c r="W2" s="13" t="s">
        <v>1</v>
      </c>
      <c r="X2" s="13"/>
      <c r="Y2" s="13"/>
      <c r="Z2" s="13"/>
      <c r="AA2" s="13"/>
      <c r="AB2" s="13"/>
      <c r="AC2" s="27"/>
      <c r="AD2" s="13"/>
      <c r="AE2" s="13"/>
      <c r="AF2" s="13"/>
    </row>
    <row r="3" spans="1:32" ht="15.75" x14ac:dyDescent="0.25">
      <c r="A3" s="25" t="s">
        <v>2</v>
      </c>
      <c r="B3" s="27">
        <v>225</v>
      </c>
      <c r="C3" s="14"/>
      <c r="D3" s="15"/>
      <c r="E3" s="16"/>
      <c r="F3" s="16"/>
      <c r="G3" s="16"/>
      <c r="H3" s="16"/>
      <c r="I3" s="16" t="s">
        <v>33</v>
      </c>
      <c r="J3" s="16"/>
      <c r="L3" s="25" t="s">
        <v>2</v>
      </c>
      <c r="M3" s="27">
        <v>225</v>
      </c>
      <c r="N3" s="14"/>
      <c r="O3" s="15"/>
      <c r="P3" s="16"/>
      <c r="Q3" s="16"/>
      <c r="R3" s="16"/>
      <c r="S3" s="16"/>
      <c r="T3" s="16" t="s">
        <v>33</v>
      </c>
      <c r="U3" s="16"/>
      <c r="W3" s="25" t="s">
        <v>2</v>
      </c>
      <c r="X3" s="27">
        <v>225</v>
      </c>
      <c r="Y3" s="14"/>
      <c r="Z3" s="15"/>
      <c r="AA3" s="16"/>
      <c r="AB3" s="16"/>
      <c r="AC3" s="16"/>
      <c r="AD3" s="16"/>
      <c r="AE3" s="16" t="s">
        <v>33</v>
      </c>
      <c r="AF3" s="16"/>
    </row>
    <row r="4" spans="1:32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  <c r="L4" s="17"/>
      <c r="M4" s="17"/>
      <c r="N4" s="17"/>
      <c r="O4" s="17"/>
      <c r="P4" s="17"/>
      <c r="Q4" s="17"/>
      <c r="R4" s="17"/>
      <c r="S4" s="28"/>
      <c r="T4" s="205" t="s">
        <v>48</v>
      </c>
      <c r="U4" s="206"/>
      <c r="W4" s="17"/>
      <c r="X4" s="17"/>
      <c r="Y4" s="17"/>
      <c r="Z4" s="17"/>
      <c r="AA4" s="17"/>
      <c r="AB4" s="17"/>
      <c r="AC4" s="17"/>
      <c r="AD4" s="28"/>
      <c r="AE4" s="205" t="s">
        <v>50</v>
      </c>
      <c r="AF4" s="206"/>
    </row>
    <row r="5" spans="1:32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  <c r="L5" s="29" t="s">
        <v>3</v>
      </c>
      <c r="M5" s="18" t="s">
        <v>4</v>
      </c>
      <c r="N5" s="29" t="s">
        <v>3</v>
      </c>
      <c r="O5" s="18" t="s">
        <v>4</v>
      </c>
      <c r="P5" s="29" t="s">
        <v>3</v>
      </c>
      <c r="Q5" s="18" t="s">
        <v>4</v>
      </c>
      <c r="R5" s="29" t="s">
        <v>3</v>
      </c>
      <c r="S5" s="30" t="s">
        <v>4</v>
      </c>
      <c r="T5" s="31" t="s">
        <v>3</v>
      </c>
      <c r="U5" s="32" t="s">
        <v>4</v>
      </c>
      <c r="W5" s="29" t="s">
        <v>3</v>
      </c>
      <c r="X5" s="18" t="s">
        <v>4</v>
      </c>
      <c r="Y5" s="29" t="s">
        <v>3</v>
      </c>
      <c r="Z5" s="18" t="s">
        <v>4</v>
      </c>
      <c r="AA5" s="29" t="s">
        <v>3</v>
      </c>
      <c r="AB5" s="18" t="s">
        <v>4</v>
      </c>
      <c r="AC5" s="29" t="s">
        <v>3</v>
      </c>
      <c r="AD5" s="30" t="s">
        <v>4</v>
      </c>
      <c r="AE5" s="31" t="s">
        <v>3</v>
      </c>
      <c r="AF5" s="32" t="s">
        <v>4</v>
      </c>
    </row>
    <row r="6" spans="1:32" ht="15.75" x14ac:dyDescent="0.25">
      <c r="A6" s="22">
        <v>1</v>
      </c>
      <c r="B6" s="19">
        <v>191.1</v>
      </c>
      <c r="C6" s="22">
        <v>50</v>
      </c>
      <c r="D6" s="19">
        <v>198.6</v>
      </c>
      <c r="E6" s="22">
        <v>99</v>
      </c>
      <c r="F6" s="19">
        <v>198.5</v>
      </c>
      <c r="G6" s="33">
        <v>148</v>
      </c>
      <c r="H6" s="19">
        <v>201</v>
      </c>
      <c r="I6" s="34">
        <v>197</v>
      </c>
      <c r="J6" s="19">
        <v>210.8</v>
      </c>
      <c r="L6" s="22">
        <v>1</v>
      </c>
      <c r="M6" s="19">
        <v>191.1</v>
      </c>
      <c r="N6" s="22">
        <v>50</v>
      </c>
      <c r="O6" s="19">
        <v>198.6</v>
      </c>
      <c r="P6" s="22">
        <v>99</v>
      </c>
      <c r="Q6" s="19"/>
      <c r="R6" s="33">
        <v>148</v>
      </c>
      <c r="S6" s="19"/>
      <c r="T6" s="34">
        <v>197</v>
      </c>
      <c r="U6" s="19">
        <v>210.8</v>
      </c>
      <c r="W6" s="22">
        <v>1</v>
      </c>
      <c r="X6" s="19"/>
      <c r="Y6" s="22">
        <v>50</v>
      </c>
      <c r="Z6" s="19"/>
      <c r="AA6" s="22">
        <v>99</v>
      </c>
      <c r="AB6" s="19">
        <v>198.5</v>
      </c>
      <c r="AC6" s="33">
        <v>148</v>
      </c>
      <c r="AD6" s="19">
        <v>201</v>
      </c>
      <c r="AE6" s="34">
        <v>197</v>
      </c>
      <c r="AF6" s="19"/>
    </row>
    <row r="7" spans="1:32" ht="15.75" x14ac:dyDescent="0.25">
      <c r="A7" s="22">
        <v>2</v>
      </c>
      <c r="B7" s="19">
        <v>207.2</v>
      </c>
      <c r="C7" s="22">
        <v>51</v>
      </c>
      <c r="D7" s="19">
        <v>203.6</v>
      </c>
      <c r="E7" s="22">
        <v>100</v>
      </c>
      <c r="F7" s="19">
        <v>200.5</v>
      </c>
      <c r="G7" s="33">
        <v>149</v>
      </c>
      <c r="H7" s="19">
        <v>196.6</v>
      </c>
      <c r="I7" s="33">
        <v>198</v>
      </c>
      <c r="J7" s="19">
        <v>200.1</v>
      </c>
      <c r="L7" s="22">
        <v>2</v>
      </c>
      <c r="M7" s="19">
        <v>207.2</v>
      </c>
      <c r="N7" s="22">
        <v>51</v>
      </c>
      <c r="O7" s="19">
        <v>203.6</v>
      </c>
      <c r="P7" s="22">
        <v>100</v>
      </c>
      <c r="Q7" s="19"/>
      <c r="R7" s="33">
        <v>149</v>
      </c>
      <c r="S7" s="19"/>
      <c r="T7" s="33">
        <v>198</v>
      </c>
      <c r="U7" s="19">
        <v>200.1</v>
      </c>
      <c r="W7" s="22">
        <v>2</v>
      </c>
      <c r="X7" s="19"/>
      <c r="Y7" s="22">
        <v>51</v>
      </c>
      <c r="Z7" s="19"/>
      <c r="AA7" s="22">
        <v>100</v>
      </c>
      <c r="AB7" s="19">
        <v>200.5</v>
      </c>
      <c r="AC7" s="33">
        <v>149</v>
      </c>
      <c r="AD7" s="19">
        <v>196.6</v>
      </c>
      <c r="AE7" s="33">
        <v>198</v>
      </c>
      <c r="AF7" s="19"/>
    </row>
    <row r="8" spans="1:32" ht="15.75" x14ac:dyDescent="0.25">
      <c r="A8" s="22">
        <v>3</v>
      </c>
      <c r="B8" s="19">
        <v>199.8</v>
      </c>
      <c r="C8" s="22">
        <v>52</v>
      </c>
      <c r="D8" s="19">
        <v>196.7</v>
      </c>
      <c r="E8" s="22">
        <f t="shared" ref="E8:E54" si="0">+E7+1</f>
        <v>101</v>
      </c>
      <c r="F8" s="19">
        <v>180.7</v>
      </c>
      <c r="G8" s="33">
        <v>150</v>
      </c>
      <c r="H8" s="19">
        <v>192.9</v>
      </c>
      <c r="I8" s="33">
        <v>199</v>
      </c>
      <c r="J8" s="19">
        <v>202.6</v>
      </c>
      <c r="L8" s="22">
        <v>3</v>
      </c>
      <c r="M8" s="19">
        <v>199.8</v>
      </c>
      <c r="N8" s="22">
        <v>52</v>
      </c>
      <c r="O8" s="19">
        <v>196.7</v>
      </c>
      <c r="P8" s="22">
        <f t="shared" ref="P8:P54" si="1">+P7+1</f>
        <v>101</v>
      </c>
      <c r="Q8" s="19"/>
      <c r="R8" s="33">
        <v>150</v>
      </c>
      <c r="S8" s="19"/>
      <c r="T8" s="33">
        <v>199</v>
      </c>
      <c r="U8" s="19">
        <v>202.6</v>
      </c>
      <c r="W8" s="22">
        <v>3</v>
      </c>
      <c r="X8" s="19"/>
      <c r="Y8" s="22">
        <v>52</v>
      </c>
      <c r="Z8" s="19"/>
      <c r="AA8" s="22">
        <f t="shared" ref="AA8:AA54" si="2">+AA7+1</f>
        <v>101</v>
      </c>
      <c r="AB8" s="19">
        <v>180.7</v>
      </c>
      <c r="AC8" s="33">
        <v>150</v>
      </c>
      <c r="AD8" s="19">
        <v>192.9</v>
      </c>
      <c r="AE8" s="33">
        <v>199</v>
      </c>
      <c r="AF8" s="19"/>
    </row>
    <row r="9" spans="1:32" ht="15.75" x14ac:dyDescent="0.25">
      <c r="A9" s="22">
        <v>4</v>
      </c>
      <c r="B9" s="19">
        <v>201.4</v>
      </c>
      <c r="C9" s="22">
        <v>53</v>
      </c>
      <c r="D9" s="19">
        <v>196.7</v>
      </c>
      <c r="E9" s="22">
        <f t="shared" si="0"/>
        <v>102</v>
      </c>
      <c r="F9" s="19">
        <v>202.1</v>
      </c>
      <c r="G9" s="33">
        <v>151</v>
      </c>
      <c r="H9" s="19">
        <v>200.6</v>
      </c>
      <c r="I9" s="33">
        <v>200</v>
      </c>
      <c r="J9" s="19">
        <v>193.3</v>
      </c>
      <c r="L9" s="22">
        <v>4</v>
      </c>
      <c r="M9" s="19">
        <v>201.4</v>
      </c>
      <c r="N9" s="22">
        <v>53</v>
      </c>
      <c r="O9" s="19">
        <v>196.7</v>
      </c>
      <c r="P9" s="22">
        <f t="shared" si="1"/>
        <v>102</v>
      </c>
      <c r="Q9" s="19"/>
      <c r="R9" s="33">
        <v>151</v>
      </c>
      <c r="S9" s="19"/>
      <c r="T9" s="33">
        <v>200</v>
      </c>
      <c r="U9" s="19">
        <v>193.3</v>
      </c>
      <c r="W9" s="22">
        <v>4</v>
      </c>
      <c r="X9" s="19"/>
      <c r="Y9" s="22">
        <v>53</v>
      </c>
      <c r="Z9" s="19"/>
      <c r="AA9" s="22">
        <f t="shared" si="2"/>
        <v>102</v>
      </c>
      <c r="AB9" s="19">
        <v>202.1</v>
      </c>
      <c r="AC9" s="33">
        <v>151</v>
      </c>
      <c r="AD9" s="19">
        <v>200.6</v>
      </c>
      <c r="AE9" s="33">
        <v>200</v>
      </c>
      <c r="AF9" s="19"/>
    </row>
    <row r="10" spans="1:32" ht="15.75" x14ac:dyDescent="0.25">
      <c r="A10" s="22">
        <v>5</v>
      </c>
      <c r="B10" s="19">
        <v>193.6</v>
      </c>
      <c r="C10" s="22">
        <v>54</v>
      </c>
      <c r="D10" s="19">
        <v>202.1</v>
      </c>
      <c r="E10" s="22">
        <f t="shared" si="0"/>
        <v>103</v>
      </c>
      <c r="F10" s="19">
        <v>202.2</v>
      </c>
      <c r="G10" s="33">
        <v>152</v>
      </c>
      <c r="H10" s="19">
        <v>196.4</v>
      </c>
      <c r="I10" s="33">
        <v>201</v>
      </c>
      <c r="J10" s="19">
        <v>199.7</v>
      </c>
      <c r="L10" s="22">
        <v>5</v>
      </c>
      <c r="M10" s="19">
        <v>193.6</v>
      </c>
      <c r="N10" s="22">
        <v>54</v>
      </c>
      <c r="O10" s="19">
        <v>202.1</v>
      </c>
      <c r="P10" s="22">
        <f t="shared" si="1"/>
        <v>103</v>
      </c>
      <c r="Q10" s="19"/>
      <c r="R10" s="33">
        <v>152</v>
      </c>
      <c r="S10" s="19"/>
      <c r="T10" s="33">
        <v>201</v>
      </c>
      <c r="U10" s="19">
        <v>199.7</v>
      </c>
      <c r="W10" s="22">
        <v>5</v>
      </c>
      <c r="X10" s="19"/>
      <c r="Y10" s="22">
        <v>54</v>
      </c>
      <c r="Z10" s="19"/>
      <c r="AA10" s="22">
        <f t="shared" si="2"/>
        <v>103</v>
      </c>
      <c r="AB10" s="19">
        <v>202.2</v>
      </c>
      <c r="AC10" s="33">
        <v>152</v>
      </c>
      <c r="AD10" s="19">
        <v>196.4</v>
      </c>
      <c r="AE10" s="33">
        <v>201</v>
      </c>
      <c r="AF10" s="19"/>
    </row>
    <row r="11" spans="1:32" ht="15.75" x14ac:dyDescent="0.25">
      <c r="A11" s="22">
        <v>6</v>
      </c>
      <c r="B11" s="19">
        <v>191.3</v>
      </c>
      <c r="C11" s="22">
        <v>55</v>
      </c>
      <c r="D11" s="19">
        <v>199.7</v>
      </c>
      <c r="E11" s="22">
        <f t="shared" si="0"/>
        <v>104</v>
      </c>
      <c r="F11" s="19">
        <v>187.2</v>
      </c>
      <c r="G11" s="33">
        <v>153</v>
      </c>
      <c r="H11" s="19">
        <v>189.2</v>
      </c>
      <c r="I11" s="33">
        <v>202</v>
      </c>
      <c r="J11" s="19">
        <v>196.8</v>
      </c>
      <c r="L11" s="22">
        <v>6</v>
      </c>
      <c r="M11" s="19">
        <v>191.3</v>
      </c>
      <c r="N11" s="22">
        <v>55</v>
      </c>
      <c r="O11" s="19">
        <v>199.7</v>
      </c>
      <c r="P11" s="22">
        <f t="shared" si="1"/>
        <v>104</v>
      </c>
      <c r="Q11" s="19"/>
      <c r="R11" s="33">
        <v>153</v>
      </c>
      <c r="S11" s="19"/>
      <c r="T11" s="33">
        <v>202</v>
      </c>
      <c r="U11" s="19">
        <v>196.8</v>
      </c>
      <c r="W11" s="22">
        <v>6</v>
      </c>
      <c r="X11" s="19"/>
      <c r="Y11" s="22">
        <v>55</v>
      </c>
      <c r="Z11" s="19"/>
      <c r="AA11" s="22">
        <f t="shared" si="2"/>
        <v>104</v>
      </c>
      <c r="AB11" s="19">
        <v>187.2</v>
      </c>
      <c r="AC11" s="33">
        <v>153</v>
      </c>
      <c r="AD11" s="19">
        <v>189.2</v>
      </c>
      <c r="AE11" s="33">
        <v>202</v>
      </c>
      <c r="AF11" s="19"/>
    </row>
    <row r="12" spans="1:32" ht="15.75" x14ac:dyDescent="0.25">
      <c r="A12" s="22">
        <v>7</v>
      </c>
      <c r="B12" s="19">
        <v>205.3</v>
      </c>
      <c r="C12" s="22">
        <v>56</v>
      </c>
      <c r="D12" s="19">
        <v>205.1</v>
      </c>
      <c r="E12" s="22">
        <f t="shared" si="0"/>
        <v>105</v>
      </c>
      <c r="F12" s="19">
        <v>199.7</v>
      </c>
      <c r="G12" s="33">
        <v>154</v>
      </c>
      <c r="H12" s="19">
        <v>199.6</v>
      </c>
      <c r="I12" s="33">
        <v>203</v>
      </c>
      <c r="J12" s="19">
        <v>208.8</v>
      </c>
      <c r="L12" s="22">
        <v>7</v>
      </c>
      <c r="M12" s="19">
        <v>205.3</v>
      </c>
      <c r="N12" s="22">
        <v>56</v>
      </c>
      <c r="O12" s="19">
        <v>205.1</v>
      </c>
      <c r="P12" s="22">
        <f t="shared" si="1"/>
        <v>105</v>
      </c>
      <c r="Q12" s="19"/>
      <c r="R12" s="33">
        <v>154</v>
      </c>
      <c r="S12" s="19"/>
      <c r="T12" s="33">
        <v>203</v>
      </c>
      <c r="U12" s="19">
        <v>208.8</v>
      </c>
      <c r="W12" s="22">
        <v>7</v>
      </c>
      <c r="X12" s="19"/>
      <c r="Y12" s="22">
        <v>56</v>
      </c>
      <c r="Z12" s="19"/>
      <c r="AA12" s="22">
        <f t="shared" si="2"/>
        <v>105</v>
      </c>
      <c r="AB12" s="19">
        <v>199.7</v>
      </c>
      <c r="AC12" s="33">
        <v>154</v>
      </c>
      <c r="AD12" s="19">
        <v>199.6</v>
      </c>
      <c r="AE12" s="33">
        <v>203</v>
      </c>
      <c r="AF12" s="19"/>
    </row>
    <row r="13" spans="1:32" ht="15.75" x14ac:dyDescent="0.25">
      <c r="A13" s="22">
        <v>8</v>
      </c>
      <c r="B13" s="19">
        <v>202</v>
      </c>
      <c r="C13" s="22">
        <v>57</v>
      </c>
      <c r="D13" s="19">
        <v>204.8</v>
      </c>
      <c r="E13" s="22">
        <f t="shared" si="0"/>
        <v>106</v>
      </c>
      <c r="F13" s="19">
        <v>165.6</v>
      </c>
      <c r="G13" s="33">
        <v>155</v>
      </c>
      <c r="H13" s="19">
        <v>200.5</v>
      </c>
      <c r="I13" s="33">
        <v>204</v>
      </c>
      <c r="J13" s="19">
        <v>179.7</v>
      </c>
      <c r="L13" s="22">
        <v>8</v>
      </c>
      <c r="M13" s="19">
        <v>202</v>
      </c>
      <c r="N13" s="22">
        <v>57</v>
      </c>
      <c r="O13" s="19">
        <v>204.8</v>
      </c>
      <c r="P13" s="22">
        <f t="shared" si="1"/>
        <v>106</v>
      </c>
      <c r="Q13" s="19"/>
      <c r="R13" s="33">
        <v>155</v>
      </c>
      <c r="S13" s="19"/>
      <c r="T13" s="33">
        <v>204</v>
      </c>
      <c r="U13" s="19">
        <v>179.7</v>
      </c>
      <c r="W13" s="22">
        <v>8</v>
      </c>
      <c r="X13" s="19"/>
      <c r="Y13" s="22">
        <v>57</v>
      </c>
      <c r="Z13" s="19"/>
      <c r="AA13" s="22">
        <f t="shared" si="2"/>
        <v>106</v>
      </c>
      <c r="AB13" s="19">
        <v>165.6</v>
      </c>
      <c r="AC13" s="33">
        <v>155</v>
      </c>
      <c r="AD13" s="19">
        <v>200.5</v>
      </c>
      <c r="AE13" s="33">
        <v>204</v>
      </c>
      <c r="AF13" s="19"/>
    </row>
    <row r="14" spans="1:32" ht="15.75" x14ac:dyDescent="0.25">
      <c r="A14" s="22">
        <v>9</v>
      </c>
      <c r="B14" s="19">
        <v>197.1</v>
      </c>
      <c r="C14" s="22">
        <v>58</v>
      </c>
      <c r="D14" s="19">
        <v>201.7</v>
      </c>
      <c r="E14" s="22">
        <f t="shared" si="0"/>
        <v>107</v>
      </c>
      <c r="F14" s="19">
        <v>196.3</v>
      </c>
      <c r="G14" s="33">
        <v>156</v>
      </c>
      <c r="H14" s="19">
        <v>197</v>
      </c>
      <c r="I14" s="33">
        <v>205</v>
      </c>
      <c r="J14" s="19">
        <v>210.3</v>
      </c>
      <c r="L14" s="22">
        <v>9</v>
      </c>
      <c r="M14" s="19">
        <v>197.1</v>
      </c>
      <c r="N14" s="22">
        <v>58</v>
      </c>
      <c r="O14" s="19">
        <v>201.7</v>
      </c>
      <c r="P14" s="22">
        <f t="shared" si="1"/>
        <v>107</v>
      </c>
      <c r="Q14" s="19"/>
      <c r="R14" s="33">
        <v>156</v>
      </c>
      <c r="S14" s="19"/>
      <c r="T14" s="33">
        <v>205</v>
      </c>
      <c r="U14" s="19">
        <v>210.3</v>
      </c>
      <c r="W14" s="22">
        <v>9</v>
      </c>
      <c r="X14" s="19"/>
      <c r="Y14" s="22">
        <v>58</v>
      </c>
      <c r="Z14" s="19"/>
      <c r="AA14" s="22">
        <f t="shared" si="2"/>
        <v>107</v>
      </c>
      <c r="AB14" s="19">
        <v>196.3</v>
      </c>
      <c r="AC14" s="33">
        <v>156</v>
      </c>
      <c r="AD14" s="19">
        <v>197</v>
      </c>
      <c r="AE14" s="33">
        <v>205</v>
      </c>
      <c r="AF14" s="19"/>
    </row>
    <row r="15" spans="1:32" ht="15.75" x14ac:dyDescent="0.25">
      <c r="A15" s="22">
        <v>10</v>
      </c>
      <c r="B15" s="19">
        <v>193.6</v>
      </c>
      <c r="C15" s="22">
        <v>59</v>
      </c>
      <c r="D15" s="19">
        <v>197.5</v>
      </c>
      <c r="E15" s="22">
        <f t="shared" si="0"/>
        <v>108</v>
      </c>
      <c r="F15" s="19">
        <v>199.7</v>
      </c>
      <c r="G15" s="33">
        <v>157</v>
      </c>
      <c r="H15" s="19">
        <v>206</v>
      </c>
      <c r="I15" s="33">
        <v>206</v>
      </c>
      <c r="J15" s="19">
        <v>203.8</v>
      </c>
      <c r="L15" s="22">
        <v>10</v>
      </c>
      <c r="M15" s="19">
        <v>193.6</v>
      </c>
      <c r="N15" s="22">
        <v>59</v>
      </c>
      <c r="O15" s="19">
        <v>197.5</v>
      </c>
      <c r="P15" s="22">
        <f t="shared" si="1"/>
        <v>108</v>
      </c>
      <c r="Q15" s="19"/>
      <c r="R15" s="33">
        <v>157</v>
      </c>
      <c r="S15" s="19"/>
      <c r="T15" s="33">
        <v>206</v>
      </c>
      <c r="U15" s="19">
        <v>203.8</v>
      </c>
      <c r="W15" s="22">
        <v>10</v>
      </c>
      <c r="X15" s="19"/>
      <c r="Y15" s="22">
        <v>59</v>
      </c>
      <c r="Z15" s="19"/>
      <c r="AA15" s="22">
        <f t="shared" si="2"/>
        <v>108</v>
      </c>
      <c r="AB15" s="19">
        <v>199.7</v>
      </c>
      <c r="AC15" s="33">
        <v>157</v>
      </c>
      <c r="AD15" s="19">
        <v>206</v>
      </c>
      <c r="AE15" s="33">
        <v>206</v>
      </c>
      <c r="AF15" s="19"/>
    </row>
    <row r="16" spans="1:32" ht="15.75" x14ac:dyDescent="0.25">
      <c r="A16" s="22">
        <v>11</v>
      </c>
      <c r="B16" s="19">
        <v>196.2</v>
      </c>
      <c r="C16" s="22">
        <v>60</v>
      </c>
      <c r="D16" s="19">
        <v>221.3</v>
      </c>
      <c r="E16" s="22">
        <f t="shared" si="0"/>
        <v>109</v>
      </c>
      <c r="F16" s="19">
        <v>184.9</v>
      </c>
      <c r="G16" s="33">
        <v>158</v>
      </c>
      <c r="H16" s="19">
        <v>197.6</v>
      </c>
      <c r="I16" s="33">
        <v>207</v>
      </c>
      <c r="J16" s="19">
        <v>196.3</v>
      </c>
      <c r="L16" s="22">
        <v>11</v>
      </c>
      <c r="M16" s="19">
        <v>196.2</v>
      </c>
      <c r="N16" s="22">
        <v>60</v>
      </c>
      <c r="O16" s="19">
        <v>221.3</v>
      </c>
      <c r="P16" s="22">
        <f t="shared" si="1"/>
        <v>109</v>
      </c>
      <c r="Q16" s="19"/>
      <c r="R16" s="33">
        <v>158</v>
      </c>
      <c r="S16" s="19"/>
      <c r="T16" s="33">
        <v>207</v>
      </c>
      <c r="U16" s="19">
        <v>196.3</v>
      </c>
      <c r="W16" s="22">
        <v>11</v>
      </c>
      <c r="X16" s="19"/>
      <c r="Y16" s="22">
        <v>60</v>
      </c>
      <c r="Z16" s="19"/>
      <c r="AA16" s="22">
        <f t="shared" si="2"/>
        <v>109</v>
      </c>
      <c r="AB16" s="19">
        <v>184.9</v>
      </c>
      <c r="AC16" s="33">
        <v>158</v>
      </c>
      <c r="AD16" s="19">
        <v>197.6</v>
      </c>
      <c r="AE16" s="33">
        <v>207</v>
      </c>
      <c r="AF16" s="19"/>
    </row>
    <row r="17" spans="1:32" ht="15.75" x14ac:dyDescent="0.25">
      <c r="A17" s="22">
        <v>12</v>
      </c>
      <c r="B17" s="19">
        <v>203.2</v>
      </c>
      <c r="C17" s="22">
        <v>61</v>
      </c>
      <c r="D17" s="19">
        <v>210.4</v>
      </c>
      <c r="E17" s="22">
        <f t="shared" si="0"/>
        <v>110</v>
      </c>
      <c r="F17" s="19">
        <v>203.5</v>
      </c>
      <c r="G17" s="33">
        <v>159</v>
      </c>
      <c r="H17" s="19">
        <v>207.7</v>
      </c>
      <c r="I17" s="33">
        <v>208</v>
      </c>
      <c r="J17" s="19">
        <v>207.2</v>
      </c>
      <c r="L17" s="22">
        <v>12</v>
      </c>
      <c r="M17" s="19">
        <v>203.2</v>
      </c>
      <c r="N17" s="22">
        <v>61</v>
      </c>
      <c r="O17" s="19">
        <v>210.4</v>
      </c>
      <c r="P17" s="22">
        <f t="shared" si="1"/>
        <v>110</v>
      </c>
      <c r="Q17" s="19"/>
      <c r="R17" s="33">
        <v>159</v>
      </c>
      <c r="S17" s="19"/>
      <c r="T17" s="33">
        <v>208</v>
      </c>
      <c r="U17" s="19">
        <v>207.2</v>
      </c>
      <c r="W17" s="22">
        <v>12</v>
      </c>
      <c r="X17" s="19"/>
      <c r="Y17" s="22">
        <v>61</v>
      </c>
      <c r="Z17" s="19"/>
      <c r="AA17" s="22">
        <f t="shared" si="2"/>
        <v>110</v>
      </c>
      <c r="AB17" s="19">
        <v>203.5</v>
      </c>
      <c r="AC17" s="33">
        <v>159</v>
      </c>
      <c r="AD17" s="19">
        <v>207.7</v>
      </c>
      <c r="AE17" s="33">
        <v>208</v>
      </c>
      <c r="AF17" s="19"/>
    </row>
    <row r="18" spans="1:32" ht="15.75" x14ac:dyDescent="0.25">
      <c r="A18" s="22">
        <v>13</v>
      </c>
      <c r="B18" s="19">
        <v>201.1</v>
      </c>
      <c r="C18" s="22">
        <v>62</v>
      </c>
      <c r="D18" s="19">
        <v>207.4</v>
      </c>
      <c r="E18" s="22">
        <f t="shared" si="0"/>
        <v>111</v>
      </c>
      <c r="F18" s="19">
        <v>187.8</v>
      </c>
      <c r="G18" s="33">
        <v>160</v>
      </c>
      <c r="H18" s="19">
        <v>201.5</v>
      </c>
      <c r="I18" s="33">
        <v>209</v>
      </c>
      <c r="J18" s="19">
        <v>208.7</v>
      </c>
      <c r="L18" s="22">
        <v>13</v>
      </c>
      <c r="M18" s="19">
        <v>201.1</v>
      </c>
      <c r="N18" s="22">
        <v>62</v>
      </c>
      <c r="O18" s="19">
        <v>207.4</v>
      </c>
      <c r="P18" s="22">
        <f t="shared" si="1"/>
        <v>111</v>
      </c>
      <c r="Q18" s="19"/>
      <c r="R18" s="33">
        <v>160</v>
      </c>
      <c r="S18" s="19"/>
      <c r="T18" s="33">
        <v>209</v>
      </c>
      <c r="U18" s="19">
        <v>208.7</v>
      </c>
      <c r="W18" s="22">
        <v>13</v>
      </c>
      <c r="X18" s="19"/>
      <c r="Y18" s="22">
        <v>62</v>
      </c>
      <c r="Z18" s="19"/>
      <c r="AA18" s="22">
        <f t="shared" si="2"/>
        <v>111</v>
      </c>
      <c r="AB18" s="19">
        <v>187.8</v>
      </c>
      <c r="AC18" s="33">
        <v>160</v>
      </c>
      <c r="AD18" s="19">
        <v>201.5</v>
      </c>
      <c r="AE18" s="33">
        <v>209</v>
      </c>
      <c r="AF18" s="19"/>
    </row>
    <row r="19" spans="1:32" ht="15.75" x14ac:dyDescent="0.25">
      <c r="A19" s="22">
        <v>14</v>
      </c>
      <c r="B19" s="19">
        <v>207</v>
      </c>
      <c r="C19" s="22">
        <v>63</v>
      </c>
      <c r="D19" s="19">
        <v>193.6</v>
      </c>
      <c r="E19" s="22">
        <f t="shared" si="0"/>
        <v>112</v>
      </c>
      <c r="F19" s="19">
        <v>201.9</v>
      </c>
      <c r="G19" s="33">
        <v>161</v>
      </c>
      <c r="H19" s="19">
        <v>199.8</v>
      </c>
      <c r="I19" s="33">
        <v>210</v>
      </c>
      <c r="J19" s="19">
        <v>195.4</v>
      </c>
      <c r="L19" s="22">
        <v>14</v>
      </c>
      <c r="M19" s="19">
        <v>207</v>
      </c>
      <c r="N19" s="22">
        <v>63</v>
      </c>
      <c r="O19" s="19">
        <v>193.6</v>
      </c>
      <c r="P19" s="22">
        <f t="shared" si="1"/>
        <v>112</v>
      </c>
      <c r="Q19" s="19"/>
      <c r="R19" s="33">
        <v>161</v>
      </c>
      <c r="S19" s="19"/>
      <c r="T19" s="33">
        <v>210</v>
      </c>
      <c r="U19" s="19">
        <v>195.4</v>
      </c>
      <c r="W19" s="22">
        <v>14</v>
      </c>
      <c r="X19" s="19"/>
      <c r="Y19" s="22">
        <v>63</v>
      </c>
      <c r="Z19" s="19"/>
      <c r="AA19" s="22">
        <f t="shared" si="2"/>
        <v>112</v>
      </c>
      <c r="AB19" s="19">
        <v>201.9</v>
      </c>
      <c r="AC19" s="33">
        <v>161</v>
      </c>
      <c r="AD19" s="19">
        <v>199.8</v>
      </c>
      <c r="AE19" s="33">
        <v>210</v>
      </c>
      <c r="AF19" s="19"/>
    </row>
    <row r="20" spans="1:32" ht="15.75" x14ac:dyDescent="0.25">
      <c r="A20" s="22">
        <v>15</v>
      </c>
      <c r="B20" s="19">
        <v>194.9</v>
      </c>
      <c r="C20" s="22">
        <v>64</v>
      </c>
      <c r="D20" s="19">
        <v>201.1</v>
      </c>
      <c r="E20" s="22">
        <f t="shared" si="0"/>
        <v>113</v>
      </c>
      <c r="F20" s="19">
        <v>200.1</v>
      </c>
      <c r="G20" s="35">
        <v>162</v>
      </c>
      <c r="H20" s="19">
        <v>199.7</v>
      </c>
      <c r="I20" s="33">
        <v>211</v>
      </c>
      <c r="J20" s="19">
        <v>214.2</v>
      </c>
      <c r="L20" s="22">
        <v>15</v>
      </c>
      <c r="M20" s="19">
        <v>194.9</v>
      </c>
      <c r="N20" s="22">
        <v>64</v>
      </c>
      <c r="O20" s="19">
        <v>201.1</v>
      </c>
      <c r="P20" s="22">
        <f t="shared" si="1"/>
        <v>113</v>
      </c>
      <c r="Q20" s="19"/>
      <c r="R20" s="35">
        <v>162</v>
      </c>
      <c r="S20" s="19"/>
      <c r="T20" s="33">
        <v>211</v>
      </c>
      <c r="U20" s="19">
        <v>214.2</v>
      </c>
      <c r="W20" s="22">
        <v>15</v>
      </c>
      <c r="X20" s="19"/>
      <c r="Y20" s="22">
        <v>64</v>
      </c>
      <c r="Z20" s="19"/>
      <c r="AA20" s="22">
        <f t="shared" si="2"/>
        <v>113</v>
      </c>
      <c r="AB20" s="19">
        <v>200.1</v>
      </c>
      <c r="AC20" s="35">
        <v>162</v>
      </c>
      <c r="AD20" s="19">
        <v>199.7</v>
      </c>
      <c r="AE20" s="33">
        <v>211</v>
      </c>
      <c r="AF20" s="19"/>
    </row>
    <row r="21" spans="1:32" ht="15.75" x14ac:dyDescent="0.25">
      <c r="A21" s="22">
        <v>16</v>
      </c>
      <c r="B21" s="19">
        <v>197.1</v>
      </c>
      <c r="C21" s="22">
        <v>65</v>
      </c>
      <c r="D21" s="19">
        <v>196.6</v>
      </c>
      <c r="E21" s="22">
        <f t="shared" si="0"/>
        <v>114</v>
      </c>
      <c r="F21" s="19">
        <v>200.3</v>
      </c>
      <c r="G21" s="35">
        <v>163</v>
      </c>
      <c r="H21" s="19">
        <v>198.9</v>
      </c>
      <c r="I21" s="33">
        <v>212</v>
      </c>
      <c r="J21" s="19">
        <v>199</v>
      </c>
      <c r="L21" s="22">
        <v>16</v>
      </c>
      <c r="M21" s="19">
        <v>197.1</v>
      </c>
      <c r="N21" s="22">
        <v>65</v>
      </c>
      <c r="O21" s="19">
        <v>196.6</v>
      </c>
      <c r="P21" s="22">
        <f t="shared" si="1"/>
        <v>114</v>
      </c>
      <c r="Q21" s="19"/>
      <c r="R21" s="35">
        <v>163</v>
      </c>
      <c r="S21" s="19"/>
      <c r="T21" s="33">
        <v>212</v>
      </c>
      <c r="U21" s="19">
        <v>199</v>
      </c>
      <c r="W21" s="22">
        <v>16</v>
      </c>
      <c r="X21" s="19"/>
      <c r="Y21" s="22">
        <v>65</v>
      </c>
      <c r="Z21" s="19"/>
      <c r="AA21" s="22">
        <f t="shared" si="2"/>
        <v>114</v>
      </c>
      <c r="AB21" s="19">
        <v>200.3</v>
      </c>
      <c r="AC21" s="35">
        <v>163</v>
      </c>
      <c r="AD21" s="19">
        <v>198.9</v>
      </c>
      <c r="AE21" s="33">
        <v>212</v>
      </c>
      <c r="AF21" s="19"/>
    </row>
    <row r="22" spans="1:32" ht="15.75" x14ac:dyDescent="0.25">
      <c r="A22" s="22">
        <v>17</v>
      </c>
      <c r="B22" s="19">
        <v>199.7</v>
      </c>
      <c r="C22" s="22">
        <v>66</v>
      </c>
      <c r="D22" s="19">
        <v>198.8</v>
      </c>
      <c r="E22" s="22">
        <f t="shared" si="0"/>
        <v>115</v>
      </c>
      <c r="F22" s="19">
        <v>203.2</v>
      </c>
      <c r="G22" s="35">
        <v>164</v>
      </c>
      <c r="H22" s="19">
        <v>194.3</v>
      </c>
      <c r="I22" s="33">
        <v>213</v>
      </c>
      <c r="J22" s="19">
        <v>203.5</v>
      </c>
      <c r="L22" s="22">
        <v>17</v>
      </c>
      <c r="M22" s="19">
        <v>199.7</v>
      </c>
      <c r="N22" s="22">
        <v>66</v>
      </c>
      <c r="O22" s="19">
        <v>198.8</v>
      </c>
      <c r="P22" s="22">
        <f t="shared" si="1"/>
        <v>115</v>
      </c>
      <c r="Q22" s="19"/>
      <c r="R22" s="35">
        <v>164</v>
      </c>
      <c r="S22" s="19"/>
      <c r="T22" s="33">
        <v>213</v>
      </c>
      <c r="U22" s="19">
        <v>203.5</v>
      </c>
      <c r="W22" s="22">
        <v>17</v>
      </c>
      <c r="X22" s="19"/>
      <c r="Y22" s="22">
        <v>66</v>
      </c>
      <c r="Z22" s="19"/>
      <c r="AA22" s="22">
        <f t="shared" si="2"/>
        <v>115</v>
      </c>
      <c r="AB22" s="19">
        <v>203.2</v>
      </c>
      <c r="AC22" s="35">
        <v>164</v>
      </c>
      <c r="AD22" s="19">
        <v>194.3</v>
      </c>
      <c r="AE22" s="33">
        <v>213</v>
      </c>
      <c r="AF22" s="19"/>
    </row>
    <row r="23" spans="1:32" ht="15.75" x14ac:dyDescent="0.25">
      <c r="A23" s="22">
        <v>18</v>
      </c>
      <c r="B23" s="19">
        <v>203.9</v>
      </c>
      <c r="C23" s="22">
        <v>67</v>
      </c>
      <c r="D23" s="19">
        <v>199.9</v>
      </c>
      <c r="E23" s="22">
        <f t="shared" si="0"/>
        <v>116</v>
      </c>
      <c r="F23" s="19">
        <v>179.8</v>
      </c>
      <c r="G23" s="35">
        <v>165</v>
      </c>
      <c r="H23" s="19">
        <v>199.5</v>
      </c>
      <c r="I23" s="33">
        <v>214</v>
      </c>
      <c r="J23" s="19">
        <v>201</v>
      </c>
      <c r="L23" s="22">
        <v>18</v>
      </c>
      <c r="M23" s="19">
        <v>203.9</v>
      </c>
      <c r="N23" s="22">
        <v>67</v>
      </c>
      <c r="O23" s="19">
        <v>199.9</v>
      </c>
      <c r="P23" s="22">
        <f t="shared" si="1"/>
        <v>116</v>
      </c>
      <c r="Q23" s="19"/>
      <c r="R23" s="35">
        <v>165</v>
      </c>
      <c r="S23" s="19"/>
      <c r="T23" s="33">
        <v>214</v>
      </c>
      <c r="U23" s="19">
        <v>201</v>
      </c>
      <c r="W23" s="22">
        <v>18</v>
      </c>
      <c r="X23" s="19"/>
      <c r="Y23" s="22">
        <v>67</v>
      </c>
      <c r="Z23" s="19"/>
      <c r="AA23" s="22">
        <f t="shared" si="2"/>
        <v>116</v>
      </c>
      <c r="AB23" s="19">
        <v>179.8</v>
      </c>
      <c r="AC23" s="35">
        <v>165</v>
      </c>
      <c r="AD23" s="19">
        <v>199.5</v>
      </c>
      <c r="AE23" s="33">
        <v>214</v>
      </c>
      <c r="AF23" s="19"/>
    </row>
    <row r="24" spans="1:32" ht="15.75" x14ac:dyDescent="0.25">
      <c r="A24" s="22">
        <v>19</v>
      </c>
      <c r="B24" s="19">
        <v>198.4</v>
      </c>
      <c r="C24" s="22">
        <v>68</v>
      </c>
      <c r="D24" s="19">
        <v>205.5</v>
      </c>
      <c r="E24" s="22">
        <f t="shared" si="0"/>
        <v>117</v>
      </c>
      <c r="F24" s="19">
        <v>202.6</v>
      </c>
      <c r="G24" s="35">
        <v>166</v>
      </c>
      <c r="H24" s="19">
        <v>208.8</v>
      </c>
      <c r="I24" s="33">
        <v>215</v>
      </c>
      <c r="J24" s="19">
        <v>183.4</v>
      </c>
      <c r="L24" s="22">
        <v>19</v>
      </c>
      <c r="M24" s="19">
        <v>198.4</v>
      </c>
      <c r="N24" s="22">
        <v>68</v>
      </c>
      <c r="O24" s="19">
        <v>205.5</v>
      </c>
      <c r="P24" s="22">
        <f t="shared" si="1"/>
        <v>117</v>
      </c>
      <c r="Q24" s="19"/>
      <c r="R24" s="35">
        <v>166</v>
      </c>
      <c r="S24" s="19"/>
      <c r="T24" s="33">
        <v>215</v>
      </c>
      <c r="U24" s="19">
        <v>183.4</v>
      </c>
      <c r="W24" s="22">
        <v>19</v>
      </c>
      <c r="X24" s="19"/>
      <c r="Y24" s="22">
        <v>68</v>
      </c>
      <c r="Z24" s="19"/>
      <c r="AA24" s="22">
        <f t="shared" si="2"/>
        <v>117</v>
      </c>
      <c r="AB24" s="19">
        <v>202.6</v>
      </c>
      <c r="AC24" s="35">
        <v>166</v>
      </c>
      <c r="AD24" s="19">
        <v>208.8</v>
      </c>
      <c r="AE24" s="33">
        <v>215</v>
      </c>
      <c r="AF24" s="19"/>
    </row>
    <row r="25" spans="1:32" ht="15.75" x14ac:dyDescent="0.25">
      <c r="A25" s="22">
        <v>20</v>
      </c>
      <c r="B25" s="19">
        <v>196.7</v>
      </c>
      <c r="C25" s="22">
        <v>69</v>
      </c>
      <c r="D25" s="19">
        <v>198.1</v>
      </c>
      <c r="E25" s="22">
        <f t="shared" si="0"/>
        <v>118</v>
      </c>
      <c r="F25" s="19">
        <v>180.7</v>
      </c>
      <c r="G25" s="35">
        <v>167</v>
      </c>
      <c r="H25" s="19">
        <v>188.8</v>
      </c>
      <c r="I25" s="33">
        <v>216</v>
      </c>
      <c r="J25" s="19">
        <v>204.4</v>
      </c>
      <c r="L25" s="22">
        <v>20</v>
      </c>
      <c r="M25" s="19">
        <v>196.7</v>
      </c>
      <c r="N25" s="22">
        <v>69</v>
      </c>
      <c r="O25" s="19">
        <v>198.1</v>
      </c>
      <c r="P25" s="22">
        <f t="shared" si="1"/>
        <v>118</v>
      </c>
      <c r="Q25" s="19"/>
      <c r="R25" s="35">
        <v>167</v>
      </c>
      <c r="S25" s="19"/>
      <c r="T25" s="33">
        <v>216</v>
      </c>
      <c r="U25" s="19">
        <v>204.4</v>
      </c>
      <c r="W25" s="22">
        <v>20</v>
      </c>
      <c r="X25" s="19"/>
      <c r="Y25" s="22">
        <v>69</v>
      </c>
      <c r="Z25" s="19"/>
      <c r="AA25" s="22">
        <f t="shared" si="2"/>
        <v>118</v>
      </c>
      <c r="AB25" s="19">
        <v>180.7</v>
      </c>
      <c r="AC25" s="35">
        <v>167</v>
      </c>
      <c r="AD25" s="19">
        <v>188.8</v>
      </c>
      <c r="AE25" s="33">
        <v>216</v>
      </c>
      <c r="AF25" s="19"/>
    </row>
    <row r="26" spans="1:32" ht="15.75" x14ac:dyDescent="0.25">
      <c r="A26" s="22">
        <v>21</v>
      </c>
      <c r="B26" s="19">
        <v>194.7</v>
      </c>
      <c r="C26" s="22">
        <v>70</v>
      </c>
      <c r="D26" s="19">
        <v>195.8</v>
      </c>
      <c r="E26" s="22">
        <f t="shared" si="0"/>
        <v>119</v>
      </c>
      <c r="F26" s="19">
        <v>199.3</v>
      </c>
      <c r="G26" s="35">
        <v>168</v>
      </c>
      <c r="H26" s="19">
        <v>199.8</v>
      </c>
      <c r="I26" s="33">
        <v>217</v>
      </c>
      <c r="J26" s="19">
        <v>196.8</v>
      </c>
      <c r="L26" s="22">
        <v>21</v>
      </c>
      <c r="M26" s="19">
        <v>194.7</v>
      </c>
      <c r="N26" s="22">
        <v>70</v>
      </c>
      <c r="O26" s="19">
        <v>195.8</v>
      </c>
      <c r="P26" s="22">
        <f t="shared" si="1"/>
        <v>119</v>
      </c>
      <c r="Q26" s="19"/>
      <c r="R26" s="35">
        <v>168</v>
      </c>
      <c r="S26" s="19"/>
      <c r="T26" s="33">
        <v>217</v>
      </c>
      <c r="U26" s="19">
        <v>196.8</v>
      </c>
      <c r="W26" s="22">
        <v>21</v>
      </c>
      <c r="X26" s="19"/>
      <c r="Y26" s="22">
        <v>70</v>
      </c>
      <c r="Z26" s="19"/>
      <c r="AA26" s="22">
        <f t="shared" si="2"/>
        <v>119</v>
      </c>
      <c r="AB26" s="19">
        <v>199.3</v>
      </c>
      <c r="AC26" s="35">
        <v>168</v>
      </c>
      <c r="AD26" s="19">
        <v>199.8</v>
      </c>
      <c r="AE26" s="33">
        <v>217</v>
      </c>
      <c r="AF26" s="19"/>
    </row>
    <row r="27" spans="1:32" ht="15.75" x14ac:dyDescent="0.25">
      <c r="A27" s="22">
        <v>22</v>
      </c>
      <c r="B27" s="19">
        <v>204.2</v>
      </c>
      <c r="C27" s="22">
        <v>71</v>
      </c>
      <c r="D27" s="19">
        <v>200.8</v>
      </c>
      <c r="E27" s="22">
        <f t="shared" si="0"/>
        <v>120</v>
      </c>
      <c r="F27" s="19">
        <v>183.2</v>
      </c>
      <c r="G27" s="35">
        <v>169</v>
      </c>
      <c r="H27" s="19">
        <v>201.5</v>
      </c>
      <c r="I27" s="33">
        <v>218</v>
      </c>
      <c r="J27" s="19">
        <v>202.8</v>
      </c>
      <c r="L27" s="22">
        <v>22</v>
      </c>
      <c r="M27" s="19">
        <v>204.2</v>
      </c>
      <c r="N27" s="22">
        <v>71</v>
      </c>
      <c r="O27" s="19">
        <v>200.8</v>
      </c>
      <c r="P27" s="22">
        <f t="shared" si="1"/>
        <v>120</v>
      </c>
      <c r="Q27" s="19"/>
      <c r="R27" s="35">
        <v>169</v>
      </c>
      <c r="S27" s="19"/>
      <c r="T27" s="33">
        <v>218</v>
      </c>
      <c r="U27" s="19">
        <v>202.8</v>
      </c>
      <c r="W27" s="22">
        <v>22</v>
      </c>
      <c r="X27" s="19"/>
      <c r="Y27" s="22">
        <v>71</v>
      </c>
      <c r="Z27" s="19"/>
      <c r="AA27" s="22">
        <f t="shared" si="2"/>
        <v>120</v>
      </c>
      <c r="AB27" s="19">
        <v>183.2</v>
      </c>
      <c r="AC27" s="35">
        <v>169</v>
      </c>
      <c r="AD27" s="19">
        <v>201.5</v>
      </c>
      <c r="AE27" s="33">
        <v>218</v>
      </c>
      <c r="AF27" s="19"/>
    </row>
    <row r="28" spans="1:32" ht="15.75" x14ac:dyDescent="0.25">
      <c r="A28" s="22">
        <v>23</v>
      </c>
      <c r="B28" s="19">
        <v>201.7</v>
      </c>
      <c r="C28" s="22">
        <v>72</v>
      </c>
      <c r="D28" s="19">
        <v>203.9</v>
      </c>
      <c r="E28" s="22">
        <f t="shared" si="0"/>
        <v>121</v>
      </c>
      <c r="F28" s="19">
        <v>199.1</v>
      </c>
      <c r="G28" s="35">
        <v>170</v>
      </c>
      <c r="H28" s="19">
        <v>204.4</v>
      </c>
      <c r="I28" s="33">
        <v>219</v>
      </c>
      <c r="J28" s="19">
        <v>185</v>
      </c>
      <c r="L28" s="22">
        <v>23</v>
      </c>
      <c r="M28" s="19">
        <v>201.7</v>
      </c>
      <c r="N28" s="22">
        <v>72</v>
      </c>
      <c r="O28" s="19">
        <v>203.9</v>
      </c>
      <c r="P28" s="22">
        <f t="shared" si="1"/>
        <v>121</v>
      </c>
      <c r="Q28" s="19"/>
      <c r="R28" s="35">
        <v>170</v>
      </c>
      <c r="S28" s="19">
        <v>204.4</v>
      </c>
      <c r="T28" s="33">
        <v>219</v>
      </c>
      <c r="U28" s="19">
        <v>185</v>
      </c>
      <c r="W28" s="22">
        <v>23</v>
      </c>
      <c r="X28" s="19"/>
      <c r="Y28" s="22">
        <v>72</v>
      </c>
      <c r="Z28" s="19"/>
      <c r="AA28" s="22">
        <f t="shared" si="2"/>
        <v>121</v>
      </c>
      <c r="AB28" s="19">
        <v>199.1</v>
      </c>
      <c r="AC28" s="35">
        <v>170</v>
      </c>
      <c r="AD28" s="19"/>
      <c r="AE28" s="33">
        <v>219</v>
      </c>
      <c r="AF28" s="19"/>
    </row>
    <row r="29" spans="1:32" ht="15.75" x14ac:dyDescent="0.25">
      <c r="A29" s="22">
        <v>24</v>
      </c>
      <c r="B29" s="19">
        <v>203.2</v>
      </c>
      <c r="C29" s="22">
        <v>73</v>
      </c>
      <c r="D29" s="19">
        <v>198.8</v>
      </c>
      <c r="E29" s="22">
        <f t="shared" si="0"/>
        <v>122</v>
      </c>
      <c r="F29" s="19">
        <v>178</v>
      </c>
      <c r="G29" s="35">
        <v>171</v>
      </c>
      <c r="H29" s="19">
        <v>203</v>
      </c>
      <c r="I29" s="33">
        <v>220</v>
      </c>
      <c r="J29" s="19">
        <v>206.8</v>
      </c>
      <c r="L29" s="22">
        <v>24</v>
      </c>
      <c r="M29" s="19">
        <v>203.2</v>
      </c>
      <c r="N29" s="22">
        <v>73</v>
      </c>
      <c r="O29" s="19">
        <v>198.8</v>
      </c>
      <c r="P29" s="22">
        <f t="shared" si="1"/>
        <v>122</v>
      </c>
      <c r="Q29" s="19"/>
      <c r="R29" s="35">
        <v>171</v>
      </c>
      <c r="S29" s="19">
        <v>203</v>
      </c>
      <c r="T29" s="33">
        <v>220</v>
      </c>
      <c r="U29" s="19">
        <v>206.8</v>
      </c>
      <c r="W29" s="22">
        <v>24</v>
      </c>
      <c r="X29" s="19"/>
      <c r="Y29" s="22">
        <v>73</v>
      </c>
      <c r="Z29" s="19"/>
      <c r="AA29" s="22">
        <f t="shared" si="2"/>
        <v>122</v>
      </c>
      <c r="AB29" s="19">
        <v>178</v>
      </c>
      <c r="AC29" s="35">
        <v>171</v>
      </c>
      <c r="AD29" s="19"/>
      <c r="AE29" s="33">
        <v>220</v>
      </c>
      <c r="AF29" s="19"/>
    </row>
    <row r="30" spans="1:32" ht="15.75" x14ac:dyDescent="0.25">
      <c r="A30" s="22">
        <v>25</v>
      </c>
      <c r="B30" s="19">
        <v>194.6</v>
      </c>
      <c r="C30" s="22">
        <v>74</v>
      </c>
      <c r="D30" s="19">
        <v>200.7</v>
      </c>
      <c r="E30" s="22">
        <f t="shared" si="0"/>
        <v>123</v>
      </c>
      <c r="F30" s="19">
        <v>197.2</v>
      </c>
      <c r="G30" s="35">
        <v>172</v>
      </c>
      <c r="H30" s="19">
        <v>203.6</v>
      </c>
      <c r="I30" s="20"/>
      <c r="J30" s="36"/>
      <c r="L30" s="22">
        <v>25</v>
      </c>
      <c r="M30" s="19">
        <v>194.6</v>
      </c>
      <c r="N30" s="22">
        <v>74</v>
      </c>
      <c r="O30" s="19">
        <v>200.7</v>
      </c>
      <c r="P30" s="22">
        <f t="shared" si="1"/>
        <v>123</v>
      </c>
      <c r="Q30" s="19"/>
      <c r="R30" s="35">
        <v>172</v>
      </c>
      <c r="S30" s="19">
        <v>203.6</v>
      </c>
      <c r="T30" s="20"/>
      <c r="U30" s="36"/>
      <c r="W30" s="22">
        <v>25</v>
      </c>
      <c r="X30" s="19"/>
      <c r="Y30" s="22">
        <v>74</v>
      </c>
      <c r="Z30" s="19"/>
      <c r="AA30" s="22">
        <f t="shared" si="2"/>
        <v>123</v>
      </c>
      <c r="AB30" s="19">
        <v>197.2</v>
      </c>
      <c r="AC30" s="35">
        <v>172</v>
      </c>
      <c r="AD30" s="19"/>
      <c r="AE30" s="20"/>
      <c r="AF30" s="36"/>
    </row>
    <row r="31" spans="1:32" ht="15.75" x14ac:dyDescent="0.25">
      <c r="A31" s="22">
        <v>26</v>
      </c>
      <c r="B31" s="19">
        <v>193</v>
      </c>
      <c r="C31" s="22">
        <v>75</v>
      </c>
      <c r="D31" s="19">
        <v>202.1</v>
      </c>
      <c r="E31" s="22">
        <f t="shared" si="0"/>
        <v>124</v>
      </c>
      <c r="F31" s="19">
        <v>191.6</v>
      </c>
      <c r="G31" s="35">
        <v>173</v>
      </c>
      <c r="H31" s="19">
        <v>195.8</v>
      </c>
      <c r="I31" s="20"/>
      <c r="J31" s="36"/>
      <c r="L31" s="22">
        <v>26</v>
      </c>
      <c r="M31" s="19">
        <v>193</v>
      </c>
      <c r="N31" s="22">
        <v>75</v>
      </c>
      <c r="O31" s="19">
        <v>202.1</v>
      </c>
      <c r="P31" s="22">
        <f t="shared" si="1"/>
        <v>124</v>
      </c>
      <c r="Q31" s="19"/>
      <c r="R31" s="35">
        <v>173</v>
      </c>
      <c r="S31" s="19">
        <v>195.8</v>
      </c>
      <c r="T31" s="20"/>
      <c r="U31" s="36"/>
      <c r="W31" s="22">
        <v>26</v>
      </c>
      <c r="X31" s="19"/>
      <c r="Y31" s="22">
        <v>75</v>
      </c>
      <c r="Z31" s="19"/>
      <c r="AA31" s="22">
        <f t="shared" si="2"/>
        <v>124</v>
      </c>
      <c r="AB31" s="19">
        <v>191.6</v>
      </c>
      <c r="AC31" s="35">
        <v>173</v>
      </c>
      <c r="AD31" s="19"/>
      <c r="AE31" s="20"/>
      <c r="AF31" s="36"/>
    </row>
    <row r="32" spans="1:32" ht="15.75" x14ac:dyDescent="0.25">
      <c r="A32" s="22">
        <v>27</v>
      </c>
      <c r="B32" s="19">
        <v>204.5</v>
      </c>
      <c r="C32" s="22">
        <v>76</v>
      </c>
      <c r="D32" s="19">
        <v>198.3</v>
      </c>
      <c r="E32" s="22">
        <f t="shared" si="0"/>
        <v>125</v>
      </c>
      <c r="F32" s="19">
        <v>201.9</v>
      </c>
      <c r="G32" s="33">
        <v>174</v>
      </c>
      <c r="H32" s="19">
        <v>195.4</v>
      </c>
      <c r="I32" s="21"/>
      <c r="J32" s="36"/>
      <c r="L32" s="22">
        <v>27</v>
      </c>
      <c r="M32" s="19">
        <v>204.5</v>
      </c>
      <c r="N32" s="22">
        <v>76</v>
      </c>
      <c r="O32" s="19">
        <v>198.3</v>
      </c>
      <c r="P32" s="22">
        <f t="shared" si="1"/>
        <v>125</v>
      </c>
      <c r="Q32" s="19"/>
      <c r="R32" s="33">
        <v>174</v>
      </c>
      <c r="S32" s="19">
        <v>195.4</v>
      </c>
      <c r="T32" s="21"/>
      <c r="U32" s="36"/>
      <c r="W32" s="22">
        <v>27</v>
      </c>
      <c r="X32" s="19"/>
      <c r="Y32" s="22">
        <v>76</v>
      </c>
      <c r="Z32" s="19"/>
      <c r="AA32" s="22">
        <f t="shared" si="2"/>
        <v>125</v>
      </c>
      <c r="AB32" s="19">
        <v>201.9</v>
      </c>
      <c r="AC32" s="33">
        <v>174</v>
      </c>
      <c r="AD32" s="19"/>
      <c r="AE32" s="21"/>
      <c r="AF32" s="36"/>
    </row>
    <row r="33" spans="1:32" ht="15.75" x14ac:dyDescent="0.25">
      <c r="A33" s="22">
        <v>28</v>
      </c>
      <c r="B33" s="19">
        <v>197.4</v>
      </c>
      <c r="C33" s="22">
        <v>77</v>
      </c>
      <c r="D33" s="19">
        <v>209</v>
      </c>
      <c r="E33" s="22">
        <f t="shared" si="0"/>
        <v>126</v>
      </c>
      <c r="F33" s="19">
        <v>198.2</v>
      </c>
      <c r="G33" s="33">
        <v>175</v>
      </c>
      <c r="H33" s="19">
        <v>181</v>
      </c>
      <c r="I33" s="20"/>
      <c r="J33" s="36"/>
      <c r="L33" s="22">
        <v>28</v>
      </c>
      <c r="M33" s="19">
        <v>197.4</v>
      </c>
      <c r="N33" s="22">
        <v>77</v>
      </c>
      <c r="O33" s="19">
        <v>209</v>
      </c>
      <c r="P33" s="22">
        <f t="shared" si="1"/>
        <v>126</v>
      </c>
      <c r="Q33" s="19"/>
      <c r="R33" s="33">
        <v>175</v>
      </c>
      <c r="S33" s="19">
        <v>181</v>
      </c>
      <c r="T33" s="20"/>
      <c r="U33" s="36"/>
      <c r="W33" s="22">
        <v>28</v>
      </c>
      <c r="X33" s="19"/>
      <c r="Y33" s="22">
        <v>77</v>
      </c>
      <c r="Z33" s="19"/>
      <c r="AA33" s="22">
        <f t="shared" si="2"/>
        <v>126</v>
      </c>
      <c r="AB33" s="19">
        <v>198.2</v>
      </c>
      <c r="AC33" s="33">
        <v>175</v>
      </c>
      <c r="AD33" s="19"/>
      <c r="AE33" s="20"/>
      <c r="AF33" s="36"/>
    </row>
    <row r="34" spans="1:32" ht="15.75" x14ac:dyDescent="0.25">
      <c r="A34" s="22">
        <v>29</v>
      </c>
      <c r="B34" s="19">
        <v>201.3</v>
      </c>
      <c r="C34" s="22">
        <v>78</v>
      </c>
      <c r="D34" s="19">
        <v>202.9</v>
      </c>
      <c r="E34" s="22">
        <f t="shared" si="0"/>
        <v>127</v>
      </c>
      <c r="F34" s="19">
        <v>191.5</v>
      </c>
      <c r="G34" s="33">
        <v>176</v>
      </c>
      <c r="H34" s="19">
        <v>205.4</v>
      </c>
      <c r="I34" s="20"/>
      <c r="J34" s="36"/>
      <c r="L34" s="22">
        <v>29</v>
      </c>
      <c r="M34" s="19">
        <v>201.3</v>
      </c>
      <c r="N34" s="22">
        <v>78</v>
      </c>
      <c r="O34" s="19">
        <v>202.9</v>
      </c>
      <c r="P34" s="22">
        <f t="shared" si="1"/>
        <v>127</v>
      </c>
      <c r="Q34" s="19"/>
      <c r="R34" s="33">
        <v>176</v>
      </c>
      <c r="S34" s="19">
        <v>205.4</v>
      </c>
      <c r="T34" s="20"/>
      <c r="U34" s="36"/>
      <c r="W34" s="22">
        <v>29</v>
      </c>
      <c r="X34" s="19"/>
      <c r="Y34" s="22">
        <v>78</v>
      </c>
      <c r="Z34" s="19"/>
      <c r="AA34" s="22">
        <f t="shared" si="2"/>
        <v>127</v>
      </c>
      <c r="AB34" s="19">
        <v>191.5</v>
      </c>
      <c r="AC34" s="33">
        <v>176</v>
      </c>
      <c r="AD34" s="19"/>
      <c r="AE34" s="20"/>
      <c r="AF34" s="36"/>
    </row>
    <row r="35" spans="1:32" ht="15.75" x14ac:dyDescent="0.25">
      <c r="A35" s="22">
        <v>30</v>
      </c>
      <c r="B35" s="19">
        <v>197.4</v>
      </c>
      <c r="C35" s="22">
        <v>79</v>
      </c>
      <c r="D35" s="19">
        <v>204.4</v>
      </c>
      <c r="E35" s="22">
        <f t="shared" si="0"/>
        <v>128</v>
      </c>
      <c r="F35" s="19">
        <v>201.1</v>
      </c>
      <c r="G35" s="33">
        <v>177</v>
      </c>
      <c r="H35" s="19">
        <v>201.4</v>
      </c>
      <c r="I35" s="21"/>
      <c r="J35" s="36"/>
      <c r="L35" s="22">
        <v>30</v>
      </c>
      <c r="M35" s="19">
        <v>197.4</v>
      </c>
      <c r="N35" s="22">
        <v>79</v>
      </c>
      <c r="O35" s="19"/>
      <c r="P35" s="22">
        <f t="shared" si="1"/>
        <v>128</v>
      </c>
      <c r="Q35" s="19"/>
      <c r="R35" s="33">
        <v>177</v>
      </c>
      <c r="S35" s="19">
        <v>201.4</v>
      </c>
      <c r="T35" s="21"/>
      <c r="U35" s="36"/>
      <c r="W35" s="22">
        <v>30</v>
      </c>
      <c r="X35" s="19"/>
      <c r="Y35" s="22">
        <v>79</v>
      </c>
      <c r="Z35" s="19">
        <v>204.4</v>
      </c>
      <c r="AA35" s="22">
        <f t="shared" si="2"/>
        <v>128</v>
      </c>
      <c r="AB35" s="19">
        <v>201.1</v>
      </c>
      <c r="AC35" s="33">
        <v>177</v>
      </c>
      <c r="AD35" s="19"/>
      <c r="AE35" s="21"/>
      <c r="AF35" s="36"/>
    </row>
    <row r="36" spans="1:32" ht="15.75" x14ac:dyDescent="0.25">
      <c r="A36" s="22">
        <v>31</v>
      </c>
      <c r="B36" s="19">
        <v>208.1</v>
      </c>
      <c r="C36" s="22">
        <v>80</v>
      </c>
      <c r="D36" s="19">
        <v>201.6</v>
      </c>
      <c r="E36" s="22">
        <f t="shared" si="0"/>
        <v>129</v>
      </c>
      <c r="F36" s="19">
        <v>203.4</v>
      </c>
      <c r="G36" s="33">
        <v>178</v>
      </c>
      <c r="H36" s="19">
        <v>196.3</v>
      </c>
      <c r="I36" s="20"/>
      <c r="J36" s="36"/>
      <c r="L36" s="22">
        <v>31</v>
      </c>
      <c r="M36" s="19">
        <v>208.1</v>
      </c>
      <c r="N36" s="22">
        <v>80</v>
      </c>
      <c r="O36" s="19"/>
      <c r="P36" s="22">
        <f t="shared" si="1"/>
        <v>129</v>
      </c>
      <c r="Q36" s="19"/>
      <c r="R36" s="33">
        <v>178</v>
      </c>
      <c r="S36" s="19">
        <v>196.3</v>
      </c>
      <c r="T36" s="20"/>
      <c r="U36" s="36"/>
      <c r="W36" s="22">
        <v>31</v>
      </c>
      <c r="X36" s="19"/>
      <c r="Y36" s="22">
        <v>80</v>
      </c>
      <c r="Z36" s="19">
        <v>201.6</v>
      </c>
      <c r="AA36" s="22">
        <f t="shared" si="2"/>
        <v>129</v>
      </c>
      <c r="AB36" s="19">
        <v>203.4</v>
      </c>
      <c r="AC36" s="33">
        <v>178</v>
      </c>
      <c r="AD36" s="19"/>
      <c r="AE36" s="20"/>
      <c r="AF36" s="36"/>
    </row>
    <row r="37" spans="1:32" ht="15.75" x14ac:dyDescent="0.25">
      <c r="A37" s="22">
        <v>32</v>
      </c>
      <c r="B37" s="19">
        <v>203</v>
      </c>
      <c r="C37" s="22">
        <v>81</v>
      </c>
      <c r="D37" s="19">
        <v>198.2</v>
      </c>
      <c r="E37" s="22">
        <f t="shared" si="0"/>
        <v>130</v>
      </c>
      <c r="F37" s="19">
        <v>180</v>
      </c>
      <c r="G37" s="33">
        <v>179</v>
      </c>
      <c r="H37" s="19">
        <v>201.8</v>
      </c>
      <c r="I37" s="20"/>
      <c r="J37" s="36"/>
      <c r="L37" s="22">
        <v>32</v>
      </c>
      <c r="M37" s="19">
        <v>203</v>
      </c>
      <c r="N37" s="22">
        <v>81</v>
      </c>
      <c r="O37" s="19"/>
      <c r="P37" s="22">
        <f t="shared" si="1"/>
        <v>130</v>
      </c>
      <c r="Q37" s="19"/>
      <c r="R37" s="33">
        <v>179</v>
      </c>
      <c r="S37" s="19">
        <v>201.8</v>
      </c>
      <c r="T37" s="20"/>
      <c r="U37" s="36"/>
      <c r="W37" s="22">
        <v>32</v>
      </c>
      <c r="X37" s="19"/>
      <c r="Y37" s="22">
        <v>81</v>
      </c>
      <c r="Z37" s="19">
        <v>198.2</v>
      </c>
      <c r="AA37" s="22">
        <f t="shared" si="2"/>
        <v>130</v>
      </c>
      <c r="AB37" s="19">
        <v>180</v>
      </c>
      <c r="AC37" s="33">
        <v>179</v>
      </c>
      <c r="AD37" s="19"/>
      <c r="AE37" s="20"/>
      <c r="AF37" s="36"/>
    </row>
    <row r="38" spans="1:32" ht="15.75" x14ac:dyDescent="0.25">
      <c r="A38" s="22">
        <v>33</v>
      </c>
      <c r="B38" s="19">
        <v>196</v>
      </c>
      <c r="C38" s="22">
        <v>82</v>
      </c>
      <c r="D38" s="19">
        <v>171.3</v>
      </c>
      <c r="E38" s="22">
        <f t="shared" si="0"/>
        <v>131</v>
      </c>
      <c r="F38" s="19">
        <v>202.4</v>
      </c>
      <c r="G38" s="33">
        <v>180</v>
      </c>
      <c r="H38" s="19">
        <v>206.3</v>
      </c>
      <c r="I38" s="21"/>
      <c r="J38" s="36"/>
      <c r="L38" s="22">
        <v>33</v>
      </c>
      <c r="M38" s="19">
        <v>196</v>
      </c>
      <c r="N38" s="22">
        <v>82</v>
      </c>
      <c r="O38" s="19"/>
      <c r="P38" s="22">
        <f t="shared" si="1"/>
        <v>131</v>
      </c>
      <c r="Q38" s="19"/>
      <c r="R38" s="33">
        <v>180</v>
      </c>
      <c r="S38" s="19">
        <v>206.3</v>
      </c>
      <c r="T38" s="21"/>
      <c r="U38" s="36"/>
      <c r="W38" s="22">
        <v>33</v>
      </c>
      <c r="X38" s="19"/>
      <c r="Y38" s="22">
        <v>82</v>
      </c>
      <c r="Z38" s="19">
        <v>171.3</v>
      </c>
      <c r="AA38" s="22">
        <f t="shared" si="2"/>
        <v>131</v>
      </c>
      <c r="AB38" s="19">
        <v>202.4</v>
      </c>
      <c r="AC38" s="33">
        <v>180</v>
      </c>
      <c r="AD38" s="19"/>
      <c r="AE38" s="21"/>
      <c r="AF38" s="36"/>
    </row>
    <row r="39" spans="1:32" ht="15.75" x14ac:dyDescent="0.25">
      <c r="A39" s="22">
        <v>34</v>
      </c>
      <c r="B39" s="19">
        <v>200.2</v>
      </c>
      <c r="C39" s="22">
        <v>83</v>
      </c>
      <c r="D39" s="19">
        <v>197.7</v>
      </c>
      <c r="E39" s="22">
        <f t="shared" si="0"/>
        <v>132</v>
      </c>
      <c r="F39" s="19">
        <v>202.1</v>
      </c>
      <c r="G39" s="33">
        <v>181</v>
      </c>
      <c r="H39" s="19">
        <v>201.9</v>
      </c>
      <c r="I39" s="21"/>
      <c r="J39" s="36"/>
      <c r="L39" s="22">
        <v>34</v>
      </c>
      <c r="M39" s="19">
        <v>200.2</v>
      </c>
      <c r="N39" s="22">
        <v>83</v>
      </c>
      <c r="O39" s="19"/>
      <c r="P39" s="22">
        <f t="shared" si="1"/>
        <v>132</v>
      </c>
      <c r="Q39" s="19"/>
      <c r="R39" s="33">
        <v>181</v>
      </c>
      <c r="S39" s="19">
        <v>201.9</v>
      </c>
      <c r="T39" s="21"/>
      <c r="U39" s="36"/>
      <c r="W39" s="22">
        <v>34</v>
      </c>
      <c r="X39" s="19"/>
      <c r="Y39" s="22">
        <v>83</v>
      </c>
      <c r="Z39" s="19">
        <v>197.7</v>
      </c>
      <c r="AA39" s="22">
        <f t="shared" si="2"/>
        <v>132</v>
      </c>
      <c r="AB39" s="19">
        <v>202.1</v>
      </c>
      <c r="AC39" s="33">
        <v>181</v>
      </c>
      <c r="AD39" s="19"/>
      <c r="AE39" s="21"/>
      <c r="AF39" s="36"/>
    </row>
    <row r="40" spans="1:32" ht="15.75" x14ac:dyDescent="0.25">
      <c r="A40" s="22">
        <v>35</v>
      </c>
      <c r="B40" s="19">
        <v>197.1</v>
      </c>
      <c r="C40" s="22">
        <v>84</v>
      </c>
      <c r="D40" s="19">
        <v>200.3</v>
      </c>
      <c r="E40" s="22">
        <f t="shared" si="0"/>
        <v>133</v>
      </c>
      <c r="F40" s="19">
        <v>204.3</v>
      </c>
      <c r="G40" s="33">
        <v>182</v>
      </c>
      <c r="H40" s="19">
        <v>199.6</v>
      </c>
      <c r="I40" s="20"/>
      <c r="J40" s="36"/>
      <c r="L40" s="22">
        <v>35</v>
      </c>
      <c r="M40" s="19">
        <v>197.1</v>
      </c>
      <c r="N40" s="22">
        <v>84</v>
      </c>
      <c r="O40" s="19"/>
      <c r="P40" s="22">
        <f t="shared" si="1"/>
        <v>133</v>
      </c>
      <c r="Q40" s="19"/>
      <c r="R40" s="33">
        <v>182</v>
      </c>
      <c r="S40" s="19">
        <v>199.6</v>
      </c>
      <c r="T40" s="20"/>
      <c r="U40" s="36"/>
      <c r="W40" s="22">
        <v>35</v>
      </c>
      <c r="X40" s="19"/>
      <c r="Y40" s="22">
        <v>84</v>
      </c>
      <c r="Z40" s="19">
        <v>200.3</v>
      </c>
      <c r="AA40" s="22">
        <f t="shared" si="2"/>
        <v>133</v>
      </c>
      <c r="AB40" s="19">
        <v>204.3</v>
      </c>
      <c r="AC40" s="33">
        <v>182</v>
      </c>
      <c r="AD40" s="19"/>
      <c r="AE40" s="20"/>
      <c r="AF40" s="36"/>
    </row>
    <row r="41" spans="1:32" ht="15.75" x14ac:dyDescent="0.25">
      <c r="A41" s="22">
        <v>36</v>
      </c>
      <c r="B41" s="19">
        <v>198.5</v>
      </c>
      <c r="C41" s="22">
        <v>85</v>
      </c>
      <c r="D41" s="19">
        <v>211.7</v>
      </c>
      <c r="E41" s="22">
        <f t="shared" si="0"/>
        <v>134</v>
      </c>
      <c r="F41" s="19">
        <v>200.2</v>
      </c>
      <c r="G41" s="33">
        <v>183</v>
      </c>
      <c r="H41" s="19">
        <v>202.1</v>
      </c>
      <c r="I41" s="20"/>
      <c r="J41" s="36"/>
      <c r="L41" s="22">
        <v>36</v>
      </c>
      <c r="M41" s="19">
        <v>198.5</v>
      </c>
      <c r="N41" s="22">
        <v>85</v>
      </c>
      <c r="O41" s="19"/>
      <c r="P41" s="22">
        <f t="shared" si="1"/>
        <v>134</v>
      </c>
      <c r="Q41" s="19"/>
      <c r="R41" s="33">
        <v>183</v>
      </c>
      <c r="S41" s="19">
        <v>202.1</v>
      </c>
      <c r="T41" s="20"/>
      <c r="U41" s="36"/>
      <c r="W41" s="22">
        <v>36</v>
      </c>
      <c r="X41" s="19"/>
      <c r="Y41" s="22">
        <v>85</v>
      </c>
      <c r="Z41" s="19">
        <v>211.7</v>
      </c>
      <c r="AA41" s="22">
        <f t="shared" si="2"/>
        <v>134</v>
      </c>
      <c r="AB41" s="19">
        <v>200.2</v>
      </c>
      <c r="AC41" s="33">
        <v>183</v>
      </c>
      <c r="AD41" s="19"/>
      <c r="AE41" s="20"/>
      <c r="AF41" s="36"/>
    </row>
    <row r="42" spans="1:32" ht="15.75" x14ac:dyDescent="0.25">
      <c r="A42" s="22">
        <v>37</v>
      </c>
      <c r="B42" s="19">
        <v>199.4</v>
      </c>
      <c r="C42" s="22">
        <v>86</v>
      </c>
      <c r="D42" s="19">
        <v>202.5</v>
      </c>
      <c r="E42" s="22">
        <f t="shared" si="0"/>
        <v>135</v>
      </c>
      <c r="F42" s="19">
        <v>206.7</v>
      </c>
      <c r="G42" s="33">
        <v>184</v>
      </c>
      <c r="H42" s="19">
        <v>204.9</v>
      </c>
      <c r="I42" s="21"/>
      <c r="J42" s="36"/>
      <c r="L42" s="22">
        <v>37</v>
      </c>
      <c r="M42" s="19">
        <v>199.4</v>
      </c>
      <c r="N42" s="22">
        <v>86</v>
      </c>
      <c r="O42" s="19"/>
      <c r="P42" s="22">
        <f t="shared" si="1"/>
        <v>135</v>
      </c>
      <c r="Q42" s="19"/>
      <c r="R42" s="33">
        <v>184</v>
      </c>
      <c r="S42" s="19">
        <v>204.9</v>
      </c>
      <c r="T42" s="21"/>
      <c r="U42" s="36"/>
      <c r="W42" s="22">
        <v>37</v>
      </c>
      <c r="X42" s="19"/>
      <c r="Y42" s="22">
        <v>86</v>
      </c>
      <c r="Z42" s="19">
        <v>202.5</v>
      </c>
      <c r="AA42" s="22">
        <f t="shared" si="2"/>
        <v>135</v>
      </c>
      <c r="AB42" s="19">
        <v>206.7</v>
      </c>
      <c r="AC42" s="33">
        <v>184</v>
      </c>
      <c r="AD42" s="19"/>
      <c r="AE42" s="21"/>
      <c r="AF42" s="36"/>
    </row>
    <row r="43" spans="1:32" ht="15.75" x14ac:dyDescent="0.25">
      <c r="A43" s="22">
        <v>38</v>
      </c>
      <c r="B43" s="19">
        <v>196.8</v>
      </c>
      <c r="C43" s="22">
        <v>87</v>
      </c>
      <c r="D43" s="19">
        <v>180.2</v>
      </c>
      <c r="E43" s="22">
        <f t="shared" si="0"/>
        <v>136</v>
      </c>
      <c r="F43" s="19">
        <v>199.4</v>
      </c>
      <c r="G43" s="33">
        <v>185</v>
      </c>
      <c r="H43" s="19">
        <v>202.2</v>
      </c>
      <c r="I43" s="20"/>
      <c r="J43" s="36"/>
      <c r="L43" s="22">
        <v>38</v>
      </c>
      <c r="M43" s="19">
        <v>196.8</v>
      </c>
      <c r="N43" s="22">
        <v>87</v>
      </c>
      <c r="O43" s="19"/>
      <c r="P43" s="22">
        <f t="shared" si="1"/>
        <v>136</v>
      </c>
      <c r="Q43" s="19"/>
      <c r="R43" s="33">
        <v>185</v>
      </c>
      <c r="S43" s="19">
        <v>202.2</v>
      </c>
      <c r="T43" s="20"/>
      <c r="U43" s="36"/>
      <c r="W43" s="22">
        <v>38</v>
      </c>
      <c r="X43" s="19"/>
      <c r="Y43" s="22">
        <v>87</v>
      </c>
      <c r="Z43" s="19">
        <v>180.2</v>
      </c>
      <c r="AA43" s="22">
        <f t="shared" si="2"/>
        <v>136</v>
      </c>
      <c r="AB43" s="19">
        <v>199.4</v>
      </c>
      <c r="AC43" s="33">
        <v>185</v>
      </c>
      <c r="AD43" s="19"/>
      <c r="AE43" s="20"/>
      <c r="AF43" s="36"/>
    </row>
    <row r="44" spans="1:32" ht="15.75" x14ac:dyDescent="0.25">
      <c r="A44" s="22">
        <v>39</v>
      </c>
      <c r="B44" s="19">
        <v>193.3</v>
      </c>
      <c r="C44" s="22">
        <v>88</v>
      </c>
      <c r="D44" s="19">
        <v>198.3</v>
      </c>
      <c r="E44" s="22">
        <f t="shared" si="0"/>
        <v>137</v>
      </c>
      <c r="F44" s="19">
        <v>194.6</v>
      </c>
      <c r="G44" s="33">
        <v>186</v>
      </c>
      <c r="H44" s="19">
        <v>205.8</v>
      </c>
      <c r="I44" s="20"/>
      <c r="J44" s="36"/>
      <c r="L44" s="22">
        <v>39</v>
      </c>
      <c r="M44" s="19">
        <v>193.3</v>
      </c>
      <c r="N44" s="22">
        <v>88</v>
      </c>
      <c r="O44" s="19"/>
      <c r="P44" s="22">
        <f t="shared" si="1"/>
        <v>137</v>
      </c>
      <c r="Q44" s="19"/>
      <c r="R44" s="33">
        <v>186</v>
      </c>
      <c r="S44" s="19">
        <v>205.8</v>
      </c>
      <c r="T44" s="20"/>
      <c r="U44" s="36"/>
      <c r="W44" s="22">
        <v>39</v>
      </c>
      <c r="X44" s="19"/>
      <c r="Y44" s="22">
        <v>88</v>
      </c>
      <c r="Z44" s="19">
        <v>198.3</v>
      </c>
      <c r="AA44" s="22">
        <f t="shared" si="2"/>
        <v>137</v>
      </c>
      <c r="AB44" s="19">
        <v>194.6</v>
      </c>
      <c r="AC44" s="33">
        <v>186</v>
      </c>
      <c r="AD44" s="19"/>
      <c r="AE44" s="20"/>
      <c r="AF44" s="36"/>
    </row>
    <row r="45" spans="1:32" ht="15.75" x14ac:dyDescent="0.25">
      <c r="A45" s="22">
        <v>40</v>
      </c>
      <c r="B45" s="19">
        <v>200.1</v>
      </c>
      <c r="C45" s="22">
        <v>89</v>
      </c>
      <c r="D45" s="19">
        <v>200.3</v>
      </c>
      <c r="E45" s="22">
        <f t="shared" si="0"/>
        <v>138</v>
      </c>
      <c r="F45" s="19">
        <v>164</v>
      </c>
      <c r="G45" s="33">
        <v>187</v>
      </c>
      <c r="H45" s="19">
        <v>165</v>
      </c>
      <c r="I45" s="21"/>
      <c r="J45" s="36"/>
      <c r="L45" s="22">
        <v>40</v>
      </c>
      <c r="M45" s="19">
        <v>200.1</v>
      </c>
      <c r="N45" s="22">
        <v>89</v>
      </c>
      <c r="O45" s="19"/>
      <c r="P45" s="22">
        <f t="shared" si="1"/>
        <v>138</v>
      </c>
      <c r="Q45" s="19"/>
      <c r="R45" s="33">
        <v>187</v>
      </c>
      <c r="S45" s="19">
        <v>165</v>
      </c>
      <c r="T45" s="21"/>
      <c r="U45" s="36"/>
      <c r="W45" s="22">
        <v>40</v>
      </c>
      <c r="X45" s="19"/>
      <c r="Y45" s="22">
        <v>89</v>
      </c>
      <c r="Z45" s="19">
        <v>200.3</v>
      </c>
      <c r="AA45" s="22">
        <f t="shared" si="2"/>
        <v>138</v>
      </c>
      <c r="AB45" s="19">
        <v>164</v>
      </c>
      <c r="AC45" s="33">
        <v>187</v>
      </c>
      <c r="AD45" s="19"/>
      <c r="AE45" s="21"/>
      <c r="AF45" s="36"/>
    </row>
    <row r="46" spans="1:32" ht="15.75" x14ac:dyDescent="0.25">
      <c r="A46" s="22">
        <v>41</v>
      </c>
      <c r="B46" s="19">
        <v>190.8</v>
      </c>
      <c r="C46" s="22">
        <v>90</v>
      </c>
      <c r="D46" s="19">
        <v>200.5</v>
      </c>
      <c r="E46" s="22">
        <f t="shared" si="0"/>
        <v>139</v>
      </c>
      <c r="F46" s="19">
        <v>202</v>
      </c>
      <c r="G46" s="33">
        <v>188</v>
      </c>
      <c r="H46" s="19">
        <v>203</v>
      </c>
      <c r="I46" s="20"/>
      <c r="J46" s="36"/>
      <c r="L46" s="22">
        <v>41</v>
      </c>
      <c r="M46" s="19">
        <v>190.8</v>
      </c>
      <c r="N46" s="22">
        <v>90</v>
      </c>
      <c r="O46" s="19"/>
      <c r="P46" s="22">
        <f t="shared" si="1"/>
        <v>139</v>
      </c>
      <c r="Q46" s="19"/>
      <c r="R46" s="33">
        <v>188</v>
      </c>
      <c r="S46" s="19">
        <v>203</v>
      </c>
      <c r="T46" s="20"/>
      <c r="U46" s="36"/>
      <c r="W46" s="22">
        <v>41</v>
      </c>
      <c r="X46" s="19"/>
      <c r="Y46" s="22">
        <v>90</v>
      </c>
      <c r="Z46" s="19">
        <v>200.5</v>
      </c>
      <c r="AA46" s="22">
        <f t="shared" si="2"/>
        <v>139</v>
      </c>
      <c r="AB46" s="19">
        <v>202</v>
      </c>
      <c r="AC46" s="33">
        <v>188</v>
      </c>
      <c r="AD46" s="19"/>
      <c r="AE46" s="20"/>
      <c r="AF46" s="36"/>
    </row>
    <row r="47" spans="1:32" ht="15.75" x14ac:dyDescent="0.25">
      <c r="A47" s="22">
        <v>42</v>
      </c>
      <c r="B47" s="19">
        <v>205.7</v>
      </c>
      <c r="C47" s="22">
        <v>91</v>
      </c>
      <c r="D47" s="19">
        <v>176.8</v>
      </c>
      <c r="E47" s="22">
        <f t="shared" si="0"/>
        <v>140</v>
      </c>
      <c r="F47" s="19">
        <v>177</v>
      </c>
      <c r="G47" s="33">
        <v>189</v>
      </c>
      <c r="H47" s="19">
        <v>204.6</v>
      </c>
      <c r="I47" s="20"/>
      <c r="J47" s="36"/>
      <c r="L47" s="22">
        <v>42</v>
      </c>
      <c r="M47" s="19">
        <v>205.7</v>
      </c>
      <c r="N47" s="22">
        <v>91</v>
      </c>
      <c r="O47" s="19"/>
      <c r="P47" s="22">
        <f t="shared" si="1"/>
        <v>140</v>
      </c>
      <c r="Q47" s="19"/>
      <c r="R47" s="33">
        <v>189</v>
      </c>
      <c r="S47" s="19">
        <v>204.6</v>
      </c>
      <c r="T47" s="20"/>
      <c r="U47" s="36"/>
      <c r="W47" s="22">
        <v>42</v>
      </c>
      <c r="X47" s="19"/>
      <c r="Y47" s="22">
        <v>91</v>
      </c>
      <c r="Z47" s="19">
        <v>176.8</v>
      </c>
      <c r="AA47" s="22">
        <f t="shared" si="2"/>
        <v>140</v>
      </c>
      <c r="AB47" s="19">
        <v>177</v>
      </c>
      <c r="AC47" s="33">
        <v>189</v>
      </c>
      <c r="AD47" s="19"/>
      <c r="AE47" s="20"/>
      <c r="AF47" s="36"/>
    </row>
    <row r="48" spans="1:32" ht="15.75" x14ac:dyDescent="0.25">
      <c r="A48" s="22">
        <v>43</v>
      </c>
      <c r="B48" s="19">
        <v>199.9</v>
      </c>
      <c r="C48" s="22">
        <v>92</v>
      </c>
      <c r="D48" s="19">
        <v>198.6</v>
      </c>
      <c r="E48" s="22">
        <f t="shared" si="0"/>
        <v>141</v>
      </c>
      <c r="F48" s="19">
        <v>206.6</v>
      </c>
      <c r="G48" s="33">
        <v>190</v>
      </c>
      <c r="H48" s="19">
        <v>194.4</v>
      </c>
      <c r="I48" s="21"/>
      <c r="J48" s="36"/>
      <c r="L48" s="22">
        <v>43</v>
      </c>
      <c r="M48" s="19">
        <v>199.9</v>
      </c>
      <c r="N48" s="22">
        <v>92</v>
      </c>
      <c r="O48" s="19"/>
      <c r="P48" s="22">
        <f t="shared" si="1"/>
        <v>141</v>
      </c>
      <c r="Q48" s="19"/>
      <c r="R48" s="33">
        <v>190</v>
      </c>
      <c r="S48" s="19">
        <v>194.4</v>
      </c>
      <c r="T48" s="21"/>
      <c r="U48" s="36"/>
      <c r="W48" s="22">
        <v>43</v>
      </c>
      <c r="X48" s="19"/>
      <c r="Y48" s="22">
        <v>92</v>
      </c>
      <c r="Z48" s="19">
        <v>198.6</v>
      </c>
      <c r="AA48" s="22">
        <f t="shared" si="2"/>
        <v>141</v>
      </c>
      <c r="AB48" s="19">
        <v>206.6</v>
      </c>
      <c r="AC48" s="33">
        <v>190</v>
      </c>
      <c r="AD48" s="19"/>
      <c r="AE48" s="21"/>
      <c r="AF48" s="36"/>
    </row>
    <row r="49" spans="1:32" ht="15.75" x14ac:dyDescent="0.25">
      <c r="A49" s="22">
        <v>44</v>
      </c>
      <c r="B49" s="19">
        <v>197</v>
      </c>
      <c r="C49" s="22">
        <v>93</v>
      </c>
      <c r="D49" s="19">
        <v>206.8</v>
      </c>
      <c r="E49" s="22">
        <f t="shared" si="0"/>
        <v>142</v>
      </c>
      <c r="F49" s="19">
        <v>198.4</v>
      </c>
      <c r="G49" s="33">
        <v>191</v>
      </c>
      <c r="H49" s="19">
        <v>205.3</v>
      </c>
      <c r="I49" s="21"/>
      <c r="J49" s="36"/>
      <c r="L49" s="22">
        <v>44</v>
      </c>
      <c r="M49" s="19">
        <v>197</v>
      </c>
      <c r="N49" s="22">
        <v>93</v>
      </c>
      <c r="O49" s="19"/>
      <c r="P49" s="22">
        <f t="shared" si="1"/>
        <v>142</v>
      </c>
      <c r="Q49" s="19"/>
      <c r="R49" s="33">
        <v>191</v>
      </c>
      <c r="S49" s="19">
        <v>205.3</v>
      </c>
      <c r="T49" s="21"/>
      <c r="U49" s="36"/>
      <c r="W49" s="22">
        <v>44</v>
      </c>
      <c r="X49" s="19"/>
      <c r="Y49" s="22">
        <v>93</v>
      </c>
      <c r="Z49" s="19">
        <v>206.8</v>
      </c>
      <c r="AA49" s="22">
        <f t="shared" si="2"/>
        <v>142</v>
      </c>
      <c r="AB49" s="19">
        <v>198.4</v>
      </c>
      <c r="AC49" s="33">
        <v>191</v>
      </c>
      <c r="AD49" s="19"/>
      <c r="AE49" s="21"/>
      <c r="AF49" s="36"/>
    </row>
    <row r="50" spans="1:32" ht="15.75" x14ac:dyDescent="0.25">
      <c r="A50" s="22">
        <v>45</v>
      </c>
      <c r="B50" s="19">
        <v>200.8</v>
      </c>
      <c r="C50" s="22">
        <v>94</v>
      </c>
      <c r="D50" s="19">
        <v>176</v>
      </c>
      <c r="E50" s="22">
        <f t="shared" si="0"/>
        <v>143</v>
      </c>
      <c r="F50" s="19">
        <v>189.7</v>
      </c>
      <c r="G50" s="33">
        <v>192</v>
      </c>
      <c r="H50" s="19">
        <v>207.6</v>
      </c>
      <c r="I50" s="20"/>
      <c r="J50" s="36"/>
      <c r="L50" s="22">
        <v>45</v>
      </c>
      <c r="M50" s="19">
        <v>200.8</v>
      </c>
      <c r="N50" s="22">
        <v>94</v>
      </c>
      <c r="O50" s="19"/>
      <c r="P50" s="22">
        <f t="shared" si="1"/>
        <v>143</v>
      </c>
      <c r="Q50" s="19"/>
      <c r="R50" s="33">
        <v>192</v>
      </c>
      <c r="S50" s="19">
        <v>207.6</v>
      </c>
      <c r="T50" s="20"/>
      <c r="U50" s="36"/>
      <c r="W50" s="22">
        <v>45</v>
      </c>
      <c r="X50" s="19"/>
      <c r="Y50" s="22">
        <v>94</v>
      </c>
      <c r="Z50" s="19">
        <v>176</v>
      </c>
      <c r="AA50" s="22">
        <f t="shared" si="2"/>
        <v>143</v>
      </c>
      <c r="AB50" s="19">
        <v>189.7</v>
      </c>
      <c r="AC50" s="33">
        <v>192</v>
      </c>
      <c r="AD50" s="19"/>
      <c r="AE50" s="20"/>
      <c r="AF50" s="36"/>
    </row>
    <row r="51" spans="1:32" ht="15.75" x14ac:dyDescent="0.25">
      <c r="A51" s="22">
        <v>46</v>
      </c>
      <c r="B51" s="19">
        <v>206.9</v>
      </c>
      <c r="C51" s="22">
        <v>95</v>
      </c>
      <c r="D51" s="19">
        <v>195</v>
      </c>
      <c r="E51" s="22">
        <f t="shared" si="0"/>
        <v>144</v>
      </c>
      <c r="F51" s="19">
        <v>205.6</v>
      </c>
      <c r="G51" s="33">
        <v>193</v>
      </c>
      <c r="H51" s="19">
        <v>182.6</v>
      </c>
      <c r="I51" s="20"/>
      <c r="J51" s="36"/>
      <c r="L51" s="22">
        <v>46</v>
      </c>
      <c r="M51" s="19">
        <v>206.9</v>
      </c>
      <c r="N51" s="22">
        <v>95</v>
      </c>
      <c r="O51" s="19"/>
      <c r="P51" s="22">
        <f t="shared" si="1"/>
        <v>144</v>
      </c>
      <c r="Q51" s="19"/>
      <c r="R51" s="33">
        <v>193</v>
      </c>
      <c r="S51" s="19">
        <v>182.6</v>
      </c>
      <c r="T51" s="20"/>
      <c r="U51" s="36"/>
      <c r="W51" s="22">
        <v>46</v>
      </c>
      <c r="X51" s="19"/>
      <c r="Y51" s="22">
        <v>95</v>
      </c>
      <c r="Z51" s="19">
        <v>195</v>
      </c>
      <c r="AA51" s="22">
        <f t="shared" si="2"/>
        <v>144</v>
      </c>
      <c r="AB51" s="19">
        <v>205.6</v>
      </c>
      <c r="AC51" s="33">
        <v>193</v>
      </c>
      <c r="AD51" s="19"/>
      <c r="AE51" s="20"/>
      <c r="AF51" s="36"/>
    </row>
    <row r="52" spans="1:32" ht="15.75" x14ac:dyDescent="0.25">
      <c r="A52" s="22">
        <v>47</v>
      </c>
      <c r="B52" s="19">
        <v>202.7</v>
      </c>
      <c r="C52" s="22">
        <v>96</v>
      </c>
      <c r="D52" s="19">
        <v>201.4</v>
      </c>
      <c r="E52" s="22">
        <f t="shared" si="0"/>
        <v>145</v>
      </c>
      <c r="F52" s="19">
        <v>172</v>
      </c>
      <c r="G52" s="33">
        <v>194</v>
      </c>
      <c r="H52" s="19">
        <v>198.3</v>
      </c>
      <c r="I52" s="21"/>
      <c r="J52" s="36"/>
      <c r="L52" s="22">
        <v>47</v>
      </c>
      <c r="M52" s="19">
        <v>202.7</v>
      </c>
      <c r="N52" s="22">
        <v>96</v>
      </c>
      <c r="O52" s="19"/>
      <c r="P52" s="22">
        <f t="shared" si="1"/>
        <v>145</v>
      </c>
      <c r="Q52" s="19"/>
      <c r="R52" s="33">
        <v>194</v>
      </c>
      <c r="S52" s="19">
        <v>198.3</v>
      </c>
      <c r="T52" s="21"/>
      <c r="U52" s="36"/>
      <c r="W52" s="22">
        <v>47</v>
      </c>
      <c r="X52" s="19"/>
      <c r="Y52" s="22">
        <v>96</v>
      </c>
      <c r="Z52" s="19">
        <v>201.4</v>
      </c>
      <c r="AA52" s="22">
        <f t="shared" si="2"/>
        <v>145</v>
      </c>
      <c r="AB52" s="19">
        <v>172</v>
      </c>
      <c r="AC52" s="33">
        <v>194</v>
      </c>
      <c r="AD52" s="19"/>
      <c r="AE52" s="21"/>
      <c r="AF52" s="36"/>
    </row>
    <row r="53" spans="1:32" ht="15.75" x14ac:dyDescent="0.25">
      <c r="A53" s="22">
        <v>48</v>
      </c>
      <c r="B53" s="19">
        <v>198.8</v>
      </c>
      <c r="C53" s="22">
        <v>97</v>
      </c>
      <c r="D53" s="19">
        <v>202.9</v>
      </c>
      <c r="E53" s="22">
        <f t="shared" si="0"/>
        <v>146</v>
      </c>
      <c r="F53" s="19">
        <v>156</v>
      </c>
      <c r="G53" s="33">
        <v>195</v>
      </c>
      <c r="H53" s="19">
        <v>208.6</v>
      </c>
      <c r="I53" s="20"/>
      <c r="J53" s="36"/>
      <c r="L53" s="22">
        <v>48</v>
      </c>
      <c r="M53" s="19">
        <v>198.8</v>
      </c>
      <c r="N53" s="22">
        <v>97</v>
      </c>
      <c r="O53" s="19"/>
      <c r="P53" s="22">
        <f t="shared" si="1"/>
        <v>146</v>
      </c>
      <c r="Q53" s="19"/>
      <c r="R53" s="33">
        <v>195</v>
      </c>
      <c r="S53" s="19">
        <v>208.6</v>
      </c>
      <c r="T53" s="20"/>
      <c r="U53" s="36"/>
      <c r="W53" s="22">
        <v>48</v>
      </c>
      <c r="X53" s="19"/>
      <c r="Y53" s="22">
        <v>97</v>
      </c>
      <c r="Z53" s="19">
        <v>202.9</v>
      </c>
      <c r="AA53" s="22">
        <f t="shared" si="2"/>
        <v>146</v>
      </c>
      <c r="AB53" s="19">
        <v>156</v>
      </c>
      <c r="AC53" s="33">
        <v>195</v>
      </c>
      <c r="AD53" s="19"/>
      <c r="AE53" s="20"/>
      <c r="AF53" s="36"/>
    </row>
    <row r="54" spans="1:32" ht="15.75" x14ac:dyDescent="0.25">
      <c r="A54" s="37">
        <v>49</v>
      </c>
      <c r="B54" s="19">
        <v>194.6</v>
      </c>
      <c r="C54" s="37">
        <v>98</v>
      </c>
      <c r="D54" s="19">
        <v>178.6</v>
      </c>
      <c r="E54" s="22">
        <f t="shared" si="0"/>
        <v>147</v>
      </c>
      <c r="F54" s="19">
        <v>204.5</v>
      </c>
      <c r="G54" s="38">
        <v>196</v>
      </c>
      <c r="H54" s="19">
        <v>182.9</v>
      </c>
      <c r="I54" s="39"/>
      <c r="J54" s="40"/>
      <c r="L54" s="37">
        <v>49</v>
      </c>
      <c r="M54" s="19">
        <v>194.6</v>
      </c>
      <c r="N54" s="37">
        <v>98</v>
      </c>
      <c r="O54" s="19"/>
      <c r="P54" s="22">
        <f t="shared" si="1"/>
        <v>147</v>
      </c>
      <c r="Q54" s="19"/>
      <c r="R54" s="38">
        <v>196</v>
      </c>
      <c r="S54" s="19">
        <v>182.9</v>
      </c>
      <c r="T54" s="39"/>
      <c r="U54" s="40"/>
      <c r="W54" s="37">
        <v>49</v>
      </c>
      <c r="X54" s="19"/>
      <c r="Y54" s="37">
        <v>98</v>
      </c>
      <c r="Z54" s="19">
        <v>178.6</v>
      </c>
      <c r="AA54" s="22">
        <f t="shared" si="2"/>
        <v>147</v>
      </c>
      <c r="AB54" s="19">
        <v>204.5</v>
      </c>
      <c r="AC54" s="38">
        <v>196</v>
      </c>
      <c r="AD54" s="19"/>
      <c r="AE54" s="39"/>
      <c r="AF54" s="40"/>
    </row>
    <row r="55" spans="1:32" ht="15.75" x14ac:dyDescent="0.25">
      <c r="A55" s="41"/>
      <c r="B55" s="23">
        <f>SUM(B6:B54)</f>
        <v>9762.2999999999993</v>
      </c>
      <c r="C55" s="23"/>
      <c r="D55" s="23">
        <f>SUM(D6:D54)</f>
        <v>9754.5999999999985</v>
      </c>
      <c r="E55" s="23"/>
      <c r="F55" s="23">
        <f>SUM(F6:F54)</f>
        <v>9487.3000000000011</v>
      </c>
      <c r="G55" s="23"/>
      <c r="H55" s="23">
        <f>SUM(H6:H54)</f>
        <v>9740.9</v>
      </c>
      <c r="I55" s="41"/>
      <c r="J55" s="41">
        <f>SUM(J6:J54)</f>
        <v>4810.3999999999996</v>
      </c>
      <c r="L55" s="41"/>
      <c r="M55" s="23">
        <f>SUM(M6:M54)</f>
        <v>9762.2999999999993</v>
      </c>
      <c r="N55" s="23"/>
      <c r="O55" s="23">
        <f>SUM(O6:O54)</f>
        <v>5851.5</v>
      </c>
      <c r="P55" s="23"/>
      <c r="Q55" s="23">
        <f>SUM(Q6:Q54)</f>
        <v>0</v>
      </c>
      <c r="R55" s="23"/>
      <c r="S55" s="23">
        <f>SUM(S6:S54)</f>
        <v>5363.2000000000007</v>
      </c>
      <c r="T55" s="41"/>
      <c r="U55" s="41">
        <f>SUM(U6:U54)</f>
        <v>4810.3999999999996</v>
      </c>
      <c r="W55" s="41"/>
      <c r="X55" s="23">
        <f>SUM(X6:X54)</f>
        <v>0</v>
      </c>
      <c r="Y55" s="23"/>
      <c r="Z55" s="23">
        <f>SUM(Z6:Z54)</f>
        <v>3903.1000000000004</v>
      </c>
      <c r="AA55" s="23"/>
      <c r="AB55" s="23">
        <f>SUM(AB6:AB54)</f>
        <v>9487.3000000000011</v>
      </c>
      <c r="AC55" s="23"/>
      <c r="AD55" s="23">
        <f>SUM(AD6:AD54)</f>
        <v>4377.7000000000007</v>
      </c>
      <c r="AE55" s="41"/>
      <c r="AF55" s="41">
        <f>SUM(AF6:AF54)</f>
        <v>0</v>
      </c>
    </row>
    <row r="56" spans="1:32" ht="15.75" x14ac:dyDescent="0.25">
      <c r="A56" s="42" t="s">
        <v>5</v>
      </c>
      <c r="B56" s="43">
        <f>COUNT(B6:B54,D6:D54,F6:F54,H6:H54,J6:J54)</f>
        <v>220</v>
      </c>
      <c r="C56" s="13" t="s">
        <v>6</v>
      </c>
      <c r="D56" s="44"/>
      <c r="E56" s="45">
        <f>B55+D55+F55+H55+J55</f>
        <v>43555.5</v>
      </c>
      <c r="F56" s="24" t="s">
        <v>7</v>
      </c>
      <c r="G56" s="1">
        <f>B56*2.2</f>
        <v>484.00000000000006</v>
      </c>
      <c r="H56" s="13" t="s">
        <v>8</v>
      </c>
      <c r="I56" s="44"/>
      <c r="J56" s="45">
        <f>E56-G56</f>
        <v>43071.5</v>
      </c>
      <c r="L56" s="42" t="s">
        <v>5</v>
      </c>
      <c r="M56" s="43">
        <f>COUNT(M6:M54,O6:O54,Q6:Q54,S6:S54,U6:U54)</f>
        <v>129</v>
      </c>
      <c r="N56" s="13" t="s">
        <v>6</v>
      </c>
      <c r="O56" s="44"/>
      <c r="P56" s="45">
        <f>M55+O55+Q55+S55+U55</f>
        <v>25787.4</v>
      </c>
      <c r="Q56" s="24" t="s">
        <v>7</v>
      </c>
      <c r="R56" s="1">
        <f>M56*2.2</f>
        <v>283.8</v>
      </c>
      <c r="S56" s="13" t="s">
        <v>8</v>
      </c>
      <c r="T56" s="44"/>
      <c r="U56" s="45">
        <f>P56-R56</f>
        <v>25503.600000000002</v>
      </c>
      <c r="W56" s="42" t="s">
        <v>5</v>
      </c>
      <c r="X56" s="43">
        <f>COUNT(X6:X54,Z6:Z54,AB6:AB54,AD6:AD54,AF6:AF54)</f>
        <v>91</v>
      </c>
      <c r="Y56" s="13" t="s">
        <v>6</v>
      </c>
      <c r="Z56" s="44"/>
      <c r="AA56" s="45">
        <f>X55+Z55+AB55+AD55+AF55</f>
        <v>17768.100000000002</v>
      </c>
      <c r="AB56" s="24" t="s">
        <v>7</v>
      </c>
      <c r="AC56" s="1">
        <f>X56*2.2</f>
        <v>200.20000000000002</v>
      </c>
      <c r="AD56" s="13" t="s">
        <v>8</v>
      </c>
      <c r="AE56" s="44"/>
      <c r="AF56" s="45">
        <f>AA56-AC56</f>
        <v>17567.900000000001</v>
      </c>
    </row>
    <row r="57" spans="1:32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  <c r="L57" s="42" t="s">
        <v>9</v>
      </c>
      <c r="M57" s="25"/>
      <c r="N57" s="46"/>
      <c r="O57" s="44"/>
      <c r="P57" s="47"/>
      <c r="Q57" s="25"/>
      <c r="R57" s="48"/>
      <c r="S57" s="46"/>
      <c r="T57" s="44"/>
      <c r="U57" s="49"/>
      <c r="W57" s="42" t="s">
        <v>9</v>
      </c>
      <c r="X57" s="25"/>
      <c r="Y57" s="46"/>
      <c r="Z57" s="44"/>
      <c r="AA57" s="47"/>
      <c r="AB57" s="25"/>
      <c r="AC57" s="48"/>
      <c r="AD57" s="46"/>
      <c r="AE57" s="44"/>
      <c r="AF57" s="49"/>
    </row>
    <row r="58" spans="1:32" x14ac:dyDescent="0.25">
      <c r="B58">
        <f>M56+X56</f>
        <v>220</v>
      </c>
      <c r="E58" s="80">
        <f>P56+AA56</f>
        <v>43555.5</v>
      </c>
      <c r="J58" s="80">
        <f>U56+AF56</f>
        <v>43071.5</v>
      </c>
    </row>
    <row r="59" spans="1:32" x14ac:dyDescent="0.25">
      <c r="F59" s="112" t="s">
        <v>61</v>
      </c>
      <c r="G59" s="112">
        <v>2.2000000000000002</v>
      </c>
      <c r="Q59" s="112" t="s">
        <v>61</v>
      </c>
      <c r="R59" s="112">
        <v>2.2000000000000002</v>
      </c>
      <c r="AB59" s="112" t="s">
        <v>61</v>
      </c>
      <c r="AC59" s="112">
        <v>2.2000000000000002</v>
      </c>
    </row>
  </sheetData>
  <protectedRanges>
    <protectedRange password="CCE1" sqref="C6:C54 G6:G54 E6:E54 I6:I29 N6:N54 R6:R54 P6:P54 T6:T29 Y6:Y54 AC6:AC54 AA6:AA54 AE6:AE29" name="Диапазон1_3_1_7_2_1_1_1_1_1_1_1"/>
  </protectedRanges>
  <mergeCells count="6">
    <mergeCell ref="A1:J1"/>
    <mergeCell ref="I4:J4"/>
    <mergeCell ref="L1:U1"/>
    <mergeCell ref="T4:U4"/>
    <mergeCell ref="W1:AF1"/>
    <mergeCell ref="AE4:AF4"/>
  </mergeCells>
  <pageMargins left="0.7" right="0.7" top="0.75" bottom="0.75" header="0.3" footer="0.3"/>
  <pageSetup paperSize="9" scale="83" orientation="portrait" verticalDpi="0" r:id="rId1"/>
  <rowBreaks count="1" manualBreakCount="1">
    <brk id="57" max="16383" man="1"/>
  </rowBreaks>
  <colBreaks count="2" manualBreakCount="2">
    <brk id="10" max="1048575" man="1"/>
    <brk id="21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9"/>
  <sheetViews>
    <sheetView topLeftCell="A35" zoomScale="90" zoomScaleNormal="90" workbookViewId="0">
      <selection activeCell="T5" sqref="T5"/>
    </sheetView>
  </sheetViews>
  <sheetFormatPr defaultRowHeight="15" x14ac:dyDescent="0.25"/>
  <cols>
    <col min="11" max="11" width="1.7109375" customWidth="1"/>
  </cols>
  <sheetData>
    <row r="1" spans="1:21" ht="18.75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L1" s="204" t="s">
        <v>0</v>
      </c>
      <c r="M1" s="204"/>
      <c r="N1" s="204"/>
      <c r="O1" s="204"/>
      <c r="P1" s="204"/>
      <c r="Q1" s="204"/>
      <c r="R1" s="204"/>
      <c r="S1" s="204"/>
      <c r="T1" s="204"/>
      <c r="U1" s="204"/>
    </row>
    <row r="2" spans="1:21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  <c r="L2" s="13" t="s">
        <v>1</v>
      </c>
      <c r="M2" s="13"/>
      <c r="N2" s="13"/>
      <c r="O2" s="13"/>
      <c r="P2" s="13"/>
      <c r="Q2" s="13"/>
      <c r="R2" s="27"/>
      <c r="S2" s="13"/>
      <c r="T2" s="13"/>
      <c r="U2" s="13"/>
    </row>
    <row r="3" spans="1:21" ht="15.75" x14ac:dyDescent="0.25">
      <c r="A3" s="25" t="s">
        <v>2</v>
      </c>
      <c r="B3" s="27">
        <v>224</v>
      </c>
      <c r="C3" s="14"/>
      <c r="D3" s="15"/>
      <c r="E3" s="16"/>
      <c r="F3" s="16"/>
      <c r="G3" s="16"/>
      <c r="H3" s="16"/>
      <c r="I3" s="16" t="s">
        <v>33</v>
      </c>
      <c r="J3" s="16"/>
      <c r="L3" s="25" t="s">
        <v>2</v>
      </c>
      <c r="M3" s="27">
        <v>224</v>
      </c>
      <c r="N3" s="14"/>
      <c r="O3" s="15"/>
      <c r="P3" s="16"/>
      <c r="Q3" s="16"/>
      <c r="R3" s="16"/>
      <c r="S3" s="16"/>
      <c r="T3" s="16" t="s">
        <v>33</v>
      </c>
      <c r="U3" s="16"/>
    </row>
    <row r="4" spans="1:21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  <c r="L4" s="17"/>
      <c r="M4" s="17"/>
      <c r="N4" s="17"/>
      <c r="O4" s="17"/>
      <c r="P4" s="17"/>
      <c r="Q4" s="17"/>
      <c r="R4" s="17"/>
      <c r="S4" s="28"/>
      <c r="T4" s="205" t="s">
        <v>50</v>
      </c>
      <c r="U4" s="206"/>
    </row>
    <row r="5" spans="1:21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  <c r="L5" s="29" t="s">
        <v>3</v>
      </c>
      <c r="M5" s="18" t="s">
        <v>4</v>
      </c>
      <c r="N5" s="29" t="s">
        <v>3</v>
      </c>
      <c r="O5" s="18" t="s">
        <v>4</v>
      </c>
      <c r="P5" s="29" t="s">
        <v>3</v>
      </c>
      <c r="Q5" s="18" t="s">
        <v>4</v>
      </c>
      <c r="R5" s="29" t="s">
        <v>3</v>
      </c>
      <c r="S5" s="30" t="s">
        <v>4</v>
      </c>
      <c r="T5" s="31" t="s">
        <v>3</v>
      </c>
      <c r="U5" s="32" t="s">
        <v>4</v>
      </c>
    </row>
    <row r="6" spans="1:21" ht="15.75" x14ac:dyDescent="0.25">
      <c r="A6" s="22">
        <v>1</v>
      </c>
      <c r="B6" s="19">
        <v>204.1</v>
      </c>
      <c r="C6" s="22">
        <v>50</v>
      </c>
      <c r="D6" s="19">
        <v>181.6</v>
      </c>
      <c r="E6" s="22">
        <v>99</v>
      </c>
      <c r="F6" s="19">
        <v>204.5</v>
      </c>
      <c r="G6" s="33">
        <v>148</v>
      </c>
      <c r="H6" s="19">
        <v>204.7</v>
      </c>
      <c r="I6" s="34">
        <v>197</v>
      </c>
      <c r="J6" s="19">
        <v>197.4</v>
      </c>
      <c r="L6" s="22">
        <v>1</v>
      </c>
      <c r="M6" s="19">
        <v>204.1</v>
      </c>
      <c r="N6" s="22">
        <v>50</v>
      </c>
      <c r="O6" s="19">
        <v>181.6</v>
      </c>
      <c r="P6" s="22">
        <v>99</v>
      </c>
      <c r="Q6" s="19">
        <v>204.5</v>
      </c>
      <c r="R6" s="33">
        <v>148</v>
      </c>
      <c r="S6" s="19">
        <v>204.7</v>
      </c>
      <c r="T6" s="34">
        <v>197</v>
      </c>
      <c r="U6" s="19">
        <v>197.4</v>
      </c>
    </row>
    <row r="7" spans="1:21" ht="15.75" x14ac:dyDescent="0.25">
      <c r="A7" s="22">
        <v>2</v>
      </c>
      <c r="B7" s="19">
        <v>208.9</v>
      </c>
      <c r="C7" s="22">
        <v>51</v>
      </c>
      <c r="D7" s="19">
        <v>201.8</v>
      </c>
      <c r="E7" s="22">
        <v>100</v>
      </c>
      <c r="F7" s="19">
        <v>181.1</v>
      </c>
      <c r="G7" s="33">
        <v>149</v>
      </c>
      <c r="H7" s="19">
        <v>198.5</v>
      </c>
      <c r="I7" s="33">
        <v>198</v>
      </c>
      <c r="J7" s="19">
        <v>200.5</v>
      </c>
      <c r="L7" s="22">
        <v>2</v>
      </c>
      <c r="M7" s="19">
        <v>208.9</v>
      </c>
      <c r="N7" s="22">
        <v>51</v>
      </c>
      <c r="O7" s="19">
        <v>201.8</v>
      </c>
      <c r="P7" s="22">
        <v>100</v>
      </c>
      <c r="Q7" s="19">
        <v>181.1</v>
      </c>
      <c r="R7" s="33">
        <v>149</v>
      </c>
      <c r="S7" s="19">
        <v>198.5</v>
      </c>
      <c r="T7" s="33">
        <v>198</v>
      </c>
      <c r="U7" s="19">
        <v>200.5</v>
      </c>
    </row>
    <row r="8" spans="1:21" ht="15.75" x14ac:dyDescent="0.25">
      <c r="A8" s="22">
        <v>3</v>
      </c>
      <c r="B8" s="19">
        <v>184.7</v>
      </c>
      <c r="C8" s="22">
        <v>52</v>
      </c>
      <c r="D8" s="19">
        <v>170.8</v>
      </c>
      <c r="E8" s="22">
        <f t="shared" ref="E8:E54" si="0">+E7+1</f>
        <v>101</v>
      </c>
      <c r="F8" s="19">
        <v>201.1</v>
      </c>
      <c r="G8" s="33">
        <v>150</v>
      </c>
      <c r="H8" s="19">
        <v>197.3</v>
      </c>
      <c r="I8" s="33">
        <v>199</v>
      </c>
      <c r="J8" s="19">
        <v>196.8</v>
      </c>
      <c r="L8" s="22">
        <v>3</v>
      </c>
      <c r="M8" s="19">
        <v>184.7</v>
      </c>
      <c r="N8" s="22">
        <v>52</v>
      </c>
      <c r="O8" s="19">
        <v>170.8</v>
      </c>
      <c r="P8" s="22">
        <f t="shared" ref="P8:P54" si="1">+P7+1</f>
        <v>101</v>
      </c>
      <c r="Q8" s="19">
        <v>201.1</v>
      </c>
      <c r="R8" s="33">
        <v>150</v>
      </c>
      <c r="S8" s="19">
        <v>197.3</v>
      </c>
      <c r="T8" s="33">
        <v>199</v>
      </c>
      <c r="U8" s="19">
        <v>196.8</v>
      </c>
    </row>
    <row r="9" spans="1:21" ht="15.75" x14ac:dyDescent="0.25">
      <c r="A9" s="22">
        <v>4</v>
      </c>
      <c r="B9" s="19">
        <v>209.7</v>
      </c>
      <c r="C9" s="22">
        <v>53</v>
      </c>
      <c r="D9" s="19">
        <v>206.7</v>
      </c>
      <c r="E9" s="22">
        <f t="shared" si="0"/>
        <v>102</v>
      </c>
      <c r="F9" s="19">
        <v>203.9</v>
      </c>
      <c r="G9" s="33">
        <v>151</v>
      </c>
      <c r="H9" s="19">
        <v>201.4</v>
      </c>
      <c r="I9" s="33">
        <v>200</v>
      </c>
      <c r="J9" s="19">
        <v>200.4</v>
      </c>
      <c r="L9" s="22">
        <v>4</v>
      </c>
      <c r="M9" s="19">
        <v>209.7</v>
      </c>
      <c r="N9" s="22">
        <v>53</v>
      </c>
      <c r="O9" s="19">
        <v>206.7</v>
      </c>
      <c r="P9" s="22">
        <f t="shared" si="1"/>
        <v>102</v>
      </c>
      <c r="Q9" s="19">
        <v>203.9</v>
      </c>
      <c r="R9" s="33">
        <v>151</v>
      </c>
      <c r="S9" s="19">
        <v>201.4</v>
      </c>
      <c r="T9" s="33">
        <v>200</v>
      </c>
      <c r="U9" s="19">
        <v>200.4</v>
      </c>
    </row>
    <row r="10" spans="1:21" ht="15.75" x14ac:dyDescent="0.25">
      <c r="A10" s="22">
        <v>5</v>
      </c>
      <c r="B10" s="19">
        <v>173.3</v>
      </c>
      <c r="C10" s="22">
        <v>54</v>
      </c>
      <c r="D10" s="19">
        <v>205.1</v>
      </c>
      <c r="E10" s="22">
        <f t="shared" si="0"/>
        <v>103</v>
      </c>
      <c r="F10" s="19">
        <v>172.2</v>
      </c>
      <c r="G10" s="33">
        <v>152</v>
      </c>
      <c r="H10" s="19">
        <v>198.2</v>
      </c>
      <c r="I10" s="33">
        <v>201</v>
      </c>
      <c r="J10" s="19">
        <v>202.5</v>
      </c>
      <c r="L10" s="22">
        <v>5</v>
      </c>
      <c r="M10" s="19">
        <v>173.3</v>
      </c>
      <c r="N10" s="22">
        <v>54</v>
      </c>
      <c r="O10" s="19">
        <v>205.1</v>
      </c>
      <c r="P10" s="22">
        <f t="shared" si="1"/>
        <v>103</v>
      </c>
      <c r="Q10" s="19">
        <v>172.2</v>
      </c>
      <c r="R10" s="33">
        <v>152</v>
      </c>
      <c r="S10" s="19">
        <v>198.2</v>
      </c>
      <c r="T10" s="33">
        <v>201</v>
      </c>
      <c r="U10" s="19">
        <v>202.5</v>
      </c>
    </row>
    <row r="11" spans="1:21" ht="15.75" x14ac:dyDescent="0.25">
      <c r="A11" s="22">
        <v>6</v>
      </c>
      <c r="B11" s="19">
        <v>208.5</v>
      </c>
      <c r="C11" s="22">
        <v>55</v>
      </c>
      <c r="D11" s="19">
        <v>202.4</v>
      </c>
      <c r="E11" s="22">
        <f t="shared" si="0"/>
        <v>104</v>
      </c>
      <c r="F11" s="19">
        <v>207</v>
      </c>
      <c r="G11" s="33">
        <v>153</v>
      </c>
      <c r="H11" s="19">
        <v>202.9</v>
      </c>
      <c r="I11" s="33">
        <v>202</v>
      </c>
      <c r="J11" s="19">
        <v>200.4</v>
      </c>
      <c r="L11" s="22">
        <v>6</v>
      </c>
      <c r="M11" s="19">
        <v>208.5</v>
      </c>
      <c r="N11" s="22">
        <v>55</v>
      </c>
      <c r="O11" s="19">
        <v>202.4</v>
      </c>
      <c r="P11" s="22">
        <f t="shared" si="1"/>
        <v>104</v>
      </c>
      <c r="Q11" s="19">
        <v>207</v>
      </c>
      <c r="R11" s="33">
        <v>153</v>
      </c>
      <c r="S11" s="19">
        <v>202.9</v>
      </c>
      <c r="T11" s="33">
        <v>202</v>
      </c>
      <c r="U11" s="19">
        <v>200.4</v>
      </c>
    </row>
    <row r="12" spans="1:21" ht="15.75" x14ac:dyDescent="0.25">
      <c r="A12" s="22">
        <v>7</v>
      </c>
      <c r="B12" s="19">
        <v>204.1</v>
      </c>
      <c r="C12" s="22">
        <v>56</v>
      </c>
      <c r="D12" s="19">
        <v>202.8</v>
      </c>
      <c r="E12" s="22">
        <f t="shared" si="0"/>
        <v>105</v>
      </c>
      <c r="F12" s="19">
        <v>174.8</v>
      </c>
      <c r="G12" s="33">
        <v>154</v>
      </c>
      <c r="H12" s="19">
        <v>200.4</v>
      </c>
      <c r="I12" s="33">
        <v>203</v>
      </c>
      <c r="J12" s="19">
        <v>204.1</v>
      </c>
      <c r="L12" s="22">
        <v>7</v>
      </c>
      <c r="M12" s="19">
        <v>204.1</v>
      </c>
      <c r="N12" s="22">
        <v>56</v>
      </c>
      <c r="O12" s="19">
        <v>202.8</v>
      </c>
      <c r="P12" s="22">
        <f t="shared" si="1"/>
        <v>105</v>
      </c>
      <c r="Q12" s="19">
        <v>174.8</v>
      </c>
      <c r="R12" s="33">
        <v>154</v>
      </c>
      <c r="S12" s="19">
        <v>200.4</v>
      </c>
      <c r="T12" s="33">
        <v>203</v>
      </c>
      <c r="U12" s="19">
        <v>204.1</v>
      </c>
    </row>
    <row r="13" spans="1:21" ht="15.75" x14ac:dyDescent="0.25">
      <c r="A13" s="22">
        <v>8</v>
      </c>
      <c r="B13" s="19">
        <v>185.2</v>
      </c>
      <c r="C13" s="22">
        <v>57</v>
      </c>
      <c r="D13" s="19">
        <v>188.1</v>
      </c>
      <c r="E13" s="22">
        <f t="shared" si="0"/>
        <v>106</v>
      </c>
      <c r="F13" s="19">
        <v>173.3</v>
      </c>
      <c r="G13" s="33">
        <v>155</v>
      </c>
      <c r="H13" s="19">
        <v>205.5</v>
      </c>
      <c r="I13" s="33">
        <v>204</v>
      </c>
      <c r="J13" s="19">
        <v>201.4</v>
      </c>
      <c r="L13" s="22">
        <v>8</v>
      </c>
      <c r="M13" s="19">
        <v>185.2</v>
      </c>
      <c r="N13" s="22">
        <v>57</v>
      </c>
      <c r="O13" s="19">
        <v>188.1</v>
      </c>
      <c r="P13" s="22">
        <f t="shared" si="1"/>
        <v>106</v>
      </c>
      <c r="Q13" s="19">
        <v>173.3</v>
      </c>
      <c r="R13" s="33">
        <v>155</v>
      </c>
      <c r="S13" s="19">
        <v>205.5</v>
      </c>
      <c r="T13" s="33">
        <v>204</v>
      </c>
      <c r="U13" s="19">
        <v>201.4</v>
      </c>
    </row>
    <row r="14" spans="1:21" ht="15.75" x14ac:dyDescent="0.25">
      <c r="A14" s="22">
        <v>9</v>
      </c>
      <c r="B14" s="19">
        <v>202.7</v>
      </c>
      <c r="C14" s="22">
        <v>58</v>
      </c>
      <c r="D14" s="19">
        <v>205.1</v>
      </c>
      <c r="E14" s="22">
        <f t="shared" si="0"/>
        <v>107</v>
      </c>
      <c r="F14" s="19">
        <v>175.1</v>
      </c>
      <c r="G14" s="33">
        <v>156</v>
      </c>
      <c r="H14" s="19">
        <v>205.8</v>
      </c>
      <c r="I14" s="33">
        <v>205</v>
      </c>
      <c r="J14" s="19">
        <v>205.5</v>
      </c>
      <c r="L14" s="22">
        <v>9</v>
      </c>
      <c r="M14" s="19">
        <v>202.7</v>
      </c>
      <c r="N14" s="22">
        <v>58</v>
      </c>
      <c r="O14" s="19">
        <v>205.1</v>
      </c>
      <c r="P14" s="22">
        <f t="shared" si="1"/>
        <v>107</v>
      </c>
      <c r="Q14" s="19">
        <v>175.1</v>
      </c>
      <c r="R14" s="33">
        <v>156</v>
      </c>
      <c r="S14" s="19">
        <v>205.8</v>
      </c>
      <c r="T14" s="33">
        <v>205</v>
      </c>
      <c r="U14" s="19">
        <v>205.5</v>
      </c>
    </row>
    <row r="15" spans="1:21" ht="15.75" x14ac:dyDescent="0.25">
      <c r="A15" s="22">
        <v>10</v>
      </c>
      <c r="B15" s="19">
        <v>210.5</v>
      </c>
      <c r="C15" s="22">
        <v>59</v>
      </c>
      <c r="D15" s="19">
        <v>201.8</v>
      </c>
      <c r="E15" s="22">
        <f t="shared" si="0"/>
        <v>108</v>
      </c>
      <c r="F15" s="19">
        <v>208.4</v>
      </c>
      <c r="G15" s="33">
        <v>157</v>
      </c>
      <c r="H15" s="19">
        <v>202.7</v>
      </c>
      <c r="I15" s="33">
        <v>206</v>
      </c>
      <c r="J15" s="19">
        <v>199</v>
      </c>
      <c r="L15" s="22">
        <v>10</v>
      </c>
      <c r="M15" s="19">
        <v>210.5</v>
      </c>
      <c r="N15" s="22">
        <v>59</v>
      </c>
      <c r="O15" s="19">
        <v>201.8</v>
      </c>
      <c r="P15" s="22">
        <f t="shared" si="1"/>
        <v>108</v>
      </c>
      <c r="Q15" s="19">
        <v>208.4</v>
      </c>
      <c r="R15" s="33">
        <v>157</v>
      </c>
      <c r="S15" s="19">
        <v>202.7</v>
      </c>
      <c r="T15" s="33">
        <v>206</v>
      </c>
      <c r="U15" s="19">
        <v>199</v>
      </c>
    </row>
    <row r="16" spans="1:21" ht="15.75" x14ac:dyDescent="0.25">
      <c r="A16" s="22">
        <v>11</v>
      </c>
      <c r="B16" s="19">
        <v>168</v>
      </c>
      <c r="C16" s="22">
        <v>60</v>
      </c>
      <c r="D16" s="19">
        <v>167.8</v>
      </c>
      <c r="E16" s="22">
        <f t="shared" si="0"/>
        <v>109</v>
      </c>
      <c r="F16" s="19">
        <v>178.8</v>
      </c>
      <c r="G16" s="33">
        <v>158</v>
      </c>
      <c r="H16" s="19">
        <v>201</v>
      </c>
      <c r="I16" s="33">
        <v>207</v>
      </c>
      <c r="J16" s="19">
        <v>203</v>
      </c>
      <c r="L16" s="22">
        <v>11</v>
      </c>
      <c r="M16" s="19">
        <v>168</v>
      </c>
      <c r="N16" s="22">
        <v>60</v>
      </c>
      <c r="O16" s="19">
        <v>167.8</v>
      </c>
      <c r="P16" s="22">
        <f t="shared" si="1"/>
        <v>109</v>
      </c>
      <c r="Q16" s="19">
        <v>178.8</v>
      </c>
      <c r="R16" s="33">
        <v>158</v>
      </c>
      <c r="S16" s="19">
        <v>201</v>
      </c>
      <c r="T16" s="33">
        <v>207</v>
      </c>
      <c r="U16" s="19">
        <v>203</v>
      </c>
    </row>
    <row r="17" spans="1:21" ht="15.75" x14ac:dyDescent="0.25">
      <c r="A17" s="22">
        <v>12</v>
      </c>
      <c r="B17" s="19">
        <v>205.4</v>
      </c>
      <c r="C17" s="22">
        <v>61</v>
      </c>
      <c r="D17" s="19">
        <v>197.8</v>
      </c>
      <c r="E17" s="22">
        <f t="shared" si="0"/>
        <v>110</v>
      </c>
      <c r="F17" s="19">
        <v>204.1</v>
      </c>
      <c r="G17" s="33">
        <v>159</v>
      </c>
      <c r="H17" s="19">
        <v>200.7</v>
      </c>
      <c r="I17" s="33">
        <v>208</v>
      </c>
      <c r="J17" s="19">
        <v>200.6</v>
      </c>
      <c r="L17" s="22">
        <v>12</v>
      </c>
      <c r="M17" s="19">
        <v>205.4</v>
      </c>
      <c r="N17" s="22">
        <v>61</v>
      </c>
      <c r="O17" s="19">
        <v>197.8</v>
      </c>
      <c r="P17" s="22">
        <f t="shared" si="1"/>
        <v>110</v>
      </c>
      <c r="Q17" s="19">
        <v>204.1</v>
      </c>
      <c r="R17" s="33">
        <v>159</v>
      </c>
      <c r="S17" s="19">
        <v>200.7</v>
      </c>
      <c r="T17" s="33">
        <v>208</v>
      </c>
      <c r="U17" s="19">
        <v>200.6</v>
      </c>
    </row>
    <row r="18" spans="1:21" ht="15.75" x14ac:dyDescent="0.25">
      <c r="A18" s="22">
        <v>13</v>
      </c>
      <c r="B18" s="19">
        <v>201.5</v>
      </c>
      <c r="C18" s="22">
        <v>62</v>
      </c>
      <c r="D18" s="19">
        <v>197</v>
      </c>
      <c r="E18" s="22">
        <f t="shared" si="0"/>
        <v>111</v>
      </c>
      <c r="F18" s="19">
        <v>196.2</v>
      </c>
      <c r="G18" s="33">
        <v>160</v>
      </c>
      <c r="H18" s="19">
        <v>197.7</v>
      </c>
      <c r="I18" s="33">
        <v>209</v>
      </c>
      <c r="J18" s="19">
        <v>204.8</v>
      </c>
      <c r="L18" s="22">
        <v>13</v>
      </c>
      <c r="M18" s="19">
        <v>201.5</v>
      </c>
      <c r="N18" s="22">
        <v>62</v>
      </c>
      <c r="O18" s="19">
        <v>197</v>
      </c>
      <c r="P18" s="22">
        <f t="shared" si="1"/>
        <v>111</v>
      </c>
      <c r="Q18" s="19">
        <v>196.2</v>
      </c>
      <c r="R18" s="33">
        <v>160</v>
      </c>
      <c r="S18" s="19">
        <v>197.7</v>
      </c>
      <c r="T18" s="33">
        <v>209</v>
      </c>
      <c r="U18" s="19">
        <v>204.8</v>
      </c>
    </row>
    <row r="19" spans="1:21" ht="15.75" x14ac:dyDescent="0.25">
      <c r="A19" s="22">
        <v>14</v>
      </c>
      <c r="B19" s="19">
        <v>186.6</v>
      </c>
      <c r="C19" s="22">
        <v>63</v>
      </c>
      <c r="D19" s="19">
        <v>197</v>
      </c>
      <c r="E19" s="22">
        <f t="shared" si="0"/>
        <v>112</v>
      </c>
      <c r="F19" s="19">
        <v>197.8</v>
      </c>
      <c r="G19" s="33">
        <v>161</v>
      </c>
      <c r="H19" s="19">
        <v>198</v>
      </c>
      <c r="I19" s="33">
        <v>210</v>
      </c>
      <c r="J19" s="19">
        <v>205.5</v>
      </c>
      <c r="L19" s="22">
        <v>14</v>
      </c>
      <c r="M19" s="19">
        <v>186.6</v>
      </c>
      <c r="N19" s="22">
        <v>63</v>
      </c>
      <c r="O19" s="19">
        <v>197</v>
      </c>
      <c r="P19" s="22">
        <f t="shared" si="1"/>
        <v>112</v>
      </c>
      <c r="Q19" s="19">
        <v>197.8</v>
      </c>
      <c r="R19" s="33">
        <v>161</v>
      </c>
      <c r="S19" s="19">
        <v>198</v>
      </c>
      <c r="T19" s="33">
        <v>210</v>
      </c>
      <c r="U19" s="19">
        <v>205.5</v>
      </c>
    </row>
    <row r="20" spans="1:21" ht="15.75" x14ac:dyDescent="0.25">
      <c r="A20" s="22">
        <v>15</v>
      </c>
      <c r="B20" s="19">
        <v>205.4</v>
      </c>
      <c r="C20" s="22">
        <v>64</v>
      </c>
      <c r="D20" s="19">
        <v>199.7</v>
      </c>
      <c r="E20" s="22">
        <f t="shared" si="0"/>
        <v>113</v>
      </c>
      <c r="F20" s="19">
        <v>205.5</v>
      </c>
      <c r="G20" s="35">
        <v>162</v>
      </c>
      <c r="H20" s="19">
        <v>194.2</v>
      </c>
      <c r="I20" s="33">
        <v>211</v>
      </c>
      <c r="J20" s="19">
        <v>200.3</v>
      </c>
      <c r="L20" s="22">
        <v>15</v>
      </c>
      <c r="M20" s="19">
        <v>205.4</v>
      </c>
      <c r="N20" s="22">
        <v>64</v>
      </c>
      <c r="O20" s="19">
        <v>199.7</v>
      </c>
      <c r="P20" s="22">
        <f t="shared" si="1"/>
        <v>113</v>
      </c>
      <c r="Q20" s="19">
        <v>205.5</v>
      </c>
      <c r="R20" s="35">
        <v>162</v>
      </c>
      <c r="S20" s="19">
        <v>194.2</v>
      </c>
      <c r="T20" s="33">
        <v>211</v>
      </c>
      <c r="U20" s="19">
        <v>200.3</v>
      </c>
    </row>
    <row r="21" spans="1:21" ht="15.75" x14ac:dyDescent="0.25">
      <c r="A21" s="22">
        <v>16</v>
      </c>
      <c r="B21" s="19">
        <v>190.5</v>
      </c>
      <c r="C21" s="22">
        <v>65</v>
      </c>
      <c r="D21" s="19">
        <v>202.6</v>
      </c>
      <c r="E21" s="22">
        <f t="shared" si="0"/>
        <v>114</v>
      </c>
      <c r="F21" s="19">
        <v>202.2</v>
      </c>
      <c r="G21" s="35">
        <v>163</v>
      </c>
      <c r="H21" s="19">
        <v>197</v>
      </c>
      <c r="I21" s="33">
        <v>212</v>
      </c>
      <c r="J21" s="19">
        <v>197</v>
      </c>
      <c r="L21" s="22">
        <v>16</v>
      </c>
      <c r="M21" s="19">
        <v>190.5</v>
      </c>
      <c r="N21" s="22">
        <v>65</v>
      </c>
      <c r="O21" s="19">
        <v>202.6</v>
      </c>
      <c r="P21" s="22">
        <f t="shared" si="1"/>
        <v>114</v>
      </c>
      <c r="Q21" s="19">
        <v>202.2</v>
      </c>
      <c r="R21" s="35">
        <v>163</v>
      </c>
      <c r="S21" s="19">
        <v>197</v>
      </c>
      <c r="T21" s="33">
        <v>212</v>
      </c>
      <c r="U21" s="19">
        <v>197</v>
      </c>
    </row>
    <row r="22" spans="1:21" ht="15.75" x14ac:dyDescent="0.25">
      <c r="A22" s="22">
        <v>17</v>
      </c>
      <c r="B22" s="19">
        <v>198.9</v>
      </c>
      <c r="C22" s="22">
        <v>66</v>
      </c>
      <c r="D22" s="19">
        <v>200.3</v>
      </c>
      <c r="E22" s="22">
        <f t="shared" si="0"/>
        <v>115</v>
      </c>
      <c r="F22" s="19">
        <v>191.4</v>
      </c>
      <c r="G22" s="35">
        <v>164</v>
      </c>
      <c r="H22" s="19">
        <v>191.8</v>
      </c>
      <c r="I22" s="33">
        <v>213</v>
      </c>
      <c r="J22" s="19">
        <v>201.7</v>
      </c>
      <c r="L22" s="22">
        <v>17</v>
      </c>
      <c r="M22" s="19">
        <v>198.9</v>
      </c>
      <c r="N22" s="22">
        <v>66</v>
      </c>
      <c r="O22" s="19">
        <v>200.3</v>
      </c>
      <c r="P22" s="22">
        <f t="shared" si="1"/>
        <v>115</v>
      </c>
      <c r="Q22" s="19">
        <v>191.4</v>
      </c>
      <c r="R22" s="35">
        <v>164</v>
      </c>
      <c r="S22" s="19">
        <v>191.8</v>
      </c>
      <c r="T22" s="33">
        <v>213</v>
      </c>
      <c r="U22" s="19">
        <v>201.7</v>
      </c>
    </row>
    <row r="23" spans="1:21" ht="15.75" x14ac:dyDescent="0.25">
      <c r="A23" s="22">
        <v>18</v>
      </c>
      <c r="B23" s="19">
        <v>200.5</v>
      </c>
      <c r="C23" s="22">
        <v>67</v>
      </c>
      <c r="D23" s="19">
        <v>161.1</v>
      </c>
      <c r="E23" s="22">
        <f t="shared" si="0"/>
        <v>116</v>
      </c>
      <c r="F23" s="19">
        <v>197.1</v>
      </c>
      <c r="G23" s="35">
        <v>165</v>
      </c>
      <c r="H23" s="19">
        <v>197.6</v>
      </c>
      <c r="I23" s="33">
        <v>214</v>
      </c>
      <c r="J23" s="19">
        <v>206.5</v>
      </c>
      <c r="L23" s="22">
        <v>18</v>
      </c>
      <c r="M23" s="19">
        <v>200.5</v>
      </c>
      <c r="N23" s="22">
        <v>67</v>
      </c>
      <c r="O23" s="19">
        <v>161.1</v>
      </c>
      <c r="P23" s="22">
        <f t="shared" si="1"/>
        <v>116</v>
      </c>
      <c r="Q23" s="19">
        <v>197.1</v>
      </c>
      <c r="R23" s="35">
        <v>165</v>
      </c>
      <c r="S23" s="19">
        <v>197.6</v>
      </c>
      <c r="T23" s="33">
        <v>214</v>
      </c>
      <c r="U23" s="19">
        <v>206.5</v>
      </c>
    </row>
    <row r="24" spans="1:21" ht="15.75" x14ac:dyDescent="0.25">
      <c r="A24" s="22">
        <v>19</v>
      </c>
      <c r="B24" s="19">
        <v>156</v>
      </c>
      <c r="C24" s="22">
        <v>68</v>
      </c>
      <c r="D24" s="19">
        <v>208.5</v>
      </c>
      <c r="E24" s="22">
        <f t="shared" si="0"/>
        <v>117</v>
      </c>
      <c r="F24" s="19">
        <v>202.4</v>
      </c>
      <c r="G24" s="35">
        <v>166</v>
      </c>
      <c r="H24" s="19">
        <v>188.1</v>
      </c>
      <c r="I24" s="33">
        <v>215</v>
      </c>
      <c r="J24" s="19">
        <v>202.1</v>
      </c>
      <c r="L24" s="22">
        <v>19</v>
      </c>
      <c r="M24" s="19">
        <v>156</v>
      </c>
      <c r="N24" s="22">
        <v>68</v>
      </c>
      <c r="O24" s="19">
        <v>208.5</v>
      </c>
      <c r="P24" s="22">
        <f t="shared" si="1"/>
        <v>117</v>
      </c>
      <c r="Q24" s="19">
        <v>202.4</v>
      </c>
      <c r="R24" s="35">
        <v>166</v>
      </c>
      <c r="S24" s="19">
        <v>188.1</v>
      </c>
      <c r="T24" s="33">
        <v>215</v>
      </c>
      <c r="U24" s="19">
        <v>202.1</v>
      </c>
    </row>
    <row r="25" spans="1:21" ht="15.75" x14ac:dyDescent="0.25">
      <c r="A25" s="22">
        <v>20</v>
      </c>
      <c r="B25" s="19">
        <v>201.2</v>
      </c>
      <c r="C25" s="22">
        <v>69</v>
      </c>
      <c r="D25" s="19">
        <v>200.2</v>
      </c>
      <c r="E25" s="22">
        <f t="shared" si="0"/>
        <v>118</v>
      </c>
      <c r="F25" s="19">
        <v>191</v>
      </c>
      <c r="G25" s="35">
        <v>167</v>
      </c>
      <c r="H25" s="19">
        <v>194.2</v>
      </c>
      <c r="I25" s="33">
        <v>216</v>
      </c>
      <c r="J25" s="19">
        <v>208.8</v>
      </c>
      <c r="L25" s="22">
        <v>20</v>
      </c>
      <c r="M25" s="19">
        <v>201.2</v>
      </c>
      <c r="N25" s="22">
        <v>69</v>
      </c>
      <c r="O25" s="19">
        <v>200.2</v>
      </c>
      <c r="P25" s="22">
        <f t="shared" si="1"/>
        <v>118</v>
      </c>
      <c r="Q25" s="19">
        <v>191</v>
      </c>
      <c r="R25" s="35">
        <v>167</v>
      </c>
      <c r="S25" s="19">
        <v>194.2</v>
      </c>
      <c r="T25" s="33">
        <v>216</v>
      </c>
      <c r="U25" s="19">
        <v>208.8</v>
      </c>
    </row>
    <row r="26" spans="1:21" ht="15.75" x14ac:dyDescent="0.25">
      <c r="A26" s="22">
        <v>21</v>
      </c>
      <c r="B26" s="19">
        <v>199.2</v>
      </c>
      <c r="C26" s="22">
        <v>70</v>
      </c>
      <c r="D26" s="19">
        <v>187.9</v>
      </c>
      <c r="E26" s="22">
        <f t="shared" si="0"/>
        <v>119</v>
      </c>
      <c r="F26" s="19">
        <v>205.7</v>
      </c>
      <c r="G26" s="35">
        <v>168</v>
      </c>
      <c r="H26" s="19">
        <v>187.9</v>
      </c>
      <c r="I26" s="33">
        <v>217</v>
      </c>
      <c r="J26" s="19">
        <v>214.9</v>
      </c>
      <c r="L26" s="22">
        <v>21</v>
      </c>
      <c r="M26" s="19">
        <v>199.2</v>
      </c>
      <c r="N26" s="22">
        <v>70</v>
      </c>
      <c r="O26" s="19">
        <v>187.9</v>
      </c>
      <c r="P26" s="22">
        <f t="shared" si="1"/>
        <v>119</v>
      </c>
      <c r="Q26" s="19">
        <v>205.7</v>
      </c>
      <c r="R26" s="35">
        <v>168</v>
      </c>
      <c r="S26" s="19">
        <v>187.9</v>
      </c>
      <c r="T26" s="33">
        <v>217</v>
      </c>
      <c r="U26" s="19">
        <v>214.9</v>
      </c>
    </row>
    <row r="27" spans="1:21" ht="15.75" x14ac:dyDescent="0.25">
      <c r="A27" s="22">
        <v>22</v>
      </c>
      <c r="B27" s="19">
        <v>203.9</v>
      </c>
      <c r="C27" s="22">
        <v>71</v>
      </c>
      <c r="D27" s="19">
        <v>204.6</v>
      </c>
      <c r="E27" s="22">
        <f t="shared" si="0"/>
        <v>120</v>
      </c>
      <c r="F27" s="19">
        <v>185.6</v>
      </c>
      <c r="G27" s="35">
        <v>169</v>
      </c>
      <c r="H27" s="19">
        <v>199.5</v>
      </c>
      <c r="I27" s="33">
        <v>218</v>
      </c>
      <c r="J27" s="19">
        <v>207.2</v>
      </c>
      <c r="L27" s="22">
        <v>22</v>
      </c>
      <c r="M27" s="19">
        <v>203.9</v>
      </c>
      <c r="N27" s="22">
        <v>71</v>
      </c>
      <c r="O27" s="19">
        <v>204.6</v>
      </c>
      <c r="P27" s="22">
        <f t="shared" si="1"/>
        <v>120</v>
      </c>
      <c r="Q27" s="19">
        <v>185.6</v>
      </c>
      <c r="R27" s="35">
        <v>169</v>
      </c>
      <c r="S27" s="19">
        <v>199.5</v>
      </c>
      <c r="T27" s="33">
        <v>218</v>
      </c>
      <c r="U27" s="19">
        <v>207.2</v>
      </c>
    </row>
    <row r="28" spans="1:21" ht="15.75" x14ac:dyDescent="0.25">
      <c r="A28" s="22">
        <v>23</v>
      </c>
      <c r="B28" s="19">
        <v>205</v>
      </c>
      <c r="C28" s="22">
        <v>72</v>
      </c>
      <c r="D28" s="19">
        <v>186</v>
      </c>
      <c r="E28" s="22">
        <f t="shared" si="0"/>
        <v>121</v>
      </c>
      <c r="F28" s="19">
        <v>205.9</v>
      </c>
      <c r="G28" s="35">
        <v>170</v>
      </c>
      <c r="H28" s="19">
        <v>191</v>
      </c>
      <c r="I28" s="33">
        <v>219</v>
      </c>
      <c r="J28" s="19">
        <v>199.5</v>
      </c>
      <c r="L28" s="22">
        <v>23</v>
      </c>
      <c r="M28" s="19">
        <v>205</v>
      </c>
      <c r="N28" s="22">
        <v>72</v>
      </c>
      <c r="O28" s="19">
        <v>186</v>
      </c>
      <c r="P28" s="22">
        <f t="shared" si="1"/>
        <v>121</v>
      </c>
      <c r="Q28" s="19">
        <v>205.9</v>
      </c>
      <c r="R28" s="35">
        <v>170</v>
      </c>
      <c r="S28" s="19">
        <v>191</v>
      </c>
      <c r="T28" s="33">
        <v>219</v>
      </c>
      <c r="U28" s="19">
        <v>199.5</v>
      </c>
    </row>
    <row r="29" spans="1:21" ht="15.75" x14ac:dyDescent="0.25">
      <c r="A29" s="22">
        <v>24</v>
      </c>
      <c r="B29" s="19">
        <v>205.7</v>
      </c>
      <c r="C29" s="22">
        <v>73</v>
      </c>
      <c r="D29" s="19">
        <v>192.6</v>
      </c>
      <c r="E29" s="22">
        <f t="shared" si="0"/>
        <v>122</v>
      </c>
      <c r="F29" s="19">
        <v>209.4</v>
      </c>
      <c r="G29" s="35">
        <v>171</v>
      </c>
      <c r="H29" s="19">
        <v>192.6</v>
      </c>
      <c r="I29" s="33">
        <v>220</v>
      </c>
      <c r="J29" s="19">
        <v>200.8</v>
      </c>
      <c r="L29" s="22">
        <v>24</v>
      </c>
      <c r="M29" s="19">
        <v>205.7</v>
      </c>
      <c r="N29" s="22">
        <v>73</v>
      </c>
      <c r="O29" s="19">
        <v>192.6</v>
      </c>
      <c r="P29" s="22">
        <f t="shared" si="1"/>
        <v>122</v>
      </c>
      <c r="Q29" s="19">
        <v>209.4</v>
      </c>
      <c r="R29" s="35">
        <v>171</v>
      </c>
      <c r="S29" s="19">
        <v>192.6</v>
      </c>
      <c r="T29" s="33">
        <v>220</v>
      </c>
      <c r="U29" s="19">
        <v>200.8</v>
      </c>
    </row>
    <row r="30" spans="1:21" ht="15.75" x14ac:dyDescent="0.25">
      <c r="A30" s="22">
        <v>25</v>
      </c>
      <c r="B30" s="19">
        <v>204.4</v>
      </c>
      <c r="C30" s="22">
        <v>74</v>
      </c>
      <c r="D30" s="19">
        <v>201.1</v>
      </c>
      <c r="E30" s="22">
        <f t="shared" si="0"/>
        <v>123</v>
      </c>
      <c r="F30" s="19">
        <v>173.8</v>
      </c>
      <c r="G30" s="35">
        <v>172</v>
      </c>
      <c r="H30" s="19">
        <v>193.4</v>
      </c>
      <c r="I30" s="20"/>
      <c r="J30" s="36"/>
      <c r="L30" s="22">
        <v>25</v>
      </c>
      <c r="M30" s="19">
        <v>204.4</v>
      </c>
      <c r="N30" s="22">
        <v>74</v>
      </c>
      <c r="O30" s="19">
        <v>201.1</v>
      </c>
      <c r="P30" s="22">
        <f t="shared" si="1"/>
        <v>123</v>
      </c>
      <c r="Q30" s="19">
        <v>173.8</v>
      </c>
      <c r="R30" s="35">
        <v>172</v>
      </c>
      <c r="S30" s="19">
        <v>193.4</v>
      </c>
      <c r="T30" s="20"/>
      <c r="U30" s="36"/>
    </row>
    <row r="31" spans="1:21" ht="15.75" x14ac:dyDescent="0.25">
      <c r="A31" s="22">
        <v>26</v>
      </c>
      <c r="B31" s="19">
        <v>206.2</v>
      </c>
      <c r="C31" s="22">
        <v>75</v>
      </c>
      <c r="D31" s="19">
        <v>204.4</v>
      </c>
      <c r="E31" s="22">
        <f t="shared" si="0"/>
        <v>124</v>
      </c>
      <c r="F31" s="19">
        <v>201.4</v>
      </c>
      <c r="G31" s="35">
        <v>173</v>
      </c>
      <c r="H31" s="19">
        <v>192.6</v>
      </c>
      <c r="I31" s="20"/>
      <c r="J31" s="36"/>
      <c r="L31" s="22">
        <v>26</v>
      </c>
      <c r="M31" s="19">
        <v>206.2</v>
      </c>
      <c r="N31" s="22">
        <v>75</v>
      </c>
      <c r="O31" s="19">
        <v>204.4</v>
      </c>
      <c r="P31" s="22">
        <f t="shared" si="1"/>
        <v>124</v>
      </c>
      <c r="Q31" s="19">
        <v>201.4</v>
      </c>
      <c r="R31" s="35">
        <v>173</v>
      </c>
      <c r="S31" s="19">
        <v>192.6</v>
      </c>
      <c r="T31" s="20"/>
      <c r="U31" s="36"/>
    </row>
    <row r="32" spans="1:21" ht="15.75" x14ac:dyDescent="0.25">
      <c r="A32" s="22">
        <v>27</v>
      </c>
      <c r="B32" s="19">
        <v>190.1</v>
      </c>
      <c r="C32" s="22">
        <v>76</v>
      </c>
      <c r="D32" s="19">
        <v>189.1</v>
      </c>
      <c r="E32" s="22">
        <f t="shared" si="0"/>
        <v>125</v>
      </c>
      <c r="F32" s="19">
        <v>200.8</v>
      </c>
      <c r="G32" s="33">
        <v>174</v>
      </c>
      <c r="H32" s="19">
        <v>196</v>
      </c>
      <c r="I32" s="21"/>
      <c r="J32" s="36"/>
      <c r="L32" s="22">
        <v>27</v>
      </c>
      <c r="M32" s="19">
        <v>190.1</v>
      </c>
      <c r="N32" s="22">
        <v>76</v>
      </c>
      <c r="O32" s="19">
        <v>189.1</v>
      </c>
      <c r="P32" s="22">
        <f t="shared" si="1"/>
        <v>125</v>
      </c>
      <c r="Q32" s="19">
        <v>200.8</v>
      </c>
      <c r="R32" s="33">
        <v>174</v>
      </c>
      <c r="S32" s="19">
        <v>196</v>
      </c>
      <c r="T32" s="21"/>
      <c r="U32" s="36"/>
    </row>
    <row r="33" spans="1:21" ht="15.75" x14ac:dyDescent="0.25">
      <c r="A33" s="22">
        <v>28</v>
      </c>
      <c r="B33" s="19">
        <v>200.8</v>
      </c>
      <c r="C33" s="22">
        <v>77</v>
      </c>
      <c r="D33" s="19">
        <v>193.5</v>
      </c>
      <c r="E33" s="22">
        <f t="shared" si="0"/>
        <v>126</v>
      </c>
      <c r="F33" s="19">
        <v>192.2</v>
      </c>
      <c r="G33" s="33">
        <v>175</v>
      </c>
      <c r="H33" s="19">
        <v>192.7</v>
      </c>
      <c r="I33" s="20"/>
      <c r="J33" s="36"/>
      <c r="L33" s="22">
        <v>28</v>
      </c>
      <c r="M33" s="19">
        <v>200.8</v>
      </c>
      <c r="N33" s="22">
        <v>77</v>
      </c>
      <c r="O33" s="19">
        <v>193.5</v>
      </c>
      <c r="P33" s="22">
        <f t="shared" si="1"/>
        <v>126</v>
      </c>
      <c r="Q33" s="19">
        <v>192.2</v>
      </c>
      <c r="R33" s="33">
        <v>175</v>
      </c>
      <c r="S33" s="19">
        <v>192.7</v>
      </c>
      <c r="T33" s="20"/>
      <c r="U33" s="36"/>
    </row>
    <row r="34" spans="1:21" ht="15.75" x14ac:dyDescent="0.25">
      <c r="A34" s="22">
        <v>29</v>
      </c>
      <c r="B34" s="19">
        <v>176.2</v>
      </c>
      <c r="C34" s="22">
        <v>78</v>
      </c>
      <c r="D34" s="19">
        <v>199.4</v>
      </c>
      <c r="E34" s="22">
        <f t="shared" si="0"/>
        <v>127</v>
      </c>
      <c r="F34" s="19">
        <v>204.5</v>
      </c>
      <c r="G34" s="33">
        <v>176</v>
      </c>
      <c r="H34" s="19">
        <v>197.3</v>
      </c>
      <c r="I34" s="20"/>
      <c r="J34" s="36"/>
      <c r="L34" s="22">
        <v>29</v>
      </c>
      <c r="M34" s="19">
        <v>176.2</v>
      </c>
      <c r="N34" s="22">
        <v>78</v>
      </c>
      <c r="O34" s="19">
        <v>199.4</v>
      </c>
      <c r="P34" s="22">
        <f t="shared" si="1"/>
        <v>127</v>
      </c>
      <c r="Q34" s="19">
        <v>204.5</v>
      </c>
      <c r="R34" s="33">
        <v>176</v>
      </c>
      <c r="S34" s="19">
        <v>197.3</v>
      </c>
      <c r="T34" s="20"/>
      <c r="U34" s="36"/>
    </row>
    <row r="35" spans="1:21" ht="15.75" x14ac:dyDescent="0.25">
      <c r="A35" s="22">
        <v>30</v>
      </c>
      <c r="B35" s="19">
        <v>207.6</v>
      </c>
      <c r="C35" s="22">
        <v>79</v>
      </c>
      <c r="D35" s="19">
        <v>202.9</v>
      </c>
      <c r="E35" s="22">
        <f t="shared" si="0"/>
        <v>128</v>
      </c>
      <c r="F35" s="19">
        <v>187.6</v>
      </c>
      <c r="G35" s="33">
        <v>177</v>
      </c>
      <c r="H35" s="19">
        <v>202.3</v>
      </c>
      <c r="I35" s="21"/>
      <c r="J35" s="36"/>
      <c r="L35" s="22">
        <v>30</v>
      </c>
      <c r="M35" s="19">
        <v>207.6</v>
      </c>
      <c r="N35" s="22">
        <v>79</v>
      </c>
      <c r="O35" s="19">
        <v>202.9</v>
      </c>
      <c r="P35" s="22">
        <f t="shared" si="1"/>
        <v>128</v>
      </c>
      <c r="Q35" s="19">
        <v>187.6</v>
      </c>
      <c r="R35" s="33">
        <v>177</v>
      </c>
      <c r="S35" s="19">
        <v>202.3</v>
      </c>
      <c r="T35" s="21"/>
      <c r="U35" s="36"/>
    </row>
    <row r="36" spans="1:21" ht="15.75" x14ac:dyDescent="0.25">
      <c r="A36" s="22">
        <v>31</v>
      </c>
      <c r="B36" s="19">
        <v>182.4</v>
      </c>
      <c r="C36" s="22">
        <v>80</v>
      </c>
      <c r="D36" s="19">
        <v>197.7</v>
      </c>
      <c r="E36" s="22">
        <f t="shared" si="0"/>
        <v>129</v>
      </c>
      <c r="F36" s="19">
        <v>209.7</v>
      </c>
      <c r="G36" s="33">
        <v>178</v>
      </c>
      <c r="H36" s="19">
        <v>203.7</v>
      </c>
      <c r="I36" s="20"/>
      <c r="J36" s="36"/>
      <c r="L36" s="22">
        <v>31</v>
      </c>
      <c r="M36" s="19">
        <v>182.4</v>
      </c>
      <c r="N36" s="22">
        <v>80</v>
      </c>
      <c r="O36" s="19">
        <v>197.7</v>
      </c>
      <c r="P36" s="22">
        <f t="shared" si="1"/>
        <v>129</v>
      </c>
      <c r="Q36" s="19">
        <v>209.7</v>
      </c>
      <c r="R36" s="33">
        <v>178</v>
      </c>
      <c r="S36" s="19">
        <v>203.7</v>
      </c>
      <c r="T36" s="20"/>
      <c r="U36" s="36"/>
    </row>
    <row r="37" spans="1:21" ht="15.75" x14ac:dyDescent="0.25">
      <c r="A37" s="22">
        <v>32</v>
      </c>
      <c r="B37" s="19">
        <v>207.7</v>
      </c>
      <c r="C37" s="22">
        <v>81</v>
      </c>
      <c r="D37" s="19">
        <v>197.3</v>
      </c>
      <c r="E37" s="22">
        <f t="shared" si="0"/>
        <v>130</v>
      </c>
      <c r="F37" s="19">
        <v>203.9</v>
      </c>
      <c r="G37" s="33">
        <v>179</v>
      </c>
      <c r="H37" s="19">
        <v>198.7</v>
      </c>
      <c r="I37" s="20"/>
      <c r="J37" s="36"/>
      <c r="L37" s="22">
        <v>32</v>
      </c>
      <c r="M37" s="19">
        <v>207.7</v>
      </c>
      <c r="N37" s="22">
        <v>81</v>
      </c>
      <c r="O37" s="19">
        <v>197.3</v>
      </c>
      <c r="P37" s="22">
        <f t="shared" si="1"/>
        <v>130</v>
      </c>
      <c r="Q37" s="19">
        <v>203.9</v>
      </c>
      <c r="R37" s="33">
        <v>179</v>
      </c>
      <c r="S37" s="19">
        <v>198.7</v>
      </c>
      <c r="T37" s="20"/>
      <c r="U37" s="36"/>
    </row>
    <row r="38" spans="1:21" ht="15.75" x14ac:dyDescent="0.25">
      <c r="A38" s="22">
        <v>33</v>
      </c>
      <c r="B38" s="19">
        <v>201.5</v>
      </c>
      <c r="C38" s="22">
        <v>82</v>
      </c>
      <c r="D38" s="19">
        <v>208.1</v>
      </c>
      <c r="E38" s="22">
        <f t="shared" si="0"/>
        <v>131</v>
      </c>
      <c r="F38" s="19">
        <v>199.4</v>
      </c>
      <c r="G38" s="33">
        <v>180</v>
      </c>
      <c r="H38" s="19">
        <v>192.7</v>
      </c>
      <c r="I38" s="21"/>
      <c r="J38" s="36"/>
      <c r="L38" s="22">
        <v>33</v>
      </c>
      <c r="M38" s="19">
        <v>201.5</v>
      </c>
      <c r="N38" s="22">
        <v>82</v>
      </c>
      <c r="O38" s="19">
        <v>208.1</v>
      </c>
      <c r="P38" s="22">
        <f t="shared" si="1"/>
        <v>131</v>
      </c>
      <c r="Q38" s="19">
        <v>199.4</v>
      </c>
      <c r="R38" s="33">
        <v>180</v>
      </c>
      <c r="S38" s="19">
        <v>192.7</v>
      </c>
      <c r="T38" s="21"/>
      <c r="U38" s="36"/>
    </row>
    <row r="39" spans="1:21" ht="15.75" x14ac:dyDescent="0.25">
      <c r="A39" s="22">
        <v>34</v>
      </c>
      <c r="B39" s="19">
        <v>174</v>
      </c>
      <c r="C39" s="22">
        <v>83</v>
      </c>
      <c r="D39" s="19">
        <v>203.1</v>
      </c>
      <c r="E39" s="22">
        <f t="shared" si="0"/>
        <v>132</v>
      </c>
      <c r="F39" s="19">
        <v>205</v>
      </c>
      <c r="G39" s="33">
        <v>181</v>
      </c>
      <c r="H39" s="19">
        <v>208.8</v>
      </c>
      <c r="I39" s="21"/>
      <c r="J39" s="36"/>
      <c r="L39" s="22">
        <v>34</v>
      </c>
      <c r="M39" s="19">
        <v>174</v>
      </c>
      <c r="N39" s="22">
        <v>83</v>
      </c>
      <c r="O39" s="19">
        <v>203.1</v>
      </c>
      <c r="P39" s="22">
        <f t="shared" si="1"/>
        <v>132</v>
      </c>
      <c r="Q39" s="19">
        <v>205</v>
      </c>
      <c r="R39" s="33">
        <v>181</v>
      </c>
      <c r="S39" s="19">
        <v>208.8</v>
      </c>
      <c r="T39" s="21"/>
      <c r="U39" s="36"/>
    </row>
    <row r="40" spans="1:21" ht="15.75" x14ac:dyDescent="0.25">
      <c r="A40" s="22">
        <v>35</v>
      </c>
      <c r="B40" s="19">
        <v>196.5</v>
      </c>
      <c r="C40" s="22">
        <v>84</v>
      </c>
      <c r="D40" s="19">
        <v>181.2</v>
      </c>
      <c r="E40" s="22">
        <f t="shared" si="0"/>
        <v>133</v>
      </c>
      <c r="F40" s="19">
        <v>196.3</v>
      </c>
      <c r="G40" s="33">
        <v>182</v>
      </c>
      <c r="H40" s="19">
        <v>193.4</v>
      </c>
      <c r="I40" s="20"/>
      <c r="J40" s="36"/>
      <c r="L40" s="22">
        <v>35</v>
      </c>
      <c r="M40" s="19">
        <v>196.5</v>
      </c>
      <c r="N40" s="22">
        <v>84</v>
      </c>
      <c r="O40" s="19">
        <v>181.2</v>
      </c>
      <c r="P40" s="22">
        <f t="shared" si="1"/>
        <v>133</v>
      </c>
      <c r="Q40" s="19">
        <v>196.3</v>
      </c>
      <c r="R40" s="33">
        <v>182</v>
      </c>
      <c r="S40" s="19">
        <v>193.4</v>
      </c>
      <c r="T40" s="20"/>
      <c r="U40" s="36"/>
    </row>
    <row r="41" spans="1:21" ht="15.75" x14ac:dyDescent="0.25">
      <c r="A41" s="22">
        <v>36</v>
      </c>
      <c r="B41" s="19">
        <v>185</v>
      </c>
      <c r="C41" s="22">
        <v>85</v>
      </c>
      <c r="D41" s="19">
        <v>193</v>
      </c>
      <c r="E41" s="22">
        <f t="shared" si="0"/>
        <v>134</v>
      </c>
      <c r="F41" s="19">
        <v>199.4</v>
      </c>
      <c r="G41" s="33">
        <v>183</v>
      </c>
      <c r="H41" s="19">
        <v>205</v>
      </c>
      <c r="I41" s="20"/>
      <c r="J41" s="36"/>
      <c r="L41" s="22">
        <v>36</v>
      </c>
      <c r="M41" s="19">
        <v>185</v>
      </c>
      <c r="N41" s="22">
        <v>85</v>
      </c>
      <c r="O41" s="19">
        <v>193</v>
      </c>
      <c r="P41" s="22">
        <f t="shared" si="1"/>
        <v>134</v>
      </c>
      <c r="Q41" s="19">
        <v>199.4</v>
      </c>
      <c r="R41" s="33">
        <v>183</v>
      </c>
      <c r="S41" s="19">
        <v>205</v>
      </c>
      <c r="T41" s="20"/>
      <c r="U41" s="36"/>
    </row>
    <row r="42" spans="1:21" ht="15.75" x14ac:dyDescent="0.25">
      <c r="A42" s="22">
        <v>37</v>
      </c>
      <c r="B42" s="19">
        <v>200.7</v>
      </c>
      <c r="C42" s="22">
        <v>86</v>
      </c>
      <c r="D42" s="19">
        <v>205.2</v>
      </c>
      <c r="E42" s="22">
        <f t="shared" si="0"/>
        <v>135</v>
      </c>
      <c r="F42" s="19">
        <v>200.4</v>
      </c>
      <c r="G42" s="33">
        <v>184</v>
      </c>
      <c r="H42" s="19">
        <v>199.2</v>
      </c>
      <c r="I42" s="21"/>
      <c r="J42" s="36"/>
      <c r="L42" s="22">
        <v>37</v>
      </c>
      <c r="M42" s="19">
        <v>200.7</v>
      </c>
      <c r="N42" s="22">
        <v>86</v>
      </c>
      <c r="O42" s="19">
        <v>205.2</v>
      </c>
      <c r="P42" s="22">
        <f t="shared" si="1"/>
        <v>135</v>
      </c>
      <c r="Q42" s="19">
        <v>200.4</v>
      </c>
      <c r="R42" s="33">
        <v>184</v>
      </c>
      <c r="S42" s="19">
        <v>199.2</v>
      </c>
      <c r="T42" s="21"/>
      <c r="U42" s="36"/>
    </row>
    <row r="43" spans="1:21" ht="15.75" x14ac:dyDescent="0.25">
      <c r="A43" s="22">
        <v>38</v>
      </c>
      <c r="B43" s="19">
        <v>194.8</v>
      </c>
      <c r="C43" s="22">
        <v>87</v>
      </c>
      <c r="D43" s="19">
        <v>200.5</v>
      </c>
      <c r="E43" s="22">
        <f t="shared" si="0"/>
        <v>136</v>
      </c>
      <c r="F43" s="19">
        <v>204.2</v>
      </c>
      <c r="G43" s="33">
        <v>185</v>
      </c>
      <c r="H43" s="19">
        <v>196.3</v>
      </c>
      <c r="I43" s="20"/>
      <c r="J43" s="36"/>
      <c r="L43" s="22">
        <v>38</v>
      </c>
      <c r="M43" s="19">
        <v>194.8</v>
      </c>
      <c r="N43" s="22">
        <v>87</v>
      </c>
      <c r="O43" s="19">
        <v>200.5</v>
      </c>
      <c r="P43" s="22">
        <f t="shared" si="1"/>
        <v>136</v>
      </c>
      <c r="Q43" s="19">
        <v>204.2</v>
      </c>
      <c r="R43" s="33">
        <v>185</v>
      </c>
      <c r="S43" s="19">
        <v>196.3</v>
      </c>
      <c r="T43" s="20"/>
      <c r="U43" s="36"/>
    </row>
    <row r="44" spans="1:21" ht="15.75" x14ac:dyDescent="0.25">
      <c r="A44" s="22">
        <v>39</v>
      </c>
      <c r="B44" s="19">
        <v>201.5</v>
      </c>
      <c r="C44" s="22">
        <v>88</v>
      </c>
      <c r="D44" s="19">
        <v>178.6</v>
      </c>
      <c r="E44" s="22">
        <f t="shared" si="0"/>
        <v>137</v>
      </c>
      <c r="F44" s="19">
        <v>205</v>
      </c>
      <c r="G44" s="33">
        <v>186</v>
      </c>
      <c r="H44" s="19">
        <v>204</v>
      </c>
      <c r="I44" s="20"/>
      <c r="J44" s="36"/>
      <c r="L44" s="22">
        <v>39</v>
      </c>
      <c r="M44" s="19">
        <v>201.5</v>
      </c>
      <c r="N44" s="22">
        <v>88</v>
      </c>
      <c r="O44" s="19">
        <v>178.6</v>
      </c>
      <c r="P44" s="22">
        <f t="shared" si="1"/>
        <v>137</v>
      </c>
      <c r="Q44" s="19">
        <v>205</v>
      </c>
      <c r="R44" s="33">
        <v>186</v>
      </c>
      <c r="S44" s="19">
        <v>204</v>
      </c>
      <c r="T44" s="20"/>
      <c r="U44" s="36"/>
    </row>
    <row r="45" spans="1:21" ht="15.75" x14ac:dyDescent="0.25">
      <c r="A45" s="22">
        <v>40</v>
      </c>
      <c r="B45" s="19">
        <v>196.5</v>
      </c>
      <c r="C45" s="22">
        <v>89</v>
      </c>
      <c r="D45" s="19">
        <v>205.9</v>
      </c>
      <c r="E45" s="22">
        <f t="shared" si="0"/>
        <v>138</v>
      </c>
      <c r="F45" s="19">
        <v>193.3</v>
      </c>
      <c r="G45" s="33">
        <v>187</v>
      </c>
      <c r="H45" s="19">
        <v>198.7</v>
      </c>
      <c r="I45" s="21"/>
      <c r="J45" s="36"/>
      <c r="L45" s="22">
        <v>40</v>
      </c>
      <c r="M45" s="19">
        <v>196.5</v>
      </c>
      <c r="N45" s="22">
        <v>89</v>
      </c>
      <c r="O45" s="19">
        <v>205.9</v>
      </c>
      <c r="P45" s="22">
        <f t="shared" si="1"/>
        <v>138</v>
      </c>
      <c r="Q45" s="19">
        <v>193.3</v>
      </c>
      <c r="R45" s="33">
        <v>187</v>
      </c>
      <c r="S45" s="19">
        <v>198.7</v>
      </c>
      <c r="T45" s="21"/>
      <c r="U45" s="36"/>
    </row>
    <row r="46" spans="1:21" ht="15.75" x14ac:dyDescent="0.25">
      <c r="A46" s="22">
        <v>41</v>
      </c>
      <c r="B46" s="19">
        <v>197.3</v>
      </c>
      <c r="C46" s="22">
        <v>90</v>
      </c>
      <c r="D46" s="19">
        <v>177.1</v>
      </c>
      <c r="E46" s="22">
        <f t="shared" si="0"/>
        <v>139</v>
      </c>
      <c r="F46" s="19">
        <v>208.8</v>
      </c>
      <c r="G46" s="33">
        <v>188</v>
      </c>
      <c r="H46" s="19">
        <v>206.2</v>
      </c>
      <c r="I46" s="20"/>
      <c r="J46" s="36"/>
      <c r="L46" s="22">
        <v>41</v>
      </c>
      <c r="M46" s="19">
        <v>197.3</v>
      </c>
      <c r="N46" s="22">
        <v>90</v>
      </c>
      <c r="O46" s="19">
        <v>177.1</v>
      </c>
      <c r="P46" s="22">
        <f t="shared" si="1"/>
        <v>139</v>
      </c>
      <c r="Q46" s="19">
        <v>208.8</v>
      </c>
      <c r="R46" s="33">
        <v>188</v>
      </c>
      <c r="S46" s="19">
        <v>206.2</v>
      </c>
      <c r="T46" s="20"/>
      <c r="U46" s="36"/>
    </row>
    <row r="47" spans="1:21" ht="15.75" x14ac:dyDescent="0.25">
      <c r="A47" s="22">
        <v>42</v>
      </c>
      <c r="B47" s="19">
        <v>197</v>
      </c>
      <c r="C47" s="22">
        <v>91</v>
      </c>
      <c r="D47" s="19">
        <v>201.9</v>
      </c>
      <c r="E47" s="22">
        <f t="shared" si="0"/>
        <v>140</v>
      </c>
      <c r="F47" s="19">
        <v>201.2</v>
      </c>
      <c r="G47" s="33">
        <v>189</v>
      </c>
      <c r="H47" s="19">
        <v>210.4</v>
      </c>
      <c r="I47" s="20"/>
      <c r="J47" s="36"/>
      <c r="L47" s="22">
        <v>42</v>
      </c>
      <c r="M47" s="19">
        <v>197</v>
      </c>
      <c r="N47" s="22">
        <v>91</v>
      </c>
      <c r="O47" s="19">
        <v>201.9</v>
      </c>
      <c r="P47" s="22">
        <f t="shared" si="1"/>
        <v>140</v>
      </c>
      <c r="Q47" s="19">
        <v>201.2</v>
      </c>
      <c r="R47" s="33">
        <v>189</v>
      </c>
      <c r="S47" s="19">
        <v>210.4</v>
      </c>
      <c r="T47" s="20"/>
      <c r="U47" s="36"/>
    </row>
    <row r="48" spans="1:21" ht="15.75" x14ac:dyDescent="0.25">
      <c r="A48" s="22">
        <v>43</v>
      </c>
      <c r="B48" s="19">
        <v>196.4</v>
      </c>
      <c r="C48" s="22">
        <v>92</v>
      </c>
      <c r="D48" s="19">
        <v>202.3</v>
      </c>
      <c r="E48" s="22">
        <f t="shared" si="0"/>
        <v>141</v>
      </c>
      <c r="F48" s="19">
        <v>197.5</v>
      </c>
      <c r="G48" s="33">
        <v>190</v>
      </c>
      <c r="H48" s="19">
        <v>204.7</v>
      </c>
      <c r="I48" s="21"/>
      <c r="J48" s="36"/>
      <c r="L48" s="22">
        <v>43</v>
      </c>
      <c r="M48" s="19">
        <v>196.4</v>
      </c>
      <c r="N48" s="22">
        <v>92</v>
      </c>
      <c r="O48" s="19">
        <v>202.3</v>
      </c>
      <c r="P48" s="22">
        <f t="shared" si="1"/>
        <v>141</v>
      </c>
      <c r="Q48" s="19">
        <v>197.5</v>
      </c>
      <c r="R48" s="33">
        <v>190</v>
      </c>
      <c r="S48" s="19">
        <v>204.7</v>
      </c>
      <c r="T48" s="21"/>
      <c r="U48" s="36"/>
    </row>
    <row r="49" spans="1:21" ht="15.75" x14ac:dyDescent="0.25">
      <c r="A49" s="22">
        <v>44</v>
      </c>
      <c r="B49" s="19">
        <v>202.2</v>
      </c>
      <c r="C49" s="22">
        <v>93</v>
      </c>
      <c r="D49" s="19">
        <v>182.5</v>
      </c>
      <c r="E49" s="22">
        <f t="shared" si="0"/>
        <v>142</v>
      </c>
      <c r="F49" s="19">
        <v>203.5</v>
      </c>
      <c r="G49" s="33">
        <v>191</v>
      </c>
      <c r="H49" s="19">
        <v>206.3</v>
      </c>
      <c r="I49" s="21"/>
      <c r="J49" s="36"/>
      <c r="L49" s="22">
        <v>44</v>
      </c>
      <c r="M49" s="19">
        <v>202.2</v>
      </c>
      <c r="N49" s="22">
        <v>93</v>
      </c>
      <c r="O49" s="19">
        <v>182.5</v>
      </c>
      <c r="P49" s="22">
        <f t="shared" si="1"/>
        <v>142</v>
      </c>
      <c r="Q49" s="19">
        <v>203.5</v>
      </c>
      <c r="R49" s="33">
        <v>191</v>
      </c>
      <c r="S49" s="19">
        <v>206.3</v>
      </c>
      <c r="T49" s="21"/>
      <c r="U49" s="36"/>
    </row>
    <row r="50" spans="1:21" ht="15.75" x14ac:dyDescent="0.25">
      <c r="A50" s="22">
        <v>45</v>
      </c>
      <c r="B50" s="19">
        <v>180.6</v>
      </c>
      <c r="C50" s="22">
        <v>94</v>
      </c>
      <c r="D50" s="19">
        <v>197.2</v>
      </c>
      <c r="E50" s="22">
        <f t="shared" si="0"/>
        <v>143</v>
      </c>
      <c r="F50" s="19">
        <v>208.4</v>
      </c>
      <c r="G50" s="33">
        <v>192</v>
      </c>
      <c r="H50" s="19">
        <v>197.5</v>
      </c>
      <c r="I50" s="20"/>
      <c r="J50" s="36"/>
      <c r="L50" s="22">
        <v>45</v>
      </c>
      <c r="M50" s="19">
        <v>180.6</v>
      </c>
      <c r="N50" s="22">
        <v>94</v>
      </c>
      <c r="O50" s="19">
        <v>197.2</v>
      </c>
      <c r="P50" s="22">
        <f t="shared" si="1"/>
        <v>143</v>
      </c>
      <c r="Q50" s="19">
        <v>208.4</v>
      </c>
      <c r="R50" s="33">
        <v>192</v>
      </c>
      <c r="S50" s="19">
        <v>197.5</v>
      </c>
      <c r="T50" s="20"/>
      <c r="U50" s="36"/>
    </row>
    <row r="51" spans="1:21" ht="15.75" x14ac:dyDescent="0.25">
      <c r="A51" s="22">
        <v>46</v>
      </c>
      <c r="B51" s="19">
        <v>202.9</v>
      </c>
      <c r="C51" s="22">
        <v>95</v>
      </c>
      <c r="D51" s="19">
        <v>181.1</v>
      </c>
      <c r="E51" s="22">
        <f t="shared" si="0"/>
        <v>144</v>
      </c>
      <c r="F51" s="19">
        <v>204.3</v>
      </c>
      <c r="G51" s="33">
        <v>193</v>
      </c>
      <c r="H51" s="19">
        <v>200.8</v>
      </c>
      <c r="I51" s="20"/>
      <c r="J51" s="36"/>
      <c r="L51" s="22">
        <v>46</v>
      </c>
      <c r="M51" s="19">
        <v>202.9</v>
      </c>
      <c r="N51" s="22">
        <v>95</v>
      </c>
      <c r="O51" s="19">
        <v>181.1</v>
      </c>
      <c r="P51" s="22">
        <f t="shared" si="1"/>
        <v>144</v>
      </c>
      <c r="Q51" s="19">
        <v>204.3</v>
      </c>
      <c r="R51" s="33">
        <v>193</v>
      </c>
      <c r="S51" s="19">
        <v>200.8</v>
      </c>
      <c r="T51" s="20"/>
      <c r="U51" s="36"/>
    </row>
    <row r="52" spans="1:21" ht="15.75" x14ac:dyDescent="0.25">
      <c r="A52" s="22">
        <v>47</v>
      </c>
      <c r="B52" s="19">
        <v>196.3</v>
      </c>
      <c r="C52" s="22">
        <v>96</v>
      </c>
      <c r="D52" s="19">
        <v>201.1</v>
      </c>
      <c r="E52" s="22">
        <f t="shared" si="0"/>
        <v>145</v>
      </c>
      <c r="F52" s="19">
        <v>199.8</v>
      </c>
      <c r="G52" s="33">
        <v>194</v>
      </c>
      <c r="H52" s="19">
        <v>192.4</v>
      </c>
      <c r="I52" s="21"/>
      <c r="J52" s="36"/>
      <c r="L52" s="22">
        <v>47</v>
      </c>
      <c r="M52" s="19">
        <v>196.3</v>
      </c>
      <c r="N52" s="22">
        <v>96</v>
      </c>
      <c r="O52" s="19">
        <v>201.1</v>
      </c>
      <c r="P52" s="22">
        <f t="shared" si="1"/>
        <v>145</v>
      </c>
      <c r="Q52" s="19">
        <v>199.8</v>
      </c>
      <c r="R52" s="33">
        <v>194</v>
      </c>
      <c r="S52" s="19">
        <v>192.4</v>
      </c>
      <c r="T52" s="21"/>
      <c r="U52" s="36"/>
    </row>
    <row r="53" spans="1:21" ht="15.75" x14ac:dyDescent="0.25">
      <c r="A53" s="22">
        <v>48</v>
      </c>
      <c r="B53" s="19">
        <v>199.8</v>
      </c>
      <c r="C53" s="22">
        <v>97</v>
      </c>
      <c r="D53" s="19">
        <v>207.2</v>
      </c>
      <c r="E53" s="22">
        <f t="shared" si="0"/>
        <v>146</v>
      </c>
      <c r="F53" s="19">
        <v>200.2</v>
      </c>
      <c r="G53" s="33">
        <v>195</v>
      </c>
      <c r="H53" s="19">
        <v>188</v>
      </c>
      <c r="I53" s="20"/>
      <c r="J53" s="36"/>
      <c r="L53" s="22">
        <v>48</v>
      </c>
      <c r="M53" s="19">
        <v>199.8</v>
      </c>
      <c r="N53" s="22">
        <v>97</v>
      </c>
      <c r="O53" s="19">
        <v>207.2</v>
      </c>
      <c r="P53" s="22">
        <f t="shared" si="1"/>
        <v>146</v>
      </c>
      <c r="Q53" s="19">
        <v>200.2</v>
      </c>
      <c r="R53" s="33">
        <v>195</v>
      </c>
      <c r="S53" s="19">
        <v>188</v>
      </c>
      <c r="T53" s="20"/>
      <c r="U53" s="36"/>
    </row>
    <row r="54" spans="1:21" ht="15.75" x14ac:dyDescent="0.25">
      <c r="A54" s="37">
        <v>49</v>
      </c>
      <c r="B54" s="19">
        <v>177</v>
      </c>
      <c r="C54" s="37">
        <v>98</v>
      </c>
      <c r="D54" s="19">
        <v>185.7</v>
      </c>
      <c r="E54" s="22">
        <f t="shared" si="0"/>
        <v>147</v>
      </c>
      <c r="F54" s="19">
        <v>206.6</v>
      </c>
      <c r="G54" s="38">
        <v>196</v>
      </c>
      <c r="H54" s="19">
        <v>198.3</v>
      </c>
      <c r="I54" s="39"/>
      <c r="J54" s="40"/>
      <c r="L54" s="37">
        <v>49</v>
      </c>
      <c r="M54" s="19">
        <v>177</v>
      </c>
      <c r="N54" s="37">
        <v>98</v>
      </c>
      <c r="O54" s="19">
        <v>185.7</v>
      </c>
      <c r="P54" s="22">
        <f t="shared" si="1"/>
        <v>147</v>
      </c>
      <c r="Q54" s="19">
        <v>206.6</v>
      </c>
      <c r="R54" s="38">
        <v>196</v>
      </c>
      <c r="S54" s="19">
        <v>198.3</v>
      </c>
      <c r="T54" s="39"/>
      <c r="U54" s="40"/>
    </row>
    <row r="55" spans="1:21" ht="15.75" x14ac:dyDescent="0.25">
      <c r="A55" s="41"/>
      <c r="B55" s="23">
        <f>SUM(B6:B54)</f>
        <v>9594.8999999999978</v>
      </c>
      <c r="C55" s="23"/>
      <c r="D55" s="23">
        <f>SUM(D6:D54)</f>
        <v>9566.4000000000033</v>
      </c>
      <c r="E55" s="23"/>
      <c r="F55" s="23">
        <f>SUM(F6:F54)</f>
        <v>9681.6999999999971</v>
      </c>
      <c r="G55" s="23"/>
      <c r="H55" s="23">
        <f>SUM(H6:H54)</f>
        <v>9728.0999999999967</v>
      </c>
      <c r="I55" s="41"/>
      <c r="J55" s="41">
        <f>SUM(J6:J54)</f>
        <v>4860.7</v>
      </c>
      <c r="L55" s="41"/>
      <c r="M55" s="23">
        <f>SUM(M6:M54)</f>
        <v>9594.8999999999978</v>
      </c>
      <c r="N55" s="23"/>
      <c r="O55" s="23">
        <f>SUM(O6:O54)</f>
        <v>9566.4000000000033</v>
      </c>
      <c r="P55" s="23"/>
      <c r="Q55" s="23">
        <f>SUM(Q6:Q54)</f>
        <v>9681.6999999999971</v>
      </c>
      <c r="R55" s="23"/>
      <c r="S55" s="23">
        <f>SUM(S6:S54)</f>
        <v>9728.0999999999967</v>
      </c>
      <c r="T55" s="41"/>
      <c r="U55" s="41">
        <f>SUM(U6:U54)</f>
        <v>4860.7</v>
      </c>
    </row>
    <row r="56" spans="1:21" ht="15.75" x14ac:dyDescent="0.25">
      <c r="A56" s="42" t="s">
        <v>5</v>
      </c>
      <c r="B56" s="43">
        <f>COUNT(B6:B54,D6:D54,F6:F54,H6:H54,J6:J54)</f>
        <v>220</v>
      </c>
      <c r="C56" s="13" t="s">
        <v>6</v>
      </c>
      <c r="D56" s="44"/>
      <c r="E56" s="45">
        <f>B55+D55+F55+H55+J55</f>
        <v>43431.799999999996</v>
      </c>
      <c r="F56" s="24" t="s">
        <v>7</v>
      </c>
      <c r="G56" s="1">
        <f>B56*2.2</f>
        <v>484.00000000000006</v>
      </c>
      <c r="H56" s="13" t="s">
        <v>8</v>
      </c>
      <c r="I56" s="44"/>
      <c r="J56" s="45">
        <f>E56-G56</f>
        <v>42947.799999999996</v>
      </c>
      <c r="L56" s="42" t="s">
        <v>5</v>
      </c>
      <c r="M56" s="43">
        <f>COUNT(M6:M54,O6:O54,Q6:Q54,S6:S54,U6:U54)</f>
        <v>220</v>
      </c>
      <c r="N56" s="13" t="s">
        <v>6</v>
      </c>
      <c r="O56" s="44"/>
      <c r="P56" s="45">
        <f>M55+O55+Q55+S55+U55</f>
        <v>43431.799999999996</v>
      </c>
      <c r="Q56" s="24" t="s">
        <v>7</v>
      </c>
      <c r="R56" s="1">
        <f>M56*2.2</f>
        <v>484.00000000000006</v>
      </c>
      <c r="S56" s="13" t="s">
        <v>8</v>
      </c>
      <c r="T56" s="44"/>
      <c r="U56" s="45">
        <f>P56-R56</f>
        <v>42947.799999999996</v>
      </c>
    </row>
    <row r="57" spans="1:21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  <c r="L57" s="42" t="s">
        <v>9</v>
      </c>
      <c r="M57" s="25"/>
      <c r="N57" s="46"/>
      <c r="O57" s="44"/>
      <c r="P57" s="47"/>
      <c r="Q57" s="25"/>
      <c r="R57" s="48"/>
      <c r="S57" s="46"/>
      <c r="T57" s="44"/>
      <c r="U57" s="49"/>
    </row>
    <row r="59" spans="1:21" x14ac:dyDescent="0.25">
      <c r="F59" s="112" t="s">
        <v>61</v>
      </c>
      <c r="G59" s="112">
        <v>2.2000000000000002</v>
      </c>
      <c r="Q59" s="112" t="s">
        <v>61</v>
      </c>
      <c r="R59" s="112">
        <v>2.2000000000000002</v>
      </c>
    </row>
  </sheetData>
  <protectedRanges>
    <protectedRange password="CCE1" sqref="C6:C54 G6:G54 E6:E54 I6:I29 N6:N54 R6:R54 P6:P54 T6:T29" name="Диапазон1_3_1_7_2_1_1_1_1_1_1_1"/>
  </protectedRanges>
  <mergeCells count="4">
    <mergeCell ref="A1:J1"/>
    <mergeCell ref="I4:J4"/>
    <mergeCell ref="L1:U1"/>
    <mergeCell ref="T4:U4"/>
  </mergeCells>
  <pageMargins left="0.7" right="0.7" top="0.75" bottom="0.75" header="0.3" footer="0.3"/>
  <pageSetup paperSize="9" scale="83" orientation="portrait" verticalDpi="0" r:id="rId1"/>
  <rowBreaks count="1" manualBreakCount="1">
    <brk id="57" max="16383" man="1"/>
  </rowBreaks>
  <colBreaks count="1" manualBreakCount="1">
    <brk id="10" max="56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9"/>
  <sheetViews>
    <sheetView topLeftCell="H6" zoomScale="85" zoomScaleNormal="85" workbookViewId="0">
      <selection activeCell="AF6" sqref="AF6:AF29"/>
    </sheetView>
  </sheetViews>
  <sheetFormatPr defaultRowHeight="15" x14ac:dyDescent="0.25"/>
  <cols>
    <col min="11" max="11" width="2.5703125" customWidth="1"/>
    <col min="22" max="22" width="2.42578125" customWidth="1"/>
  </cols>
  <sheetData>
    <row r="1" spans="1:32" ht="18.75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L1" s="204" t="s">
        <v>0</v>
      </c>
      <c r="M1" s="204"/>
      <c r="N1" s="204"/>
      <c r="O1" s="204"/>
      <c r="P1" s="204"/>
      <c r="Q1" s="204"/>
      <c r="R1" s="204"/>
      <c r="S1" s="204"/>
      <c r="T1" s="204"/>
      <c r="U1" s="204"/>
      <c r="W1" s="204" t="s">
        <v>0</v>
      </c>
      <c r="X1" s="204"/>
      <c r="Y1" s="204"/>
      <c r="Z1" s="204"/>
      <c r="AA1" s="204"/>
      <c r="AB1" s="204"/>
      <c r="AC1" s="204"/>
      <c r="AD1" s="204"/>
      <c r="AE1" s="204"/>
      <c r="AF1" s="204"/>
    </row>
    <row r="2" spans="1:32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  <c r="L2" s="13" t="s">
        <v>1</v>
      </c>
      <c r="M2" s="13"/>
      <c r="N2" s="13"/>
      <c r="O2" s="13"/>
      <c r="P2" s="13"/>
      <c r="Q2" s="13"/>
      <c r="R2" s="27"/>
      <c r="S2" s="13"/>
      <c r="T2" s="13"/>
      <c r="U2" s="13"/>
      <c r="W2" s="13" t="s">
        <v>1</v>
      </c>
      <c r="X2" s="13"/>
      <c r="Y2" s="13"/>
      <c r="Z2" s="13"/>
      <c r="AA2" s="13"/>
      <c r="AB2" s="13"/>
      <c r="AC2" s="27"/>
      <c r="AD2" s="13"/>
      <c r="AE2" s="13"/>
      <c r="AF2" s="13"/>
    </row>
    <row r="3" spans="1:32" ht="15.75" x14ac:dyDescent="0.25">
      <c r="A3" s="25" t="s">
        <v>2</v>
      </c>
      <c r="B3" s="27">
        <v>223</v>
      </c>
      <c r="C3" s="14"/>
      <c r="D3" s="15"/>
      <c r="E3" s="16"/>
      <c r="F3" s="16"/>
      <c r="G3" s="16"/>
      <c r="H3" s="16"/>
      <c r="I3" s="16" t="s">
        <v>33</v>
      </c>
      <c r="J3" s="16"/>
      <c r="L3" s="25" t="s">
        <v>2</v>
      </c>
      <c r="M3" s="27">
        <v>223</v>
      </c>
      <c r="N3" s="14"/>
      <c r="O3" s="15"/>
      <c r="P3" s="16"/>
      <c r="Q3" s="16"/>
      <c r="R3" s="16"/>
      <c r="S3" s="16"/>
      <c r="T3" s="16" t="s">
        <v>33</v>
      </c>
      <c r="U3" s="16"/>
      <c r="W3" s="25" t="s">
        <v>2</v>
      </c>
      <c r="X3" s="27">
        <v>223</v>
      </c>
      <c r="Y3" s="14"/>
      <c r="Z3" s="15"/>
      <c r="AA3" s="16"/>
      <c r="AB3" s="16"/>
      <c r="AC3" s="16"/>
      <c r="AD3" s="16"/>
      <c r="AE3" s="16" t="s">
        <v>33</v>
      </c>
      <c r="AF3" s="16"/>
    </row>
    <row r="4" spans="1:32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  <c r="L4" s="17"/>
      <c r="M4" s="17"/>
      <c r="N4" s="17"/>
      <c r="O4" s="17"/>
      <c r="P4" s="17"/>
      <c r="Q4" s="17"/>
      <c r="R4" s="17"/>
      <c r="S4" s="28"/>
      <c r="T4" s="205" t="s">
        <v>48</v>
      </c>
      <c r="U4" s="206"/>
      <c r="W4" s="17"/>
      <c r="X4" s="17"/>
      <c r="Y4" s="17"/>
      <c r="Z4" s="17"/>
      <c r="AA4" s="17"/>
      <c r="AB4" s="17"/>
      <c r="AC4" s="17"/>
      <c r="AD4" s="28"/>
      <c r="AE4" s="205" t="s">
        <v>50</v>
      </c>
      <c r="AF4" s="206"/>
    </row>
    <row r="5" spans="1:32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  <c r="L5" s="29" t="s">
        <v>3</v>
      </c>
      <c r="M5" s="18" t="s">
        <v>4</v>
      </c>
      <c r="N5" s="29" t="s">
        <v>3</v>
      </c>
      <c r="O5" s="18" t="s">
        <v>4</v>
      </c>
      <c r="P5" s="29" t="s">
        <v>3</v>
      </c>
      <c r="Q5" s="18" t="s">
        <v>4</v>
      </c>
      <c r="R5" s="29" t="s">
        <v>3</v>
      </c>
      <c r="S5" s="30" t="s">
        <v>4</v>
      </c>
      <c r="T5" s="31" t="s">
        <v>3</v>
      </c>
      <c r="U5" s="32" t="s">
        <v>4</v>
      </c>
      <c r="W5" s="29" t="s">
        <v>3</v>
      </c>
      <c r="X5" s="18" t="s">
        <v>4</v>
      </c>
      <c r="Y5" s="29" t="s">
        <v>3</v>
      </c>
      <c r="Z5" s="18" t="s">
        <v>4</v>
      </c>
      <c r="AA5" s="29" t="s">
        <v>3</v>
      </c>
      <c r="AB5" s="18" t="s">
        <v>4</v>
      </c>
      <c r="AC5" s="29" t="s">
        <v>3</v>
      </c>
      <c r="AD5" s="30" t="s">
        <v>4</v>
      </c>
      <c r="AE5" s="31" t="s">
        <v>3</v>
      </c>
      <c r="AF5" s="32" t="s">
        <v>4</v>
      </c>
    </row>
    <row r="6" spans="1:32" ht="15.75" x14ac:dyDescent="0.25">
      <c r="A6" s="22">
        <v>1</v>
      </c>
      <c r="B6" s="19">
        <v>197.1</v>
      </c>
      <c r="C6" s="22">
        <v>50</v>
      </c>
      <c r="D6" s="19">
        <v>200.6</v>
      </c>
      <c r="E6" s="22">
        <v>99</v>
      </c>
      <c r="F6" s="19">
        <v>205.3</v>
      </c>
      <c r="G6" s="33">
        <v>148</v>
      </c>
      <c r="H6" s="19">
        <v>200.9</v>
      </c>
      <c r="I6" s="34">
        <v>197</v>
      </c>
      <c r="J6" s="19">
        <v>206.1</v>
      </c>
      <c r="L6" s="22">
        <v>1</v>
      </c>
      <c r="M6" s="19">
        <v>197.1</v>
      </c>
      <c r="N6" s="22">
        <v>50</v>
      </c>
      <c r="O6" s="19"/>
      <c r="P6" s="22">
        <v>99</v>
      </c>
      <c r="Q6" s="19"/>
      <c r="R6" s="33">
        <v>148</v>
      </c>
      <c r="S6" s="19">
        <v>200.9</v>
      </c>
      <c r="T6" s="34">
        <v>197</v>
      </c>
      <c r="U6" s="19"/>
      <c r="W6" s="22">
        <v>1</v>
      </c>
      <c r="X6" s="19"/>
      <c r="Y6" s="22">
        <v>50</v>
      </c>
      <c r="Z6" s="19">
        <v>200.6</v>
      </c>
      <c r="AA6" s="22">
        <v>99</v>
      </c>
      <c r="AB6" s="19">
        <v>205.3</v>
      </c>
      <c r="AC6" s="33">
        <v>148</v>
      </c>
      <c r="AD6" s="19"/>
      <c r="AE6" s="34">
        <v>197</v>
      </c>
      <c r="AF6" s="19">
        <v>206.1</v>
      </c>
    </row>
    <row r="7" spans="1:32" ht="15.75" x14ac:dyDescent="0.25">
      <c r="A7" s="22">
        <v>2</v>
      </c>
      <c r="B7" s="19">
        <v>198.1</v>
      </c>
      <c r="C7" s="22">
        <v>51</v>
      </c>
      <c r="D7" s="19">
        <v>196.4</v>
      </c>
      <c r="E7" s="22">
        <v>100</v>
      </c>
      <c r="F7" s="19">
        <v>210</v>
      </c>
      <c r="G7" s="33">
        <v>149</v>
      </c>
      <c r="H7" s="19">
        <v>196.8</v>
      </c>
      <c r="I7" s="33">
        <v>198</v>
      </c>
      <c r="J7" s="19">
        <v>205.6</v>
      </c>
      <c r="L7" s="22">
        <v>2</v>
      </c>
      <c r="M7" s="19">
        <v>198.1</v>
      </c>
      <c r="N7" s="22">
        <v>51</v>
      </c>
      <c r="O7" s="19"/>
      <c r="P7" s="22">
        <v>100</v>
      </c>
      <c r="Q7" s="19"/>
      <c r="R7" s="33">
        <v>149</v>
      </c>
      <c r="S7" s="19">
        <v>196.8</v>
      </c>
      <c r="T7" s="33">
        <v>198</v>
      </c>
      <c r="U7" s="19"/>
      <c r="W7" s="22">
        <v>2</v>
      </c>
      <c r="X7" s="19"/>
      <c r="Y7" s="22">
        <v>51</v>
      </c>
      <c r="Z7" s="19">
        <v>196.4</v>
      </c>
      <c r="AA7" s="22">
        <v>100</v>
      </c>
      <c r="AB7" s="19">
        <v>210</v>
      </c>
      <c r="AC7" s="33">
        <v>149</v>
      </c>
      <c r="AD7" s="19"/>
      <c r="AE7" s="33">
        <v>198</v>
      </c>
      <c r="AF7" s="19">
        <v>205.6</v>
      </c>
    </row>
    <row r="8" spans="1:32" ht="15.75" x14ac:dyDescent="0.25">
      <c r="A8" s="22">
        <v>3</v>
      </c>
      <c r="B8" s="19">
        <v>201.7</v>
      </c>
      <c r="C8" s="22">
        <v>52</v>
      </c>
      <c r="D8" s="19">
        <v>204.8</v>
      </c>
      <c r="E8" s="22">
        <f t="shared" ref="E8:E54" si="0">+E7+1</f>
        <v>101</v>
      </c>
      <c r="F8" s="19">
        <v>202.5</v>
      </c>
      <c r="G8" s="33">
        <v>150</v>
      </c>
      <c r="H8" s="19">
        <v>202.5</v>
      </c>
      <c r="I8" s="33">
        <v>199</v>
      </c>
      <c r="J8" s="19">
        <v>207.6</v>
      </c>
      <c r="L8" s="22">
        <v>3</v>
      </c>
      <c r="M8" s="19">
        <v>201.7</v>
      </c>
      <c r="N8" s="22">
        <v>52</v>
      </c>
      <c r="O8" s="19"/>
      <c r="P8" s="22">
        <f t="shared" ref="P8:P54" si="1">+P7+1</f>
        <v>101</v>
      </c>
      <c r="Q8" s="19"/>
      <c r="R8" s="33">
        <v>150</v>
      </c>
      <c r="S8" s="19">
        <v>202.5</v>
      </c>
      <c r="T8" s="33">
        <v>199</v>
      </c>
      <c r="U8" s="19"/>
      <c r="W8" s="22">
        <v>3</v>
      </c>
      <c r="X8" s="19"/>
      <c r="Y8" s="22">
        <v>52</v>
      </c>
      <c r="Z8" s="19">
        <v>204.8</v>
      </c>
      <c r="AA8" s="22">
        <f t="shared" ref="AA8:AA54" si="2">+AA7+1</f>
        <v>101</v>
      </c>
      <c r="AB8" s="19">
        <v>202.5</v>
      </c>
      <c r="AC8" s="33">
        <v>150</v>
      </c>
      <c r="AD8" s="19"/>
      <c r="AE8" s="33">
        <v>199</v>
      </c>
      <c r="AF8" s="19">
        <v>207.6</v>
      </c>
    </row>
    <row r="9" spans="1:32" ht="15.75" x14ac:dyDescent="0.25">
      <c r="A9" s="22">
        <v>4</v>
      </c>
      <c r="B9" s="19">
        <v>204.1</v>
      </c>
      <c r="C9" s="22">
        <v>53</v>
      </c>
      <c r="D9" s="19">
        <v>200.2</v>
      </c>
      <c r="E9" s="22">
        <f t="shared" si="0"/>
        <v>102</v>
      </c>
      <c r="F9" s="19">
        <v>201</v>
      </c>
      <c r="G9" s="33">
        <v>151</v>
      </c>
      <c r="H9" s="19">
        <v>198.4</v>
      </c>
      <c r="I9" s="33">
        <v>200</v>
      </c>
      <c r="J9" s="19">
        <v>202.7</v>
      </c>
      <c r="L9" s="22">
        <v>4</v>
      </c>
      <c r="M9" s="19">
        <v>204.1</v>
      </c>
      <c r="N9" s="22">
        <v>53</v>
      </c>
      <c r="O9" s="19"/>
      <c r="P9" s="22">
        <f t="shared" si="1"/>
        <v>102</v>
      </c>
      <c r="Q9" s="19"/>
      <c r="R9" s="33">
        <v>151</v>
      </c>
      <c r="S9" s="19">
        <v>198.4</v>
      </c>
      <c r="T9" s="33">
        <v>200</v>
      </c>
      <c r="U9" s="19"/>
      <c r="W9" s="22">
        <v>4</v>
      </c>
      <c r="X9" s="19"/>
      <c r="Y9" s="22">
        <v>53</v>
      </c>
      <c r="Z9" s="19">
        <v>200.2</v>
      </c>
      <c r="AA9" s="22">
        <f t="shared" si="2"/>
        <v>102</v>
      </c>
      <c r="AB9" s="19">
        <v>201</v>
      </c>
      <c r="AC9" s="33">
        <v>151</v>
      </c>
      <c r="AD9" s="19"/>
      <c r="AE9" s="33">
        <v>200</v>
      </c>
      <c r="AF9" s="19">
        <v>202.7</v>
      </c>
    </row>
    <row r="10" spans="1:32" ht="15.75" x14ac:dyDescent="0.25">
      <c r="A10" s="22">
        <v>5</v>
      </c>
      <c r="B10" s="19">
        <v>201.1</v>
      </c>
      <c r="C10" s="22">
        <v>54</v>
      </c>
      <c r="D10" s="19">
        <v>200.4</v>
      </c>
      <c r="E10" s="22">
        <f t="shared" si="0"/>
        <v>103</v>
      </c>
      <c r="F10" s="19">
        <v>192.4</v>
      </c>
      <c r="G10" s="33">
        <v>152</v>
      </c>
      <c r="H10" s="19">
        <v>201.4</v>
      </c>
      <c r="I10" s="33">
        <v>201</v>
      </c>
      <c r="J10" s="19">
        <v>202.7</v>
      </c>
      <c r="L10" s="22">
        <v>5</v>
      </c>
      <c r="M10" s="19">
        <v>201.1</v>
      </c>
      <c r="N10" s="22">
        <v>54</v>
      </c>
      <c r="O10" s="19"/>
      <c r="P10" s="22">
        <f t="shared" si="1"/>
        <v>103</v>
      </c>
      <c r="Q10" s="19"/>
      <c r="R10" s="33">
        <v>152</v>
      </c>
      <c r="S10" s="19">
        <v>201.4</v>
      </c>
      <c r="T10" s="33">
        <v>201</v>
      </c>
      <c r="U10" s="19"/>
      <c r="W10" s="22">
        <v>5</v>
      </c>
      <c r="X10" s="19"/>
      <c r="Y10" s="22">
        <v>54</v>
      </c>
      <c r="Z10" s="19">
        <v>200.4</v>
      </c>
      <c r="AA10" s="22">
        <f t="shared" si="2"/>
        <v>103</v>
      </c>
      <c r="AB10" s="19">
        <v>192.4</v>
      </c>
      <c r="AC10" s="33">
        <v>152</v>
      </c>
      <c r="AD10" s="19"/>
      <c r="AE10" s="33">
        <v>201</v>
      </c>
      <c r="AF10" s="19">
        <v>202.7</v>
      </c>
    </row>
    <row r="11" spans="1:32" ht="15.75" x14ac:dyDescent="0.25">
      <c r="A11" s="22">
        <v>6</v>
      </c>
      <c r="B11" s="19">
        <v>202.6</v>
      </c>
      <c r="C11" s="22">
        <v>55</v>
      </c>
      <c r="D11" s="19">
        <v>204.9</v>
      </c>
      <c r="E11" s="22">
        <f t="shared" si="0"/>
        <v>104</v>
      </c>
      <c r="F11" s="19">
        <v>191.9</v>
      </c>
      <c r="G11" s="33">
        <v>153</v>
      </c>
      <c r="H11" s="19">
        <v>208.5</v>
      </c>
      <c r="I11" s="33">
        <v>202</v>
      </c>
      <c r="J11" s="19">
        <v>196.3</v>
      </c>
      <c r="L11" s="22">
        <v>6</v>
      </c>
      <c r="M11" s="19">
        <v>202.6</v>
      </c>
      <c r="N11" s="22">
        <v>55</v>
      </c>
      <c r="O11" s="19"/>
      <c r="P11" s="22">
        <f t="shared" si="1"/>
        <v>104</v>
      </c>
      <c r="Q11" s="19"/>
      <c r="R11" s="33">
        <v>153</v>
      </c>
      <c r="S11" s="19">
        <v>208.5</v>
      </c>
      <c r="T11" s="33">
        <v>202</v>
      </c>
      <c r="U11" s="19"/>
      <c r="W11" s="22">
        <v>6</v>
      </c>
      <c r="X11" s="19"/>
      <c r="Y11" s="22">
        <v>55</v>
      </c>
      <c r="Z11" s="19">
        <v>204.9</v>
      </c>
      <c r="AA11" s="22">
        <f t="shared" si="2"/>
        <v>104</v>
      </c>
      <c r="AB11" s="19">
        <v>191.9</v>
      </c>
      <c r="AC11" s="33">
        <v>153</v>
      </c>
      <c r="AD11" s="19"/>
      <c r="AE11" s="33">
        <v>202</v>
      </c>
      <c r="AF11" s="19">
        <v>196.3</v>
      </c>
    </row>
    <row r="12" spans="1:32" ht="15.75" x14ac:dyDescent="0.25">
      <c r="A12" s="22">
        <v>7</v>
      </c>
      <c r="B12" s="19">
        <v>197.6</v>
      </c>
      <c r="C12" s="22">
        <v>56</v>
      </c>
      <c r="D12" s="19">
        <v>196.8</v>
      </c>
      <c r="E12" s="22">
        <f t="shared" si="0"/>
        <v>105</v>
      </c>
      <c r="F12" s="19">
        <v>199.8</v>
      </c>
      <c r="G12" s="33">
        <v>154</v>
      </c>
      <c r="H12" s="19">
        <v>204.2</v>
      </c>
      <c r="I12" s="33">
        <v>203</v>
      </c>
      <c r="J12" s="19">
        <v>207.1</v>
      </c>
      <c r="L12" s="22">
        <v>7</v>
      </c>
      <c r="M12" s="19">
        <v>197.6</v>
      </c>
      <c r="N12" s="22">
        <v>56</v>
      </c>
      <c r="O12" s="19"/>
      <c r="P12" s="22">
        <f t="shared" si="1"/>
        <v>105</v>
      </c>
      <c r="Q12" s="19"/>
      <c r="R12" s="33">
        <v>154</v>
      </c>
      <c r="S12" s="19">
        <v>204.2</v>
      </c>
      <c r="T12" s="33">
        <v>203</v>
      </c>
      <c r="U12" s="19"/>
      <c r="W12" s="22">
        <v>7</v>
      </c>
      <c r="X12" s="19"/>
      <c r="Y12" s="22">
        <v>56</v>
      </c>
      <c r="Z12" s="19">
        <v>196.8</v>
      </c>
      <c r="AA12" s="22">
        <f t="shared" si="2"/>
        <v>105</v>
      </c>
      <c r="AB12" s="19">
        <v>199.8</v>
      </c>
      <c r="AC12" s="33">
        <v>154</v>
      </c>
      <c r="AD12" s="19"/>
      <c r="AE12" s="33">
        <v>203</v>
      </c>
      <c r="AF12" s="19">
        <v>207.1</v>
      </c>
    </row>
    <row r="13" spans="1:32" ht="15.75" x14ac:dyDescent="0.25">
      <c r="A13" s="22">
        <v>8</v>
      </c>
      <c r="B13" s="19">
        <v>202.4</v>
      </c>
      <c r="C13" s="22">
        <v>57</v>
      </c>
      <c r="D13" s="19">
        <v>207.2</v>
      </c>
      <c r="E13" s="22">
        <f t="shared" si="0"/>
        <v>106</v>
      </c>
      <c r="F13" s="19">
        <v>203.8</v>
      </c>
      <c r="G13" s="33">
        <v>155</v>
      </c>
      <c r="H13" s="19">
        <v>202.3</v>
      </c>
      <c r="I13" s="33">
        <v>204</v>
      </c>
      <c r="J13" s="19">
        <v>208.5</v>
      </c>
      <c r="L13" s="22">
        <v>8</v>
      </c>
      <c r="M13" s="19">
        <v>202.4</v>
      </c>
      <c r="N13" s="22">
        <v>57</v>
      </c>
      <c r="O13" s="19"/>
      <c r="P13" s="22">
        <f t="shared" si="1"/>
        <v>106</v>
      </c>
      <c r="Q13" s="19"/>
      <c r="R13" s="33">
        <v>155</v>
      </c>
      <c r="S13" s="19">
        <v>202.3</v>
      </c>
      <c r="T13" s="33">
        <v>204</v>
      </c>
      <c r="U13" s="19"/>
      <c r="W13" s="22">
        <v>8</v>
      </c>
      <c r="X13" s="19"/>
      <c r="Y13" s="22">
        <v>57</v>
      </c>
      <c r="Z13" s="19">
        <v>207.2</v>
      </c>
      <c r="AA13" s="22">
        <f t="shared" si="2"/>
        <v>106</v>
      </c>
      <c r="AB13" s="19">
        <v>203.8</v>
      </c>
      <c r="AC13" s="33">
        <v>155</v>
      </c>
      <c r="AD13" s="19"/>
      <c r="AE13" s="33">
        <v>204</v>
      </c>
      <c r="AF13" s="19">
        <v>208.5</v>
      </c>
    </row>
    <row r="14" spans="1:32" ht="15.75" x14ac:dyDescent="0.25">
      <c r="A14" s="22">
        <v>9</v>
      </c>
      <c r="B14" s="19">
        <v>205.5</v>
      </c>
      <c r="C14" s="22">
        <v>58</v>
      </c>
      <c r="D14" s="19">
        <v>198.3</v>
      </c>
      <c r="E14" s="22">
        <f t="shared" si="0"/>
        <v>107</v>
      </c>
      <c r="F14" s="19">
        <v>203.5</v>
      </c>
      <c r="G14" s="33">
        <v>156</v>
      </c>
      <c r="H14" s="19">
        <v>205.5</v>
      </c>
      <c r="I14" s="33">
        <v>205</v>
      </c>
      <c r="J14" s="19">
        <v>187.1</v>
      </c>
      <c r="L14" s="22">
        <v>9</v>
      </c>
      <c r="M14" s="19">
        <v>205.5</v>
      </c>
      <c r="N14" s="22">
        <v>58</v>
      </c>
      <c r="O14" s="19"/>
      <c r="P14" s="22">
        <f t="shared" si="1"/>
        <v>107</v>
      </c>
      <c r="Q14" s="19"/>
      <c r="R14" s="33">
        <v>156</v>
      </c>
      <c r="S14" s="19">
        <v>205.5</v>
      </c>
      <c r="T14" s="33">
        <v>205</v>
      </c>
      <c r="U14" s="19"/>
      <c r="W14" s="22">
        <v>9</v>
      </c>
      <c r="X14" s="19"/>
      <c r="Y14" s="22">
        <v>58</v>
      </c>
      <c r="Z14" s="19">
        <v>198.3</v>
      </c>
      <c r="AA14" s="22">
        <f t="shared" si="2"/>
        <v>107</v>
      </c>
      <c r="AB14" s="19">
        <v>203.5</v>
      </c>
      <c r="AC14" s="33">
        <v>156</v>
      </c>
      <c r="AD14" s="19"/>
      <c r="AE14" s="33">
        <v>205</v>
      </c>
      <c r="AF14" s="19">
        <v>187.1</v>
      </c>
    </row>
    <row r="15" spans="1:32" ht="15.75" x14ac:dyDescent="0.25">
      <c r="A15" s="22">
        <v>10</v>
      </c>
      <c r="B15" s="19">
        <v>202.5</v>
      </c>
      <c r="C15" s="22">
        <v>59</v>
      </c>
      <c r="D15" s="19">
        <v>194.9</v>
      </c>
      <c r="E15" s="22">
        <f t="shared" si="0"/>
        <v>108</v>
      </c>
      <c r="F15" s="19">
        <v>203.4</v>
      </c>
      <c r="G15" s="33">
        <v>157</v>
      </c>
      <c r="H15" s="19">
        <v>204.4</v>
      </c>
      <c r="I15" s="33">
        <v>206</v>
      </c>
      <c r="J15" s="19">
        <v>205.7</v>
      </c>
      <c r="L15" s="22">
        <v>10</v>
      </c>
      <c r="M15" s="19">
        <v>202.5</v>
      </c>
      <c r="N15" s="22">
        <v>59</v>
      </c>
      <c r="O15" s="19"/>
      <c r="P15" s="22">
        <f t="shared" si="1"/>
        <v>108</v>
      </c>
      <c r="Q15" s="19"/>
      <c r="R15" s="33">
        <v>157</v>
      </c>
      <c r="S15" s="19">
        <v>204.4</v>
      </c>
      <c r="T15" s="33">
        <v>206</v>
      </c>
      <c r="U15" s="19"/>
      <c r="W15" s="22">
        <v>10</v>
      </c>
      <c r="X15" s="19"/>
      <c r="Y15" s="22">
        <v>59</v>
      </c>
      <c r="Z15" s="19">
        <v>194.9</v>
      </c>
      <c r="AA15" s="22">
        <f t="shared" si="2"/>
        <v>108</v>
      </c>
      <c r="AB15" s="19">
        <v>203.4</v>
      </c>
      <c r="AC15" s="33">
        <v>157</v>
      </c>
      <c r="AD15" s="19"/>
      <c r="AE15" s="33">
        <v>206</v>
      </c>
      <c r="AF15" s="19">
        <v>205.7</v>
      </c>
    </row>
    <row r="16" spans="1:32" ht="15.75" x14ac:dyDescent="0.25">
      <c r="A16" s="22">
        <v>11</v>
      </c>
      <c r="B16" s="19">
        <v>201</v>
      </c>
      <c r="C16" s="22">
        <v>60</v>
      </c>
      <c r="D16" s="19">
        <v>194.4</v>
      </c>
      <c r="E16" s="22">
        <f t="shared" si="0"/>
        <v>109</v>
      </c>
      <c r="F16" s="19">
        <v>206.8</v>
      </c>
      <c r="G16" s="33">
        <v>158</v>
      </c>
      <c r="H16" s="19">
        <v>207.7</v>
      </c>
      <c r="I16" s="33">
        <v>207</v>
      </c>
      <c r="J16" s="19">
        <v>182</v>
      </c>
      <c r="L16" s="22">
        <v>11</v>
      </c>
      <c r="M16" s="19">
        <v>201</v>
      </c>
      <c r="N16" s="22">
        <v>60</v>
      </c>
      <c r="O16" s="19"/>
      <c r="P16" s="22">
        <f t="shared" si="1"/>
        <v>109</v>
      </c>
      <c r="Q16" s="19"/>
      <c r="R16" s="33">
        <v>158</v>
      </c>
      <c r="S16" s="19">
        <v>207.7</v>
      </c>
      <c r="T16" s="33">
        <v>207</v>
      </c>
      <c r="U16" s="19"/>
      <c r="W16" s="22">
        <v>11</v>
      </c>
      <c r="X16" s="19"/>
      <c r="Y16" s="22">
        <v>60</v>
      </c>
      <c r="Z16" s="19">
        <v>194.4</v>
      </c>
      <c r="AA16" s="22">
        <f t="shared" si="2"/>
        <v>109</v>
      </c>
      <c r="AB16" s="19">
        <v>206.8</v>
      </c>
      <c r="AC16" s="33">
        <v>158</v>
      </c>
      <c r="AD16" s="19"/>
      <c r="AE16" s="33">
        <v>207</v>
      </c>
      <c r="AF16" s="19">
        <v>182</v>
      </c>
    </row>
    <row r="17" spans="1:32" ht="15.75" x14ac:dyDescent="0.25">
      <c r="A17" s="22">
        <v>12</v>
      </c>
      <c r="B17" s="19">
        <v>202.6</v>
      </c>
      <c r="C17" s="22">
        <v>61</v>
      </c>
      <c r="D17" s="19">
        <v>200.2</v>
      </c>
      <c r="E17" s="22">
        <f t="shared" si="0"/>
        <v>110</v>
      </c>
      <c r="F17" s="19">
        <v>201.1</v>
      </c>
      <c r="G17" s="33">
        <v>159</v>
      </c>
      <c r="H17" s="19">
        <v>202.6</v>
      </c>
      <c r="I17" s="33">
        <v>208</v>
      </c>
      <c r="J17" s="19">
        <v>206.7</v>
      </c>
      <c r="L17" s="22">
        <v>12</v>
      </c>
      <c r="M17" s="19">
        <v>202.6</v>
      </c>
      <c r="N17" s="22">
        <v>61</v>
      </c>
      <c r="O17" s="19"/>
      <c r="P17" s="22">
        <f t="shared" si="1"/>
        <v>110</v>
      </c>
      <c r="Q17" s="19">
        <v>201.1</v>
      </c>
      <c r="R17" s="33">
        <v>159</v>
      </c>
      <c r="S17" s="19">
        <v>202.6</v>
      </c>
      <c r="T17" s="33">
        <v>208</v>
      </c>
      <c r="U17" s="19"/>
      <c r="W17" s="22">
        <v>12</v>
      </c>
      <c r="X17" s="19"/>
      <c r="Y17" s="22">
        <v>61</v>
      </c>
      <c r="Z17" s="19">
        <v>200.2</v>
      </c>
      <c r="AA17" s="22">
        <f t="shared" si="2"/>
        <v>110</v>
      </c>
      <c r="AB17" s="19"/>
      <c r="AC17" s="33">
        <v>159</v>
      </c>
      <c r="AD17" s="19"/>
      <c r="AE17" s="33">
        <v>208</v>
      </c>
      <c r="AF17" s="19">
        <v>206.7</v>
      </c>
    </row>
    <row r="18" spans="1:32" ht="15.75" x14ac:dyDescent="0.25">
      <c r="A18" s="22">
        <v>13</v>
      </c>
      <c r="B18" s="19">
        <v>209.7</v>
      </c>
      <c r="C18" s="22">
        <v>62</v>
      </c>
      <c r="D18" s="19">
        <v>194.8</v>
      </c>
      <c r="E18" s="22">
        <f t="shared" si="0"/>
        <v>111</v>
      </c>
      <c r="F18" s="19">
        <v>205.5</v>
      </c>
      <c r="G18" s="33">
        <v>160</v>
      </c>
      <c r="H18" s="19">
        <v>201.5</v>
      </c>
      <c r="I18" s="33">
        <v>209</v>
      </c>
      <c r="J18" s="19">
        <v>187.5</v>
      </c>
      <c r="L18" s="22">
        <v>13</v>
      </c>
      <c r="M18" s="19">
        <v>209.7</v>
      </c>
      <c r="N18" s="22">
        <v>62</v>
      </c>
      <c r="O18" s="19"/>
      <c r="P18" s="22">
        <f t="shared" si="1"/>
        <v>111</v>
      </c>
      <c r="Q18" s="19">
        <v>205.5</v>
      </c>
      <c r="R18" s="33">
        <v>160</v>
      </c>
      <c r="S18" s="19">
        <v>201.5</v>
      </c>
      <c r="T18" s="33">
        <v>209</v>
      </c>
      <c r="U18" s="19"/>
      <c r="W18" s="22">
        <v>13</v>
      </c>
      <c r="X18" s="19"/>
      <c r="Y18" s="22">
        <v>62</v>
      </c>
      <c r="Z18" s="19">
        <v>194.8</v>
      </c>
      <c r="AA18" s="22">
        <f t="shared" si="2"/>
        <v>111</v>
      </c>
      <c r="AB18" s="19"/>
      <c r="AC18" s="33">
        <v>160</v>
      </c>
      <c r="AD18" s="19"/>
      <c r="AE18" s="33">
        <v>209</v>
      </c>
      <c r="AF18" s="19">
        <v>187.5</v>
      </c>
    </row>
    <row r="19" spans="1:32" ht="15.75" x14ac:dyDescent="0.25">
      <c r="A19" s="22">
        <v>14</v>
      </c>
      <c r="B19" s="19">
        <v>202</v>
      </c>
      <c r="C19" s="22">
        <v>63</v>
      </c>
      <c r="D19" s="19">
        <v>202.6</v>
      </c>
      <c r="E19" s="22">
        <f t="shared" si="0"/>
        <v>112</v>
      </c>
      <c r="F19" s="19">
        <v>204.6</v>
      </c>
      <c r="G19" s="33">
        <v>161</v>
      </c>
      <c r="H19" s="19">
        <v>201</v>
      </c>
      <c r="I19" s="33">
        <v>210</v>
      </c>
      <c r="J19" s="19">
        <v>211.6</v>
      </c>
      <c r="L19" s="22">
        <v>14</v>
      </c>
      <c r="M19" s="19">
        <v>202</v>
      </c>
      <c r="N19" s="22">
        <v>63</v>
      </c>
      <c r="O19" s="19"/>
      <c r="P19" s="22">
        <f t="shared" si="1"/>
        <v>112</v>
      </c>
      <c r="Q19" s="19">
        <v>204.6</v>
      </c>
      <c r="R19" s="33">
        <v>161</v>
      </c>
      <c r="S19" s="19">
        <v>201</v>
      </c>
      <c r="T19" s="33">
        <v>210</v>
      </c>
      <c r="U19" s="19"/>
      <c r="W19" s="22">
        <v>14</v>
      </c>
      <c r="X19" s="19"/>
      <c r="Y19" s="22">
        <v>63</v>
      </c>
      <c r="Z19" s="19">
        <v>202.6</v>
      </c>
      <c r="AA19" s="22">
        <f t="shared" si="2"/>
        <v>112</v>
      </c>
      <c r="AB19" s="19"/>
      <c r="AC19" s="33">
        <v>161</v>
      </c>
      <c r="AD19" s="19"/>
      <c r="AE19" s="33">
        <v>210</v>
      </c>
      <c r="AF19" s="19">
        <v>211.6</v>
      </c>
    </row>
    <row r="20" spans="1:32" ht="15.75" x14ac:dyDescent="0.25">
      <c r="A20" s="22">
        <v>15</v>
      </c>
      <c r="B20" s="19">
        <v>196.4</v>
      </c>
      <c r="C20" s="22">
        <v>64</v>
      </c>
      <c r="D20" s="19">
        <v>199.7</v>
      </c>
      <c r="E20" s="22">
        <f t="shared" si="0"/>
        <v>113</v>
      </c>
      <c r="F20" s="19">
        <v>217.9</v>
      </c>
      <c r="G20" s="35">
        <v>162</v>
      </c>
      <c r="H20" s="19">
        <v>190.5</v>
      </c>
      <c r="I20" s="33">
        <v>211</v>
      </c>
      <c r="J20" s="19">
        <v>186.6</v>
      </c>
      <c r="L20" s="22">
        <v>15</v>
      </c>
      <c r="M20" s="19">
        <v>196.4</v>
      </c>
      <c r="N20" s="22">
        <v>64</v>
      </c>
      <c r="O20" s="19"/>
      <c r="P20" s="22">
        <f t="shared" si="1"/>
        <v>113</v>
      </c>
      <c r="Q20" s="19">
        <v>217.9</v>
      </c>
      <c r="R20" s="35">
        <v>162</v>
      </c>
      <c r="S20" s="19">
        <v>190.5</v>
      </c>
      <c r="T20" s="33">
        <v>211</v>
      </c>
      <c r="U20" s="19"/>
      <c r="W20" s="22">
        <v>15</v>
      </c>
      <c r="X20" s="19"/>
      <c r="Y20" s="22">
        <v>64</v>
      </c>
      <c r="Z20" s="19">
        <v>199.7</v>
      </c>
      <c r="AA20" s="22">
        <f t="shared" si="2"/>
        <v>113</v>
      </c>
      <c r="AB20" s="19"/>
      <c r="AC20" s="35">
        <v>162</v>
      </c>
      <c r="AD20" s="19"/>
      <c r="AE20" s="33">
        <v>211</v>
      </c>
      <c r="AF20" s="19">
        <v>186.6</v>
      </c>
    </row>
    <row r="21" spans="1:32" ht="15.75" x14ac:dyDescent="0.25">
      <c r="A21" s="22">
        <v>16</v>
      </c>
      <c r="B21" s="19">
        <v>198.5</v>
      </c>
      <c r="C21" s="22">
        <v>65</v>
      </c>
      <c r="D21" s="19">
        <v>196.6</v>
      </c>
      <c r="E21" s="22">
        <f t="shared" si="0"/>
        <v>114</v>
      </c>
      <c r="F21" s="19">
        <v>199.2</v>
      </c>
      <c r="G21" s="35">
        <v>163</v>
      </c>
      <c r="H21" s="19">
        <v>208.1</v>
      </c>
      <c r="I21" s="33">
        <v>212</v>
      </c>
      <c r="J21" s="19">
        <v>206.9</v>
      </c>
      <c r="L21" s="22">
        <v>16</v>
      </c>
      <c r="M21" s="19">
        <v>198.5</v>
      </c>
      <c r="N21" s="22">
        <v>65</v>
      </c>
      <c r="O21" s="19"/>
      <c r="P21" s="22">
        <f t="shared" si="1"/>
        <v>114</v>
      </c>
      <c r="Q21" s="19">
        <v>199.2</v>
      </c>
      <c r="R21" s="35">
        <v>163</v>
      </c>
      <c r="S21" s="19">
        <v>208.1</v>
      </c>
      <c r="T21" s="33">
        <v>212</v>
      </c>
      <c r="U21" s="19"/>
      <c r="W21" s="22">
        <v>16</v>
      </c>
      <c r="X21" s="19"/>
      <c r="Y21" s="22">
        <v>65</v>
      </c>
      <c r="Z21" s="19">
        <v>196.6</v>
      </c>
      <c r="AA21" s="22">
        <f t="shared" si="2"/>
        <v>114</v>
      </c>
      <c r="AB21" s="19"/>
      <c r="AC21" s="35">
        <v>163</v>
      </c>
      <c r="AD21" s="19"/>
      <c r="AE21" s="33">
        <v>212</v>
      </c>
      <c r="AF21" s="19">
        <v>206.9</v>
      </c>
    </row>
    <row r="22" spans="1:32" ht="15.75" x14ac:dyDescent="0.25">
      <c r="A22" s="22">
        <v>17</v>
      </c>
      <c r="B22" s="19">
        <v>207.6</v>
      </c>
      <c r="C22" s="22">
        <v>66</v>
      </c>
      <c r="D22" s="19">
        <v>196.2</v>
      </c>
      <c r="E22" s="22">
        <f t="shared" si="0"/>
        <v>115</v>
      </c>
      <c r="F22" s="19">
        <v>199.9</v>
      </c>
      <c r="G22" s="35">
        <v>164</v>
      </c>
      <c r="H22" s="19">
        <v>198.5</v>
      </c>
      <c r="I22" s="33">
        <v>213</v>
      </c>
      <c r="J22" s="19">
        <v>211.1</v>
      </c>
      <c r="L22" s="22">
        <v>17</v>
      </c>
      <c r="M22" s="19">
        <v>207.6</v>
      </c>
      <c r="N22" s="22">
        <v>66</v>
      </c>
      <c r="O22" s="19"/>
      <c r="P22" s="22">
        <f t="shared" si="1"/>
        <v>115</v>
      </c>
      <c r="Q22" s="19">
        <v>199.9</v>
      </c>
      <c r="R22" s="35">
        <v>164</v>
      </c>
      <c r="S22" s="19">
        <v>198.5</v>
      </c>
      <c r="T22" s="33">
        <v>213</v>
      </c>
      <c r="U22" s="19"/>
      <c r="W22" s="22">
        <v>17</v>
      </c>
      <c r="X22" s="19"/>
      <c r="Y22" s="22">
        <v>66</v>
      </c>
      <c r="Z22" s="19">
        <v>196.2</v>
      </c>
      <c r="AA22" s="22">
        <f t="shared" si="2"/>
        <v>115</v>
      </c>
      <c r="AB22" s="19"/>
      <c r="AC22" s="35">
        <v>164</v>
      </c>
      <c r="AD22" s="19"/>
      <c r="AE22" s="33">
        <v>213</v>
      </c>
      <c r="AF22" s="19">
        <v>211.1</v>
      </c>
    </row>
    <row r="23" spans="1:32" ht="15.75" x14ac:dyDescent="0.25">
      <c r="A23" s="22">
        <v>18</v>
      </c>
      <c r="B23" s="19">
        <v>200.6</v>
      </c>
      <c r="C23" s="22">
        <v>67</v>
      </c>
      <c r="D23" s="19">
        <v>200.5</v>
      </c>
      <c r="E23" s="22">
        <f t="shared" si="0"/>
        <v>116</v>
      </c>
      <c r="F23" s="19">
        <v>200.1</v>
      </c>
      <c r="G23" s="35">
        <v>165</v>
      </c>
      <c r="H23" s="19">
        <v>207.5</v>
      </c>
      <c r="I23" s="33">
        <v>214</v>
      </c>
      <c r="J23" s="19">
        <v>187</v>
      </c>
      <c r="L23" s="22">
        <v>18</v>
      </c>
      <c r="M23" s="19">
        <v>200.6</v>
      </c>
      <c r="N23" s="22">
        <v>67</v>
      </c>
      <c r="O23" s="19"/>
      <c r="P23" s="22">
        <f t="shared" si="1"/>
        <v>116</v>
      </c>
      <c r="Q23" s="19">
        <v>200.1</v>
      </c>
      <c r="R23" s="35">
        <v>165</v>
      </c>
      <c r="S23" s="19">
        <v>207.5</v>
      </c>
      <c r="T23" s="33">
        <v>214</v>
      </c>
      <c r="U23" s="19"/>
      <c r="W23" s="22">
        <v>18</v>
      </c>
      <c r="X23" s="19"/>
      <c r="Y23" s="22">
        <v>67</v>
      </c>
      <c r="Z23" s="19">
        <v>200.5</v>
      </c>
      <c r="AA23" s="22">
        <f t="shared" si="2"/>
        <v>116</v>
      </c>
      <c r="AB23" s="19"/>
      <c r="AC23" s="35">
        <v>165</v>
      </c>
      <c r="AD23" s="19"/>
      <c r="AE23" s="33">
        <v>214</v>
      </c>
      <c r="AF23" s="19">
        <v>187</v>
      </c>
    </row>
    <row r="24" spans="1:32" ht="15.75" x14ac:dyDescent="0.25">
      <c r="A24" s="22">
        <v>19</v>
      </c>
      <c r="B24" s="19">
        <v>194.8</v>
      </c>
      <c r="C24" s="22">
        <v>68</v>
      </c>
      <c r="D24" s="19">
        <v>201.7</v>
      </c>
      <c r="E24" s="22">
        <f t="shared" si="0"/>
        <v>117</v>
      </c>
      <c r="F24" s="19">
        <v>202</v>
      </c>
      <c r="G24" s="35">
        <v>166</v>
      </c>
      <c r="H24" s="19">
        <v>185.5</v>
      </c>
      <c r="I24" s="33">
        <v>215</v>
      </c>
      <c r="J24" s="19">
        <v>197.5</v>
      </c>
      <c r="L24" s="22">
        <v>19</v>
      </c>
      <c r="M24" s="19">
        <v>194.8</v>
      </c>
      <c r="N24" s="22">
        <v>68</v>
      </c>
      <c r="O24" s="19"/>
      <c r="P24" s="22">
        <f t="shared" si="1"/>
        <v>117</v>
      </c>
      <c r="Q24" s="19">
        <v>202</v>
      </c>
      <c r="R24" s="35">
        <v>166</v>
      </c>
      <c r="S24" s="19">
        <v>185.5</v>
      </c>
      <c r="T24" s="33">
        <v>215</v>
      </c>
      <c r="U24" s="19"/>
      <c r="W24" s="22">
        <v>19</v>
      </c>
      <c r="X24" s="19"/>
      <c r="Y24" s="22">
        <v>68</v>
      </c>
      <c r="Z24" s="19">
        <v>201.7</v>
      </c>
      <c r="AA24" s="22">
        <f t="shared" si="2"/>
        <v>117</v>
      </c>
      <c r="AB24" s="19"/>
      <c r="AC24" s="35">
        <v>166</v>
      </c>
      <c r="AD24" s="19"/>
      <c r="AE24" s="33">
        <v>215</v>
      </c>
      <c r="AF24" s="19">
        <v>197.5</v>
      </c>
    </row>
    <row r="25" spans="1:32" ht="15.75" x14ac:dyDescent="0.25">
      <c r="A25" s="22">
        <v>20</v>
      </c>
      <c r="B25" s="19">
        <v>206.7</v>
      </c>
      <c r="C25" s="22">
        <v>69</v>
      </c>
      <c r="D25" s="19">
        <v>196.6</v>
      </c>
      <c r="E25" s="22">
        <f t="shared" si="0"/>
        <v>118</v>
      </c>
      <c r="F25" s="19">
        <v>200.9</v>
      </c>
      <c r="G25" s="35">
        <v>167</v>
      </c>
      <c r="H25" s="19">
        <v>207.1</v>
      </c>
      <c r="I25" s="33">
        <v>216</v>
      </c>
      <c r="J25" s="19">
        <v>207.7</v>
      </c>
      <c r="L25" s="22">
        <v>20</v>
      </c>
      <c r="M25" s="19">
        <v>206.7</v>
      </c>
      <c r="N25" s="22">
        <v>69</v>
      </c>
      <c r="O25" s="19"/>
      <c r="P25" s="22">
        <f t="shared" si="1"/>
        <v>118</v>
      </c>
      <c r="Q25" s="19">
        <v>200.9</v>
      </c>
      <c r="R25" s="35">
        <v>167</v>
      </c>
      <c r="S25" s="19">
        <v>207.1</v>
      </c>
      <c r="T25" s="33">
        <v>216</v>
      </c>
      <c r="U25" s="19"/>
      <c r="W25" s="22">
        <v>20</v>
      </c>
      <c r="X25" s="19"/>
      <c r="Y25" s="22">
        <v>69</v>
      </c>
      <c r="Z25" s="19">
        <v>196.6</v>
      </c>
      <c r="AA25" s="22">
        <f t="shared" si="2"/>
        <v>118</v>
      </c>
      <c r="AB25" s="19"/>
      <c r="AC25" s="35">
        <v>167</v>
      </c>
      <c r="AD25" s="19"/>
      <c r="AE25" s="33">
        <v>216</v>
      </c>
      <c r="AF25" s="19">
        <v>207.7</v>
      </c>
    </row>
    <row r="26" spans="1:32" ht="15.75" x14ac:dyDescent="0.25">
      <c r="A26" s="22">
        <v>21</v>
      </c>
      <c r="B26" s="19">
        <v>203.4</v>
      </c>
      <c r="C26" s="22">
        <v>70</v>
      </c>
      <c r="D26" s="19">
        <v>202.7</v>
      </c>
      <c r="E26" s="22">
        <f t="shared" si="0"/>
        <v>119</v>
      </c>
      <c r="F26" s="19">
        <v>209.8</v>
      </c>
      <c r="G26" s="35">
        <v>168</v>
      </c>
      <c r="H26" s="19">
        <v>207.9</v>
      </c>
      <c r="I26" s="33">
        <v>217</v>
      </c>
      <c r="J26" s="19">
        <v>213</v>
      </c>
      <c r="L26" s="22">
        <v>21</v>
      </c>
      <c r="M26" s="19">
        <v>203.4</v>
      </c>
      <c r="N26" s="22">
        <v>70</v>
      </c>
      <c r="O26" s="19"/>
      <c r="P26" s="22">
        <f t="shared" si="1"/>
        <v>119</v>
      </c>
      <c r="Q26" s="19">
        <v>209.8</v>
      </c>
      <c r="R26" s="35">
        <v>168</v>
      </c>
      <c r="S26" s="19"/>
      <c r="T26" s="33">
        <v>217</v>
      </c>
      <c r="U26" s="19"/>
      <c r="W26" s="22">
        <v>21</v>
      </c>
      <c r="X26" s="19"/>
      <c r="Y26" s="22">
        <v>70</v>
      </c>
      <c r="Z26" s="19">
        <v>202.7</v>
      </c>
      <c r="AA26" s="22">
        <f t="shared" si="2"/>
        <v>119</v>
      </c>
      <c r="AB26" s="19"/>
      <c r="AC26" s="35">
        <v>168</v>
      </c>
      <c r="AD26" s="19">
        <v>207.9</v>
      </c>
      <c r="AE26" s="33">
        <v>217</v>
      </c>
      <c r="AF26" s="19">
        <v>213</v>
      </c>
    </row>
    <row r="27" spans="1:32" ht="15.75" x14ac:dyDescent="0.25">
      <c r="A27" s="22">
        <v>22</v>
      </c>
      <c r="B27" s="19">
        <v>205</v>
      </c>
      <c r="C27" s="22">
        <v>71</v>
      </c>
      <c r="D27" s="19">
        <v>202.1</v>
      </c>
      <c r="E27" s="22">
        <f t="shared" si="0"/>
        <v>120</v>
      </c>
      <c r="F27" s="19">
        <v>199.7</v>
      </c>
      <c r="G27" s="35">
        <v>169</v>
      </c>
      <c r="H27" s="19">
        <v>203</v>
      </c>
      <c r="I27" s="33">
        <v>218</v>
      </c>
      <c r="J27" s="19">
        <v>170.5</v>
      </c>
      <c r="L27" s="22">
        <v>22</v>
      </c>
      <c r="M27" s="19">
        <v>205</v>
      </c>
      <c r="N27" s="22">
        <v>71</v>
      </c>
      <c r="O27" s="19"/>
      <c r="P27" s="22">
        <f t="shared" si="1"/>
        <v>120</v>
      </c>
      <c r="Q27" s="19">
        <v>199.7</v>
      </c>
      <c r="R27" s="35">
        <v>169</v>
      </c>
      <c r="S27" s="19"/>
      <c r="T27" s="33">
        <v>218</v>
      </c>
      <c r="U27" s="19"/>
      <c r="W27" s="22">
        <v>22</v>
      </c>
      <c r="X27" s="19"/>
      <c r="Y27" s="22">
        <v>71</v>
      </c>
      <c r="Z27" s="19">
        <v>202.1</v>
      </c>
      <c r="AA27" s="22">
        <f t="shared" si="2"/>
        <v>120</v>
      </c>
      <c r="AB27" s="19"/>
      <c r="AC27" s="35">
        <v>169</v>
      </c>
      <c r="AD27" s="19">
        <v>203</v>
      </c>
      <c r="AE27" s="33">
        <v>218</v>
      </c>
      <c r="AF27" s="19">
        <v>170.5</v>
      </c>
    </row>
    <row r="28" spans="1:32" ht="15.75" x14ac:dyDescent="0.25">
      <c r="A28" s="22">
        <v>23</v>
      </c>
      <c r="B28" s="19">
        <v>196.5</v>
      </c>
      <c r="C28" s="22">
        <v>72</v>
      </c>
      <c r="D28" s="19">
        <v>206.3</v>
      </c>
      <c r="E28" s="22">
        <f t="shared" si="0"/>
        <v>121</v>
      </c>
      <c r="F28" s="19">
        <v>197.7</v>
      </c>
      <c r="G28" s="35">
        <v>170</v>
      </c>
      <c r="H28" s="19">
        <v>211.9</v>
      </c>
      <c r="I28" s="33">
        <v>219</v>
      </c>
      <c r="J28" s="19">
        <v>209.5</v>
      </c>
      <c r="L28" s="22">
        <v>23</v>
      </c>
      <c r="M28" s="19">
        <v>196.5</v>
      </c>
      <c r="N28" s="22">
        <v>72</v>
      </c>
      <c r="O28" s="19"/>
      <c r="P28" s="22">
        <f t="shared" si="1"/>
        <v>121</v>
      </c>
      <c r="Q28" s="19">
        <v>197.7</v>
      </c>
      <c r="R28" s="35">
        <v>170</v>
      </c>
      <c r="S28" s="19"/>
      <c r="T28" s="33">
        <v>219</v>
      </c>
      <c r="U28" s="19"/>
      <c r="W28" s="22">
        <v>23</v>
      </c>
      <c r="X28" s="19"/>
      <c r="Y28" s="22">
        <v>72</v>
      </c>
      <c r="Z28" s="19">
        <v>206.3</v>
      </c>
      <c r="AA28" s="22">
        <f t="shared" si="2"/>
        <v>121</v>
      </c>
      <c r="AB28" s="19"/>
      <c r="AC28" s="35">
        <v>170</v>
      </c>
      <c r="AD28" s="19">
        <v>211.9</v>
      </c>
      <c r="AE28" s="33">
        <v>219</v>
      </c>
      <c r="AF28" s="19">
        <v>209.5</v>
      </c>
    </row>
    <row r="29" spans="1:32" ht="15.75" x14ac:dyDescent="0.25">
      <c r="A29" s="22">
        <v>24</v>
      </c>
      <c r="B29" s="19">
        <v>200.7</v>
      </c>
      <c r="C29" s="22">
        <v>73</v>
      </c>
      <c r="D29" s="19">
        <v>195.5</v>
      </c>
      <c r="E29" s="22">
        <f t="shared" si="0"/>
        <v>122</v>
      </c>
      <c r="F29" s="19">
        <v>210</v>
      </c>
      <c r="G29" s="35">
        <v>171</v>
      </c>
      <c r="H29" s="19">
        <v>205.8</v>
      </c>
      <c r="I29" s="33">
        <v>220</v>
      </c>
      <c r="J29" s="19">
        <v>141.80000000000001</v>
      </c>
      <c r="L29" s="22">
        <v>24</v>
      </c>
      <c r="M29" s="19">
        <v>200.7</v>
      </c>
      <c r="N29" s="22">
        <v>73</v>
      </c>
      <c r="O29" s="19"/>
      <c r="P29" s="22">
        <f t="shared" si="1"/>
        <v>122</v>
      </c>
      <c r="Q29" s="19">
        <v>210</v>
      </c>
      <c r="R29" s="35">
        <v>171</v>
      </c>
      <c r="S29" s="19"/>
      <c r="T29" s="33">
        <v>220</v>
      </c>
      <c r="U29" s="19"/>
      <c r="W29" s="22">
        <v>24</v>
      </c>
      <c r="X29" s="19"/>
      <c r="Y29" s="22">
        <v>73</v>
      </c>
      <c r="Z29" s="19">
        <v>195.5</v>
      </c>
      <c r="AA29" s="22">
        <f t="shared" si="2"/>
        <v>122</v>
      </c>
      <c r="AB29" s="19"/>
      <c r="AC29" s="35">
        <v>171</v>
      </c>
      <c r="AD29" s="19">
        <v>205.8</v>
      </c>
      <c r="AE29" s="33">
        <v>220</v>
      </c>
      <c r="AF29" s="19">
        <v>141.80000000000001</v>
      </c>
    </row>
    <row r="30" spans="1:32" ht="15.75" x14ac:dyDescent="0.25">
      <c r="A30" s="22">
        <v>25</v>
      </c>
      <c r="B30" s="19">
        <v>206.1</v>
      </c>
      <c r="C30" s="22">
        <v>74</v>
      </c>
      <c r="D30" s="19">
        <v>195</v>
      </c>
      <c r="E30" s="22">
        <f t="shared" si="0"/>
        <v>123</v>
      </c>
      <c r="F30" s="19">
        <v>204</v>
      </c>
      <c r="G30" s="35">
        <v>172</v>
      </c>
      <c r="H30" s="19">
        <v>210.5</v>
      </c>
      <c r="I30" s="20"/>
      <c r="J30" s="36"/>
      <c r="L30" s="22">
        <v>25</v>
      </c>
      <c r="M30" s="19">
        <v>206.1</v>
      </c>
      <c r="N30" s="22">
        <v>74</v>
      </c>
      <c r="O30" s="19"/>
      <c r="P30" s="22">
        <f t="shared" si="1"/>
        <v>123</v>
      </c>
      <c r="Q30" s="19">
        <v>204</v>
      </c>
      <c r="R30" s="35">
        <v>172</v>
      </c>
      <c r="S30" s="19"/>
      <c r="T30" s="20"/>
      <c r="U30" s="36"/>
      <c r="W30" s="22">
        <v>25</v>
      </c>
      <c r="X30" s="19"/>
      <c r="Y30" s="22">
        <v>74</v>
      </c>
      <c r="Z30" s="19">
        <v>195</v>
      </c>
      <c r="AA30" s="22">
        <f t="shared" si="2"/>
        <v>123</v>
      </c>
      <c r="AB30" s="19"/>
      <c r="AC30" s="35">
        <v>172</v>
      </c>
      <c r="AD30" s="19">
        <v>210.5</v>
      </c>
      <c r="AE30" s="20"/>
      <c r="AF30" s="36"/>
    </row>
    <row r="31" spans="1:32" ht="15.75" x14ac:dyDescent="0.25">
      <c r="A31" s="22">
        <v>26</v>
      </c>
      <c r="B31" s="19">
        <v>200.7</v>
      </c>
      <c r="C31" s="22">
        <v>75</v>
      </c>
      <c r="D31" s="19">
        <v>203.3</v>
      </c>
      <c r="E31" s="22">
        <f t="shared" si="0"/>
        <v>124</v>
      </c>
      <c r="F31" s="19">
        <v>201.5</v>
      </c>
      <c r="G31" s="35">
        <v>173</v>
      </c>
      <c r="H31" s="19">
        <v>200.7</v>
      </c>
      <c r="I31" s="20"/>
      <c r="J31" s="36"/>
      <c r="L31" s="22">
        <v>26</v>
      </c>
      <c r="M31" s="19">
        <v>200.7</v>
      </c>
      <c r="N31" s="22">
        <v>75</v>
      </c>
      <c r="O31" s="19"/>
      <c r="P31" s="22">
        <f t="shared" si="1"/>
        <v>124</v>
      </c>
      <c r="Q31" s="19">
        <v>201.5</v>
      </c>
      <c r="R31" s="35">
        <v>173</v>
      </c>
      <c r="S31" s="19"/>
      <c r="T31" s="20"/>
      <c r="U31" s="36"/>
      <c r="W31" s="22">
        <v>26</v>
      </c>
      <c r="X31" s="19"/>
      <c r="Y31" s="22">
        <v>75</v>
      </c>
      <c r="Z31" s="19">
        <v>203.3</v>
      </c>
      <c r="AA31" s="22">
        <f t="shared" si="2"/>
        <v>124</v>
      </c>
      <c r="AB31" s="19"/>
      <c r="AC31" s="35">
        <v>173</v>
      </c>
      <c r="AD31" s="19">
        <v>200.7</v>
      </c>
      <c r="AE31" s="20"/>
      <c r="AF31" s="36"/>
    </row>
    <row r="32" spans="1:32" ht="15.75" x14ac:dyDescent="0.25">
      <c r="A32" s="22">
        <v>27</v>
      </c>
      <c r="B32" s="19">
        <v>210.5</v>
      </c>
      <c r="C32" s="22">
        <v>76</v>
      </c>
      <c r="D32" s="19">
        <v>195.3</v>
      </c>
      <c r="E32" s="22">
        <f t="shared" si="0"/>
        <v>125</v>
      </c>
      <c r="F32" s="19">
        <v>202.7</v>
      </c>
      <c r="G32" s="33">
        <v>174</v>
      </c>
      <c r="H32" s="19">
        <v>206.2</v>
      </c>
      <c r="I32" s="21"/>
      <c r="J32" s="36"/>
      <c r="L32" s="22">
        <v>27</v>
      </c>
      <c r="M32" s="19">
        <v>210.5</v>
      </c>
      <c r="N32" s="22">
        <v>76</v>
      </c>
      <c r="O32" s="19"/>
      <c r="P32" s="22">
        <f t="shared" si="1"/>
        <v>125</v>
      </c>
      <c r="Q32" s="19">
        <v>202.7</v>
      </c>
      <c r="R32" s="33">
        <v>174</v>
      </c>
      <c r="S32" s="19"/>
      <c r="T32" s="21"/>
      <c r="U32" s="36"/>
      <c r="W32" s="22">
        <v>27</v>
      </c>
      <c r="X32" s="19"/>
      <c r="Y32" s="22">
        <v>76</v>
      </c>
      <c r="Z32" s="19">
        <v>195.3</v>
      </c>
      <c r="AA32" s="22">
        <f t="shared" si="2"/>
        <v>125</v>
      </c>
      <c r="AB32" s="19"/>
      <c r="AC32" s="33">
        <v>174</v>
      </c>
      <c r="AD32" s="19">
        <v>206.2</v>
      </c>
      <c r="AE32" s="21"/>
      <c r="AF32" s="36"/>
    </row>
    <row r="33" spans="1:32" ht="15.75" x14ac:dyDescent="0.25">
      <c r="A33" s="22">
        <v>28</v>
      </c>
      <c r="B33" s="19">
        <v>204.4</v>
      </c>
      <c r="C33" s="22">
        <v>77</v>
      </c>
      <c r="D33" s="19">
        <v>199.4</v>
      </c>
      <c r="E33" s="22">
        <f t="shared" si="0"/>
        <v>126</v>
      </c>
      <c r="F33" s="19">
        <v>199.3</v>
      </c>
      <c r="G33" s="33">
        <v>175</v>
      </c>
      <c r="H33" s="19">
        <v>204</v>
      </c>
      <c r="I33" s="20"/>
      <c r="J33" s="36"/>
      <c r="L33" s="22">
        <v>28</v>
      </c>
      <c r="M33" s="19">
        <v>204.4</v>
      </c>
      <c r="N33" s="22">
        <v>77</v>
      </c>
      <c r="O33" s="19"/>
      <c r="P33" s="22">
        <f t="shared" si="1"/>
        <v>126</v>
      </c>
      <c r="Q33" s="19">
        <v>199.3</v>
      </c>
      <c r="R33" s="33">
        <v>175</v>
      </c>
      <c r="S33" s="19"/>
      <c r="T33" s="20"/>
      <c r="U33" s="36"/>
      <c r="W33" s="22">
        <v>28</v>
      </c>
      <c r="X33" s="19"/>
      <c r="Y33" s="22">
        <v>77</v>
      </c>
      <c r="Z33" s="19">
        <v>199.4</v>
      </c>
      <c r="AA33" s="22">
        <f t="shared" si="2"/>
        <v>126</v>
      </c>
      <c r="AB33" s="19"/>
      <c r="AC33" s="33">
        <v>175</v>
      </c>
      <c r="AD33" s="19">
        <v>204</v>
      </c>
      <c r="AE33" s="20"/>
      <c r="AF33" s="36"/>
    </row>
    <row r="34" spans="1:32" ht="15.75" x14ac:dyDescent="0.25">
      <c r="A34" s="22">
        <v>29</v>
      </c>
      <c r="B34" s="19">
        <v>200.9</v>
      </c>
      <c r="C34" s="22">
        <v>78</v>
      </c>
      <c r="D34" s="19">
        <v>202.4</v>
      </c>
      <c r="E34" s="22">
        <f t="shared" si="0"/>
        <v>127</v>
      </c>
      <c r="F34" s="19">
        <v>206.2</v>
      </c>
      <c r="G34" s="33">
        <v>176</v>
      </c>
      <c r="H34" s="19">
        <v>214.1</v>
      </c>
      <c r="I34" s="20"/>
      <c r="J34" s="36"/>
      <c r="L34" s="22">
        <v>29</v>
      </c>
      <c r="M34" s="19">
        <v>200.9</v>
      </c>
      <c r="N34" s="22">
        <v>78</v>
      </c>
      <c r="O34" s="19"/>
      <c r="P34" s="22">
        <f t="shared" si="1"/>
        <v>127</v>
      </c>
      <c r="Q34" s="19">
        <v>206.2</v>
      </c>
      <c r="R34" s="33">
        <v>176</v>
      </c>
      <c r="S34" s="19"/>
      <c r="T34" s="20"/>
      <c r="U34" s="36"/>
      <c r="W34" s="22">
        <v>29</v>
      </c>
      <c r="X34" s="19"/>
      <c r="Y34" s="22">
        <v>78</v>
      </c>
      <c r="Z34" s="19">
        <v>202.4</v>
      </c>
      <c r="AA34" s="22">
        <f t="shared" si="2"/>
        <v>127</v>
      </c>
      <c r="AB34" s="19"/>
      <c r="AC34" s="33">
        <v>176</v>
      </c>
      <c r="AD34" s="19">
        <v>214.1</v>
      </c>
      <c r="AE34" s="20"/>
      <c r="AF34" s="36"/>
    </row>
    <row r="35" spans="1:32" ht="15.75" x14ac:dyDescent="0.25">
      <c r="A35" s="22">
        <v>30</v>
      </c>
      <c r="B35" s="19">
        <v>203.1</v>
      </c>
      <c r="C35" s="22">
        <v>79</v>
      </c>
      <c r="D35" s="19">
        <v>206</v>
      </c>
      <c r="E35" s="22">
        <f t="shared" si="0"/>
        <v>128</v>
      </c>
      <c r="F35" s="19">
        <v>195.9</v>
      </c>
      <c r="G35" s="33">
        <v>177</v>
      </c>
      <c r="H35" s="19">
        <v>181.3</v>
      </c>
      <c r="I35" s="21"/>
      <c r="J35" s="36"/>
      <c r="L35" s="22">
        <v>30</v>
      </c>
      <c r="M35" s="19">
        <v>203.1</v>
      </c>
      <c r="N35" s="22">
        <v>79</v>
      </c>
      <c r="O35" s="19"/>
      <c r="P35" s="22">
        <f t="shared" si="1"/>
        <v>128</v>
      </c>
      <c r="Q35" s="19">
        <v>195.9</v>
      </c>
      <c r="R35" s="33">
        <v>177</v>
      </c>
      <c r="S35" s="19"/>
      <c r="T35" s="21"/>
      <c r="U35" s="36"/>
      <c r="W35" s="22">
        <v>30</v>
      </c>
      <c r="X35" s="19"/>
      <c r="Y35" s="22">
        <v>79</v>
      </c>
      <c r="Z35" s="19">
        <v>206</v>
      </c>
      <c r="AA35" s="22">
        <f t="shared" si="2"/>
        <v>128</v>
      </c>
      <c r="AB35" s="19"/>
      <c r="AC35" s="33">
        <v>177</v>
      </c>
      <c r="AD35" s="19">
        <v>181.3</v>
      </c>
      <c r="AE35" s="21"/>
      <c r="AF35" s="36"/>
    </row>
    <row r="36" spans="1:32" ht="15.75" x14ac:dyDescent="0.25">
      <c r="A36" s="22">
        <v>31</v>
      </c>
      <c r="B36" s="19">
        <v>202.6</v>
      </c>
      <c r="C36" s="22">
        <v>80</v>
      </c>
      <c r="D36" s="19">
        <v>204.7</v>
      </c>
      <c r="E36" s="22">
        <f t="shared" si="0"/>
        <v>129</v>
      </c>
      <c r="F36" s="19">
        <v>206.2</v>
      </c>
      <c r="G36" s="33">
        <v>178</v>
      </c>
      <c r="H36" s="19">
        <v>211.4</v>
      </c>
      <c r="I36" s="20"/>
      <c r="J36" s="36"/>
      <c r="L36" s="22">
        <v>31</v>
      </c>
      <c r="M36" s="19">
        <v>202.6</v>
      </c>
      <c r="N36" s="22">
        <v>80</v>
      </c>
      <c r="O36" s="19"/>
      <c r="P36" s="22">
        <f t="shared" si="1"/>
        <v>129</v>
      </c>
      <c r="Q36" s="19">
        <v>206.2</v>
      </c>
      <c r="R36" s="33">
        <v>178</v>
      </c>
      <c r="S36" s="19"/>
      <c r="T36" s="20"/>
      <c r="U36" s="36"/>
      <c r="W36" s="22">
        <v>31</v>
      </c>
      <c r="X36" s="19"/>
      <c r="Y36" s="22">
        <v>80</v>
      </c>
      <c r="Z36" s="19">
        <v>204.7</v>
      </c>
      <c r="AA36" s="22">
        <f t="shared" si="2"/>
        <v>129</v>
      </c>
      <c r="AB36" s="19"/>
      <c r="AC36" s="33">
        <v>178</v>
      </c>
      <c r="AD36" s="19">
        <v>211.4</v>
      </c>
      <c r="AE36" s="20"/>
      <c r="AF36" s="36"/>
    </row>
    <row r="37" spans="1:32" ht="15.75" x14ac:dyDescent="0.25">
      <c r="A37" s="22">
        <v>32</v>
      </c>
      <c r="B37" s="19">
        <v>202.8</v>
      </c>
      <c r="C37" s="22">
        <v>81</v>
      </c>
      <c r="D37" s="19">
        <v>212.1</v>
      </c>
      <c r="E37" s="22">
        <f t="shared" si="0"/>
        <v>130</v>
      </c>
      <c r="F37" s="19">
        <v>203.4</v>
      </c>
      <c r="G37" s="33">
        <v>179</v>
      </c>
      <c r="H37" s="19">
        <v>192.3</v>
      </c>
      <c r="I37" s="20"/>
      <c r="J37" s="36"/>
      <c r="L37" s="22">
        <v>32</v>
      </c>
      <c r="M37" s="19">
        <v>202.8</v>
      </c>
      <c r="N37" s="22">
        <v>81</v>
      </c>
      <c r="O37" s="19"/>
      <c r="P37" s="22">
        <f t="shared" si="1"/>
        <v>130</v>
      </c>
      <c r="Q37" s="19">
        <v>203.4</v>
      </c>
      <c r="R37" s="33">
        <v>179</v>
      </c>
      <c r="S37" s="19"/>
      <c r="T37" s="20"/>
      <c r="U37" s="36"/>
      <c r="W37" s="22">
        <v>32</v>
      </c>
      <c r="X37" s="19"/>
      <c r="Y37" s="22">
        <v>81</v>
      </c>
      <c r="Z37" s="19">
        <v>212.1</v>
      </c>
      <c r="AA37" s="22">
        <f t="shared" si="2"/>
        <v>130</v>
      </c>
      <c r="AB37" s="19"/>
      <c r="AC37" s="33">
        <v>179</v>
      </c>
      <c r="AD37" s="19">
        <v>192.3</v>
      </c>
      <c r="AE37" s="20"/>
      <c r="AF37" s="36"/>
    </row>
    <row r="38" spans="1:32" ht="15.75" x14ac:dyDescent="0.25">
      <c r="A38" s="22">
        <v>33</v>
      </c>
      <c r="B38" s="19">
        <v>207.1</v>
      </c>
      <c r="C38" s="22">
        <v>82</v>
      </c>
      <c r="D38" s="19">
        <v>207.4</v>
      </c>
      <c r="E38" s="22">
        <f t="shared" si="0"/>
        <v>131</v>
      </c>
      <c r="F38" s="19">
        <v>203.2</v>
      </c>
      <c r="G38" s="33">
        <v>180</v>
      </c>
      <c r="H38" s="19">
        <v>206</v>
      </c>
      <c r="I38" s="21"/>
      <c r="J38" s="36"/>
      <c r="L38" s="22">
        <v>33</v>
      </c>
      <c r="M38" s="19">
        <v>207.1</v>
      </c>
      <c r="N38" s="22">
        <v>82</v>
      </c>
      <c r="O38" s="19"/>
      <c r="P38" s="22">
        <f t="shared" si="1"/>
        <v>131</v>
      </c>
      <c r="Q38" s="19">
        <v>203.2</v>
      </c>
      <c r="R38" s="33">
        <v>180</v>
      </c>
      <c r="S38" s="19"/>
      <c r="T38" s="21"/>
      <c r="U38" s="36"/>
      <c r="W38" s="22">
        <v>33</v>
      </c>
      <c r="X38" s="19"/>
      <c r="Y38" s="22">
        <v>82</v>
      </c>
      <c r="Z38" s="19">
        <v>207.4</v>
      </c>
      <c r="AA38" s="22">
        <f t="shared" si="2"/>
        <v>131</v>
      </c>
      <c r="AB38" s="19"/>
      <c r="AC38" s="33">
        <v>180</v>
      </c>
      <c r="AD38" s="19">
        <v>206</v>
      </c>
      <c r="AE38" s="21"/>
      <c r="AF38" s="36"/>
    </row>
    <row r="39" spans="1:32" ht="15.75" x14ac:dyDescent="0.25">
      <c r="A39" s="22">
        <v>34</v>
      </c>
      <c r="B39" s="19">
        <v>202.8</v>
      </c>
      <c r="C39" s="22">
        <v>83</v>
      </c>
      <c r="D39" s="19">
        <v>209.8</v>
      </c>
      <c r="E39" s="22">
        <f t="shared" si="0"/>
        <v>132</v>
      </c>
      <c r="F39" s="19">
        <v>203.3</v>
      </c>
      <c r="G39" s="33">
        <v>181</v>
      </c>
      <c r="H39" s="19">
        <v>186.8</v>
      </c>
      <c r="I39" s="21"/>
      <c r="J39" s="36"/>
      <c r="L39" s="22">
        <v>34</v>
      </c>
      <c r="M39" s="19">
        <v>202.8</v>
      </c>
      <c r="N39" s="22">
        <v>83</v>
      </c>
      <c r="O39" s="19"/>
      <c r="P39" s="22">
        <f t="shared" si="1"/>
        <v>132</v>
      </c>
      <c r="Q39" s="19">
        <v>203.3</v>
      </c>
      <c r="R39" s="33">
        <v>181</v>
      </c>
      <c r="S39" s="19"/>
      <c r="T39" s="21"/>
      <c r="U39" s="36"/>
      <c r="W39" s="22">
        <v>34</v>
      </c>
      <c r="X39" s="19"/>
      <c r="Y39" s="22">
        <v>83</v>
      </c>
      <c r="Z39" s="19">
        <v>209.8</v>
      </c>
      <c r="AA39" s="22">
        <f t="shared" si="2"/>
        <v>132</v>
      </c>
      <c r="AB39" s="19"/>
      <c r="AC39" s="33">
        <v>181</v>
      </c>
      <c r="AD39" s="19">
        <v>186.8</v>
      </c>
      <c r="AE39" s="21"/>
      <c r="AF39" s="36"/>
    </row>
    <row r="40" spans="1:32" ht="15.75" x14ac:dyDescent="0.25">
      <c r="A40" s="22">
        <v>35</v>
      </c>
      <c r="B40" s="19">
        <v>209.8</v>
      </c>
      <c r="C40" s="22">
        <v>84</v>
      </c>
      <c r="D40" s="19">
        <v>204.8</v>
      </c>
      <c r="E40" s="22">
        <f t="shared" si="0"/>
        <v>133</v>
      </c>
      <c r="F40" s="19">
        <v>198.8</v>
      </c>
      <c r="G40" s="33">
        <v>182</v>
      </c>
      <c r="H40" s="19">
        <v>214.2</v>
      </c>
      <c r="I40" s="20"/>
      <c r="J40" s="36"/>
      <c r="L40" s="22">
        <v>35</v>
      </c>
      <c r="M40" s="19">
        <v>209.8</v>
      </c>
      <c r="N40" s="22">
        <v>84</v>
      </c>
      <c r="O40" s="19"/>
      <c r="P40" s="22">
        <f t="shared" si="1"/>
        <v>133</v>
      </c>
      <c r="Q40" s="19">
        <v>198.8</v>
      </c>
      <c r="R40" s="33">
        <v>182</v>
      </c>
      <c r="S40" s="19"/>
      <c r="T40" s="20"/>
      <c r="U40" s="36"/>
      <c r="W40" s="22">
        <v>35</v>
      </c>
      <c r="X40" s="19"/>
      <c r="Y40" s="22">
        <v>84</v>
      </c>
      <c r="Z40" s="19">
        <v>204.8</v>
      </c>
      <c r="AA40" s="22">
        <f t="shared" si="2"/>
        <v>133</v>
      </c>
      <c r="AB40" s="19"/>
      <c r="AC40" s="33">
        <v>182</v>
      </c>
      <c r="AD40" s="19">
        <v>214.2</v>
      </c>
      <c r="AE40" s="20"/>
      <c r="AF40" s="36"/>
    </row>
    <row r="41" spans="1:32" ht="15.75" x14ac:dyDescent="0.25">
      <c r="A41" s="22">
        <v>36</v>
      </c>
      <c r="B41" s="19">
        <v>201.5</v>
      </c>
      <c r="C41" s="22">
        <v>85</v>
      </c>
      <c r="D41" s="19">
        <v>197.7</v>
      </c>
      <c r="E41" s="22">
        <f t="shared" si="0"/>
        <v>134</v>
      </c>
      <c r="F41" s="19">
        <v>206</v>
      </c>
      <c r="G41" s="33">
        <v>183</v>
      </c>
      <c r="H41" s="19">
        <v>206.2</v>
      </c>
      <c r="I41" s="20"/>
      <c r="J41" s="36"/>
      <c r="L41" s="22">
        <v>36</v>
      </c>
      <c r="M41" s="19">
        <v>201.5</v>
      </c>
      <c r="N41" s="22">
        <v>85</v>
      </c>
      <c r="O41" s="19"/>
      <c r="P41" s="22">
        <f t="shared" si="1"/>
        <v>134</v>
      </c>
      <c r="Q41" s="19">
        <v>206</v>
      </c>
      <c r="R41" s="33">
        <v>183</v>
      </c>
      <c r="S41" s="19"/>
      <c r="T41" s="20"/>
      <c r="U41" s="36"/>
      <c r="W41" s="22">
        <v>36</v>
      </c>
      <c r="X41" s="19"/>
      <c r="Y41" s="22">
        <v>85</v>
      </c>
      <c r="Z41" s="19">
        <v>197.7</v>
      </c>
      <c r="AA41" s="22">
        <f t="shared" si="2"/>
        <v>134</v>
      </c>
      <c r="AB41" s="19"/>
      <c r="AC41" s="33">
        <v>183</v>
      </c>
      <c r="AD41" s="19">
        <v>206.2</v>
      </c>
      <c r="AE41" s="20"/>
      <c r="AF41" s="36"/>
    </row>
    <row r="42" spans="1:32" ht="15.75" x14ac:dyDescent="0.25">
      <c r="A42" s="22">
        <v>37</v>
      </c>
      <c r="B42" s="19">
        <v>199.6</v>
      </c>
      <c r="C42" s="22">
        <v>86</v>
      </c>
      <c r="D42" s="19">
        <v>198.6</v>
      </c>
      <c r="E42" s="22">
        <f t="shared" si="0"/>
        <v>135</v>
      </c>
      <c r="F42" s="19">
        <v>203</v>
      </c>
      <c r="G42" s="33">
        <v>184</v>
      </c>
      <c r="H42" s="19">
        <v>190</v>
      </c>
      <c r="I42" s="21"/>
      <c r="J42" s="36"/>
      <c r="L42" s="22">
        <v>37</v>
      </c>
      <c r="M42" s="19">
        <v>199.6</v>
      </c>
      <c r="N42" s="22">
        <v>86</v>
      </c>
      <c r="O42" s="19"/>
      <c r="P42" s="22">
        <f t="shared" si="1"/>
        <v>135</v>
      </c>
      <c r="Q42" s="19">
        <v>203</v>
      </c>
      <c r="R42" s="33">
        <v>184</v>
      </c>
      <c r="S42" s="19"/>
      <c r="T42" s="21"/>
      <c r="U42" s="36"/>
      <c r="W42" s="22">
        <v>37</v>
      </c>
      <c r="X42" s="19"/>
      <c r="Y42" s="22">
        <v>86</v>
      </c>
      <c r="Z42" s="19">
        <v>198.6</v>
      </c>
      <c r="AA42" s="22">
        <f t="shared" si="2"/>
        <v>135</v>
      </c>
      <c r="AB42" s="19"/>
      <c r="AC42" s="33">
        <v>184</v>
      </c>
      <c r="AD42" s="19">
        <v>190</v>
      </c>
      <c r="AE42" s="21"/>
      <c r="AF42" s="36"/>
    </row>
    <row r="43" spans="1:32" ht="15.75" x14ac:dyDescent="0.25">
      <c r="A43" s="22">
        <v>38</v>
      </c>
      <c r="B43" s="19">
        <v>200.8</v>
      </c>
      <c r="C43" s="22">
        <v>87</v>
      </c>
      <c r="D43" s="19">
        <v>209.2</v>
      </c>
      <c r="E43" s="22">
        <f t="shared" si="0"/>
        <v>136</v>
      </c>
      <c r="F43" s="19">
        <v>202.2</v>
      </c>
      <c r="G43" s="33">
        <v>185</v>
      </c>
      <c r="H43" s="19">
        <v>213.2</v>
      </c>
      <c r="I43" s="20"/>
      <c r="J43" s="36"/>
      <c r="L43" s="22">
        <v>38</v>
      </c>
      <c r="M43" s="19">
        <v>200.8</v>
      </c>
      <c r="N43" s="22">
        <v>87</v>
      </c>
      <c r="O43" s="19"/>
      <c r="P43" s="22">
        <f t="shared" si="1"/>
        <v>136</v>
      </c>
      <c r="Q43" s="19">
        <v>202.2</v>
      </c>
      <c r="R43" s="33">
        <v>185</v>
      </c>
      <c r="S43" s="19"/>
      <c r="T43" s="20"/>
      <c r="U43" s="36"/>
      <c r="W43" s="22">
        <v>38</v>
      </c>
      <c r="X43" s="19"/>
      <c r="Y43" s="22">
        <v>87</v>
      </c>
      <c r="Z43" s="19">
        <v>209.2</v>
      </c>
      <c r="AA43" s="22">
        <f t="shared" si="2"/>
        <v>136</v>
      </c>
      <c r="AB43" s="19"/>
      <c r="AC43" s="33">
        <v>185</v>
      </c>
      <c r="AD43" s="19">
        <v>213.2</v>
      </c>
      <c r="AE43" s="20"/>
      <c r="AF43" s="36"/>
    </row>
    <row r="44" spans="1:32" ht="15.75" x14ac:dyDescent="0.25">
      <c r="A44" s="22">
        <v>39</v>
      </c>
      <c r="B44" s="19">
        <v>203</v>
      </c>
      <c r="C44" s="22">
        <v>88</v>
      </c>
      <c r="D44" s="19">
        <v>206.4</v>
      </c>
      <c r="E44" s="22">
        <f t="shared" si="0"/>
        <v>137</v>
      </c>
      <c r="F44" s="19">
        <v>191</v>
      </c>
      <c r="G44" s="33">
        <v>186</v>
      </c>
      <c r="H44" s="19">
        <v>203.3</v>
      </c>
      <c r="I44" s="20"/>
      <c r="J44" s="36"/>
      <c r="L44" s="22">
        <v>39</v>
      </c>
      <c r="M44" s="19">
        <v>203</v>
      </c>
      <c r="N44" s="22">
        <v>88</v>
      </c>
      <c r="O44" s="19"/>
      <c r="P44" s="22">
        <f t="shared" si="1"/>
        <v>137</v>
      </c>
      <c r="Q44" s="19">
        <v>191</v>
      </c>
      <c r="R44" s="33">
        <v>186</v>
      </c>
      <c r="S44" s="19"/>
      <c r="T44" s="20"/>
      <c r="U44" s="36"/>
      <c r="W44" s="22">
        <v>39</v>
      </c>
      <c r="X44" s="19"/>
      <c r="Y44" s="22">
        <v>88</v>
      </c>
      <c r="Z44" s="19">
        <v>206.4</v>
      </c>
      <c r="AA44" s="22">
        <f t="shared" si="2"/>
        <v>137</v>
      </c>
      <c r="AB44" s="19"/>
      <c r="AC44" s="33">
        <v>186</v>
      </c>
      <c r="AD44" s="19">
        <v>203.3</v>
      </c>
      <c r="AE44" s="20"/>
      <c r="AF44" s="36"/>
    </row>
    <row r="45" spans="1:32" ht="15.75" x14ac:dyDescent="0.25">
      <c r="A45" s="22">
        <v>40</v>
      </c>
      <c r="B45" s="19">
        <v>197.8</v>
      </c>
      <c r="C45" s="22">
        <v>89</v>
      </c>
      <c r="D45" s="19">
        <v>204.6</v>
      </c>
      <c r="E45" s="22">
        <f t="shared" si="0"/>
        <v>138</v>
      </c>
      <c r="F45" s="19">
        <v>209.9</v>
      </c>
      <c r="G45" s="33">
        <v>187</v>
      </c>
      <c r="H45" s="19">
        <v>210</v>
      </c>
      <c r="I45" s="21"/>
      <c r="J45" s="36"/>
      <c r="L45" s="22">
        <v>40</v>
      </c>
      <c r="M45" s="19">
        <v>197.8</v>
      </c>
      <c r="N45" s="22">
        <v>89</v>
      </c>
      <c r="O45" s="19"/>
      <c r="P45" s="22">
        <f t="shared" si="1"/>
        <v>138</v>
      </c>
      <c r="Q45" s="19">
        <v>209.9</v>
      </c>
      <c r="R45" s="33">
        <v>187</v>
      </c>
      <c r="S45" s="19"/>
      <c r="T45" s="21"/>
      <c r="U45" s="36"/>
      <c r="W45" s="22">
        <v>40</v>
      </c>
      <c r="X45" s="19"/>
      <c r="Y45" s="22">
        <v>89</v>
      </c>
      <c r="Z45" s="19">
        <v>204.6</v>
      </c>
      <c r="AA45" s="22">
        <f t="shared" si="2"/>
        <v>138</v>
      </c>
      <c r="AB45" s="19"/>
      <c r="AC45" s="33">
        <v>187</v>
      </c>
      <c r="AD45" s="19">
        <v>210</v>
      </c>
      <c r="AE45" s="21"/>
      <c r="AF45" s="36"/>
    </row>
    <row r="46" spans="1:32" ht="15.75" x14ac:dyDescent="0.25">
      <c r="A46" s="22">
        <v>41</v>
      </c>
      <c r="B46" s="19">
        <v>200.7</v>
      </c>
      <c r="C46" s="22">
        <v>90</v>
      </c>
      <c r="D46" s="19">
        <v>204.3</v>
      </c>
      <c r="E46" s="22">
        <f t="shared" si="0"/>
        <v>139</v>
      </c>
      <c r="F46" s="19">
        <v>198.8</v>
      </c>
      <c r="G46" s="33">
        <v>188</v>
      </c>
      <c r="H46" s="19">
        <v>192.6</v>
      </c>
      <c r="I46" s="20"/>
      <c r="J46" s="36"/>
      <c r="L46" s="22">
        <v>41</v>
      </c>
      <c r="M46" s="19">
        <v>200.7</v>
      </c>
      <c r="N46" s="22">
        <v>90</v>
      </c>
      <c r="O46" s="19"/>
      <c r="P46" s="22">
        <f t="shared" si="1"/>
        <v>139</v>
      </c>
      <c r="Q46" s="19">
        <v>198.8</v>
      </c>
      <c r="R46" s="33">
        <v>188</v>
      </c>
      <c r="S46" s="19"/>
      <c r="T46" s="20"/>
      <c r="U46" s="36"/>
      <c r="W46" s="22">
        <v>41</v>
      </c>
      <c r="X46" s="19"/>
      <c r="Y46" s="22">
        <v>90</v>
      </c>
      <c r="Z46" s="19">
        <v>204.3</v>
      </c>
      <c r="AA46" s="22">
        <f t="shared" si="2"/>
        <v>139</v>
      </c>
      <c r="AB46" s="19"/>
      <c r="AC46" s="33">
        <v>188</v>
      </c>
      <c r="AD46" s="19">
        <v>192.6</v>
      </c>
      <c r="AE46" s="20"/>
      <c r="AF46" s="36"/>
    </row>
    <row r="47" spans="1:32" ht="15.75" x14ac:dyDescent="0.25">
      <c r="A47" s="22">
        <v>42</v>
      </c>
      <c r="B47" s="19">
        <v>207.2</v>
      </c>
      <c r="C47" s="22">
        <v>91</v>
      </c>
      <c r="D47" s="19">
        <v>208.9</v>
      </c>
      <c r="E47" s="22">
        <f t="shared" si="0"/>
        <v>140</v>
      </c>
      <c r="F47" s="19">
        <v>203.5</v>
      </c>
      <c r="G47" s="33">
        <v>189</v>
      </c>
      <c r="H47" s="19">
        <v>208.7</v>
      </c>
      <c r="I47" s="20"/>
      <c r="J47" s="36"/>
      <c r="L47" s="22">
        <v>42</v>
      </c>
      <c r="M47" s="19">
        <v>207.2</v>
      </c>
      <c r="N47" s="22">
        <v>91</v>
      </c>
      <c r="O47" s="19"/>
      <c r="P47" s="22">
        <f t="shared" si="1"/>
        <v>140</v>
      </c>
      <c r="Q47" s="19">
        <v>203.5</v>
      </c>
      <c r="R47" s="33">
        <v>189</v>
      </c>
      <c r="S47" s="19"/>
      <c r="T47" s="20"/>
      <c r="U47" s="36"/>
      <c r="W47" s="22">
        <v>42</v>
      </c>
      <c r="X47" s="19"/>
      <c r="Y47" s="22">
        <v>91</v>
      </c>
      <c r="Z47" s="19">
        <v>208.9</v>
      </c>
      <c r="AA47" s="22">
        <f t="shared" si="2"/>
        <v>140</v>
      </c>
      <c r="AB47" s="19"/>
      <c r="AC47" s="33">
        <v>189</v>
      </c>
      <c r="AD47" s="19">
        <v>208.7</v>
      </c>
      <c r="AE47" s="20"/>
      <c r="AF47" s="36"/>
    </row>
    <row r="48" spans="1:32" ht="15.75" x14ac:dyDescent="0.25">
      <c r="A48" s="22">
        <v>43</v>
      </c>
      <c r="B48" s="19">
        <v>214.1</v>
      </c>
      <c r="C48" s="22">
        <v>92</v>
      </c>
      <c r="D48" s="19">
        <v>201.2</v>
      </c>
      <c r="E48" s="22">
        <f t="shared" si="0"/>
        <v>141</v>
      </c>
      <c r="F48" s="19">
        <v>202.6</v>
      </c>
      <c r="G48" s="33">
        <v>190</v>
      </c>
      <c r="H48" s="19">
        <v>196.3</v>
      </c>
      <c r="I48" s="21"/>
      <c r="J48" s="36"/>
      <c r="L48" s="22">
        <v>43</v>
      </c>
      <c r="M48" s="19">
        <v>214.1</v>
      </c>
      <c r="N48" s="22">
        <v>92</v>
      </c>
      <c r="O48" s="19"/>
      <c r="P48" s="22">
        <f t="shared" si="1"/>
        <v>141</v>
      </c>
      <c r="Q48" s="19">
        <v>202.6</v>
      </c>
      <c r="R48" s="33">
        <v>190</v>
      </c>
      <c r="S48" s="19"/>
      <c r="T48" s="21"/>
      <c r="U48" s="36"/>
      <c r="W48" s="22">
        <v>43</v>
      </c>
      <c r="X48" s="19"/>
      <c r="Y48" s="22">
        <v>92</v>
      </c>
      <c r="Z48" s="19">
        <v>201.2</v>
      </c>
      <c r="AA48" s="22">
        <f t="shared" si="2"/>
        <v>141</v>
      </c>
      <c r="AB48" s="19"/>
      <c r="AC48" s="33">
        <v>190</v>
      </c>
      <c r="AD48" s="19">
        <v>196.3</v>
      </c>
      <c r="AE48" s="21"/>
      <c r="AF48" s="36"/>
    </row>
    <row r="49" spans="1:32" ht="15.75" x14ac:dyDescent="0.25">
      <c r="A49" s="22">
        <v>44</v>
      </c>
      <c r="B49" s="19">
        <v>203</v>
      </c>
      <c r="C49" s="22">
        <v>93</v>
      </c>
      <c r="D49" s="19">
        <v>204.2</v>
      </c>
      <c r="E49" s="22">
        <f t="shared" si="0"/>
        <v>142</v>
      </c>
      <c r="F49" s="19">
        <v>207.9</v>
      </c>
      <c r="G49" s="33">
        <v>191</v>
      </c>
      <c r="H49" s="19">
        <v>201.2</v>
      </c>
      <c r="I49" s="21"/>
      <c r="J49" s="36"/>
      <c r="L49" s="22">
        <v>44</v>
      </c>
      <c r="M49" s="19">
        <v>203</v>
      </c>
      <c r="N49" s="22">
        <v>93</v>
      </c>
      <c r="O49" s="19"/>
      <c r="P49" s="22">
        <f t="shared" si="1"/>
        <v>142</v>
      </c>
      <c r="Q49" s="19">
        <v>207.9</v>
      </c>
      <c r="R49" s="33">
        <v>191</v>
      </c>
      <c r="S49" s="19"/>
      <c r="T49" s="21"/>
      <c r="U49" s="36"/>
      <c r="W49" s="22">
        <v>44</v>
      </c>
      <c r="X49" s="19"/>
      <c r="Y49" s="22">
        <v>93</v>
      </c>
      <c r="Z49" s="19">
        <v>204.2</v>
      </c>
      <c r="AA49" s="22">
        <f t="shared" si="2"/>
        <v>142</v>
      </c>
      <c r="AB49" s="19"/>
      <c r="AC49" s="33">
        <v>191</v>
      </c>
      <c r="AD49" s="19">
        <v>201.2</v>
      </c>
      <c r="AE49" s="21"/>
      <c r="AF49" s="36"/>
    </row>
    <row r="50" spans="1:32" ht="15.75" x14ac:dyDescent="0.25">
      <c r="A50" s="22">
        <v>45</v>
      </c>
      <c r="B50" s="19">
        <v>199.3</v>
      </c>
      <c r="C50" s="22">
        <v>94</v>
      </c>
      <c r="D50" s="19">
        <v>202.7</v>
      </c>
      <c r="E50" s="22">
        <f t="shared" si="0"/>
        <v>143</v>
      </c>
      <c r="F50" s="19">
        <v>200.7</v>
      </c>
      <c r="G50" s="33">
        <v>192</v>
      </c>
      <c r="H50" s="19">
        <v>196.4</v>
      </c>
      <c r="I50" s="20"/>
      <c r="J50" s="36"/>
      <c r="L50" s="22">
        <v>45</v>
      </c>
      <c r="M50" s="19">
        <v>199.3</v>
      </c>
      <c r="N50" s="22">
        <v>94</v>
      </c>
      <c r="O50" s="19"/>
      <c r="P50" s="22">
        <f t="shared" si="1"/>
        <v>143</v>
      </c>
      <c r="Q50" s="19">
        <v>200.7</v>
      </c>
      <c r="R50" s="33">
        <v>192</v>
      </c>
      <c r="S50" s="19"/>
      <c r="T50" s="20"/>
      <c r="U50" s="36"/>
      <c r="W50" s="22">
        <v>45</v>
      </c>
      <c r="X50" s="19"/>
      <c r="Y50" s="22">
        <v>94</v>
      </c>
      <c r="Z50" s="19">
        <v>202.7</v>
      </c>
      <c r="AA50" s="22">
        <f t="shared" si="2"/>
        <v>143</v>
      </c>
      <c r="AB50" s="19"/>
      <c r="AC50" s="33">
        <v>192</v>
      </c>
      <c r="AD50" s="19">
        <v>196.4</v>
      </c>
      <c r="AE50" s="20"/>
      <c r="AF50" s="36"/>
    </row>
    <row r="51" spans="1:32" ht="15.75" x14ac:dyDescent="0.25">
      <c r="A51" s="22">
        <v>46</v>
      </c>
      <c r="B51" s="19">
        <v>199.2</v>
      </c>
      <c r="C51" s="22">
        <v>95</v>
      </c>
      <c r="D51" s="19">
        <v>202.8</v>
      </c>
      <c r="E51" s="22">
        <f t="shared" si="0"/>
        <v>144</v>
      </c>
      <c r="F51" s="19">
        <v>202.8</v>
      </c>
      <c r="G51" s="33">
        <v>193</v>
      </c>
      <c r="H51" s="19">
        <v>197.5</v>
      </c>
      <c r="I51" s="20"/>
      <c r="J51" s="36"/>
      <c r="L51" s="22">
        <v>46</v>
      </c>
      <c r="M51" s="19">
        <v>199.2</v>
      </c>
      <c r="N51" s="22">
        <v>95</v>
      </c>
      <c r="O51" s="19"/>
      <c r="P51" s="22">
        <f t="shared" si="1"/>
        <v>144</v>
      </c>
      <c r="Q51" s="19">
        <v>202.8</v>
      </c>
      <c r="R51" s="33">
        <v>193</v>
      </c>
      <c r="S51" s="19"/>
      <c r="T51" s="20"/>
      <c r="U51" s="36"/>
      <c r="W51" s="22">
        <v>46</v>
      </c>
      <c r="X51" s="19"/>
      <c r="Y51" s="22">
        <v>95</v>
      </c>
      <c r="Z51" s="19">
        <v>202.8</v>
      </c>
      <c r="AA51" s="22">
        <f t="shared" si="2"/>
        <v>144</v>
      </c>
      <c r="AB51" s="19"/>
      <c r="AC51" s="33">
        <v>193</v>
      </c>
      <c r="AD51" s="19">
        <v>197.5</v>
      </c>
      <c r="AE51" s="20"/>
      <c r="AF51" s="36"/>
    </row>
    <row r="52" spans="1:32" ht="15.75" x14ac:dyDescent="0.25">
      <c r="A52" s="22">
        <v>47</v>
      </c>
      <c r="B52" s="19">
        <v>193.7</v>
      </c>
      <c r="C52" s="22">
        <v>96</v>
      </c>
      <c r="D52" s="19">
        <v>212.6</v>
      </c>
      <c r="E52" s="22">
        <f t="shared" si="0"/>
        <v>145</v>
      </c>
      <c r="F52" s="19">
        <v>199.6</v>
      </c>
      <c r="G52" s="33">
        <v>194</v>
      </c>
      <c r="H52" s="19">
        <v>205.1</v>
      </c>
      <c r="I52" s="21"/>
      <c r="J52" s="36"/>
      <c r="L52" s="22">
        <v>47</v>
      </c>
      <c r="M52" s="19"/>
      <c r="N52" s="22">
        <v>96</v>
      </c>
      <c r="O52" s="19"/>
      <c r="P52" s="22">
        <f t="shared" si="1"/>
        <v>145</v>
      </c>
      <c r="Q52" s="19">
        <v>199.6</v>
      </c>
      <c r="R52" s="33">
        <v>194</v>
      </c>
      <c r="S52" s="19"/>
      <c r="T52" s="21"/>
      <c r="U52" s="36"/>
      <c r="W52" s="22">
        <v>47</v>
      </c>
      <c r="X52" s="19">
        <v>193.7</v>
      </c>
      <c r="Y52" s="22">
        <v>96</v>
      </c>
      <c r="Z52" s="19">
        <v>212.6</v>
      </c>
      <c r="AA52" s="22">
        <f t="shared" si="2"/>
        <v>145</v>
      </c>
      <c r="AB52" s="19"/>
      <c r="AC52" s="33">
        <v>194</v>
      </c>
      <c r="AD52" s="19">
        <v>205.1</v>
      </c>
      <c r="AE52" s="21"/>
      <c r="AF52" s="36"/>
    </row>
    <row r="53" spans="1:32" ht="15.75" x14ac:dyDescent="0.25">
      <c r="A53" s="22">
        <v>48</v>
      </c>
      <c r="B53" s="19">
        <v>195</v>
      </c>
      <c r="C53" s="22">
        <v>97</v>
      </c>
      <c r="D53" s="19">
        <v>215.3</v>
      </c>
      <c r="E53" s="22">
        <f t="shared" si="0"/>
        <v>146</v>
      </c>
      <c r="F53" s="19">
        <v>200.1</v>
      </c>
      <c r="G53" s="33">
        <v>195</v>
      </c>
      <c r="H53" s="19">
        <v>194.2</v>
      </c>
      <c r="I53" s="20"/>
      <c r="J53" s="36"/>
      <c r="L53" s="22">
        <v>48</v>
      </c>
      <c r="M53" s="19"/>
      <c r="N53" s="22">
        <v>97</v>
      </c>
      <c r="O53" s="19"/>
      <c r="P53" s="22">
        <f t="shared" si="1"/>
        <v>146</v>
      </c>
      <c r="Q53" s="19">
        <v>200.1</v>
      </c>
      <c r="R53" s="33">
        <v>195</v>
      </c>
      <c r="S53" s="19"/>
      <c r="T53" s="20"/>
      <c r="U53" s="36"/>
      <c r="W53" s="22">
        <v>48</v>
      </c>
      <c r="X53" s="19">
        <v>195</v>
      </c>
      <c r="Y53" s="22">
        <v>97</v>
      </c>
      <c r="Z53" s="19">
        <v>215.3</v>
      </c>
      <c r="AA53" s="22">
        <f t="shared" si="2"/>
        <v>146</v>
      </c>
      <c r="AB53" s="19"/>
      <c r="AC53" s="33">
        <v>195</v>
      </c>
      <c r="AD53" s="19">
        <v>194.2</v>
      </c>
      <c r="AE53" s="20"/>
      <c r="AF53" s="36"/>
    </row>
    <row r="54" spans="1:32" ht="15.75" x14ac:dyDescent="0.25">
      <c r="A54" s="37">
        <v>49</v>
      </c>
      <c r="B54" s="19">
        <v>207</v>
      </c>
      <c r="C54" s="37">
        <v>98</v>
      </c>
      <c r="D54" s="19">
        <v>211.6</v>
      </c>
      <c r="E54" s="22">
        <f t="shared" si="0"/>
        <v>147</v>
      </c>
      <c r="F54" s="19">
        <v>204.7</v>
      </c>
      <c r="G54" s="38">
        <v>196</v>
      </c>
      <c r="H54" s="19">
        <v>211.4</v>
      </c>
      <c r="I54" s="39"/>
      <c r="J54" s="40"/>
      <c r="L54" s="37">
        <v>49</v>
      </c>
      <c r="M54" s="19"/>
      <c r="N54" s="37">
        <v>98</v>
      </c>
      <c r="O54" s="19"/>
      <c r="P54" s="22">
        <f t="shared" si="1"/>
        <v>147</v>
      </c>
      <c r="Q54" s="19">
        <v>204.7</v>
      </c>
      <c r="R54" s="38">
        <v>196</v>
      </c>
      <c r="S54" s="19"/>
      <c r="T54" s="39"/>
      <c r="U54" s="40"/>
      <c r="W54" s="37">
        <v>49</v>
      </c>
      <c r="X54" s="19">
        <v>207</v>
      </c>
      <c r="Y54" s="37">
        <v>98</v>
      </c>
      <c r="Z54" s="19">
        <v>211.6</v>
      </c>
      <c r="AA54" s="22">
        <f t="shared" si="2"/>
        <v>147</v>
      </c>
      <c r="AB54" s="19"/>
      <c r="AC54" s="38">
        <v>196</v>
      </c>
      <c r="AD54" s="19">
        <v>211.4</v>
      </c>
      <c r="AE54" s="39"/>
      <c r="AF54" s="40"/>
    </row>
    <row r="55" spans="1:32" ht="15.75" x14ac:dyDescent="0.25">
      <c r="A55" s="41"/>
      <c r="B55" s="23">
        <f>SUM(B6:B54)</f>
        <v>9910.9000000000033</v>
      </c>
      <c r="C55" s="23"/>
      <c r="D55" s="23">
        <f>SUM(D6:D54)</f>
        <v>9914.7000000000007</v>
      </c>
      <c r="E55" s="23"/>
      <c r="F55" s="23">
        <f>SUM(F6:F54)</f>
        <v>9926.0999999999985</v>
      </c>
      <c r="G55" s="23"/>
      <c r="H55" s="23">
        <f>SUM(H6:H54)</f>
        <v>9917.1</v>
      </c>
      <c r="I55" s="41"/>
      <c r="J55" s="41">
        <f>SUM(J6:J54)</f>
        <v>4748.7999999999993</v>
      </c>
      <c r="L55" s="41"/>
      <c r="M55" s="23">
        <f>SUM(M6:M54)</f>
        <v>9315.2000000000025</v>
      </c>
      <c r="N55" s="23"/>
      <c r="O55" s="23">
        <f>SUM(O6:O54)</f>
        <v>0</v>
      </c>
      <c r="P55" s="23"/>
      <c r="Q55" s="23">
        <f>SUM(Q6:Q54)</f>
        <v>7705.7</v>
      </c>
      <c r="R55" s="23"/>
      <c r="S55" s="23">
        <f>SUM(S6:S54)</f>
        <v>4034.8999999999996</v>
      </c>
      <c r="T55" s="41"/>
      <c r="U55" s="41">
        <f>SUM(U6:U54)</f>
        <v>0</v>
      </c>
      <c r="W55" s="41"/>
      <c r="X55" s="23">
        <f>SUM(X6:X54)</f>
        <v>595.70000000000005</v>
      </c>
      <c r="Y55" s="23"/>
      <c r="Z55" s="23">
        <f>SUM(Z6:Z54)</f>
        <v>9914.7000000000007</v>
      </c>
      <c r="AA55" s="23"/>
      <c r="AB55" s="23">
        <f>SUM(AB6:AB54)</f>
        <v>2220.4</v>
      </c>
      <c r="AC55" s="23"/>
      <c r="AD55" s="23">
        <f>SUM(AD6:AD54)</f>
        <v>5882.1999999999989</v>
      </c>
      <c r="AE55" s="41"/>
      <c r="AF55" s="41">
        <f>SUM(AF6:AF54)</f>
        <v>4748.7999999999993</v>
      </c>
    </row>
    <row r="56" spans="1:32" ht="15.75" x14ac:dyDescent="0.25">
      <c r="A56" s="42" t="s">
        <v>5</v>
      </c>
      <c r="B56" s="43">
        <f>COUNT(B6:B54,D6:D54,F6:F54,H6:H54,J6:J54)</f>
        <v>220</v>
      </c>
      <c r="C56" s="13" t="s">
        <v>6</v>
      </c>
      <c r="D56" s="44"/>
      <c r="E56" s="45">
        <f>B55+D55+F55+H55+J55</f>
        <v>44417.600000000006</v>
      </c>
      <c r="F56" s="24" t="s">
        <v>7</v>
      </c>
      <c r="G56" s="1">
        <f>B56*2.2</f>
        <v>484.00000000000006</v>
      </c>
      <c r="H56" s="13" t="s">
        <v>8</v>
      </c>
      <c r="I56" s="44"/>
      <c r="J56" s="45">
        <f>E56-G56</f>
        <v>43933.600000000006</v>
      </c>
      <c r="L56" s="42" t="s">
        <v>5</v>
      </c>
      <c r="M56" s="43">
        <f>COUNT(M6:M54,O6:O54,Q6:Q54,S6:S54,U6:U54)</f>
        <v>104</v>
      </c>
      <c r="N56" s="13" t="s">
        <v>6</v>
      </c>
      <c r="O56" s="44"/>
      <c r="P56" s="45">
        <f>M55+O55+Q55+S55+U55</f>
        <v>21055.800000000003</v>
      </c>
      <c r="Q56" s="24" t="s">
        <v>7</v>
      </c>
      <c r="R56" s="1">
        <f>M56*2.2</f>
        <v>228.8</v>
      </c>
      <c r="S56" s="13" t="s">
        <v>8</v>
      </c>
      <c r="T56" s="44"/>
      <c r="U56" s="45">
        <f>P56-R56</f>
        <v>20827.000000000004</v>
      </c>
      <c r="W56" s="42" t="s">
        <v>5</v>
      </c>
      <c r="X56" s="43">
        <f>COUNT(X6:X54,Z6:Z54,AB6:AB54,AD6:AD54,AF6:AF54)</f>
        <v>116</v>
      </c>
      <c r="Y56" s="13" t="s">
        <v>6</v>
      </c>
      <c r="Z56" s="44"/>
      <c r="AA56" s="45">
        <f>X55+Z55+AB55+AD55+AF55</f>
        <v>23361.8</v>
      </c>
      <c r="AB56" s="24" t="s">
        <v>7</v>
      </c>
      <c r="AC56" s="1">
        <f>X56*2.2</f>
        <v>255.20000000000002</v>
      </c>
      <c r="AD56" s="13" t="s">
        <v>8</v>
      </c>
      <c r="AE56" s="44"/>
      <c r="AF56" s="45">
        <f>AA56-AC56</f>
        <v>23106.6</v>
      </c>
    </row>
    <row r="57" spans="1:32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  <c r="L57" s="42" t="s">
        <v>9</v>
      </c>
      <c r="M57" s="25"/>
      <c r="N57" s="46"/>
      <c r="O57" s="44"/>
      <c r="P57" s="47"/>
      <c r="Q57" s="25"/>
      <c r="R57" s="48"/>
      <c r="S57" s="46"/>
      <c r="T57" s="44"/>
      <c r="U57" s="49"/>
      <c r="W57" s="42" t="s">
        <v>9</v>
      </c>
      <c r="X57" s="25"/>
      <c r="Y57" s="46"/>
      <c r="Z57" s="44"/>
      <c r="AA57" s="47"/>
      <c r="AB57" s="25"/>
      <c r="AC57" s="48"/>
      <c r="AD57" s="46"/>
      <c r="AE57" s="44"/>
      <c r="AF57" s="49"/>
    </row>
    <row r="58" spans="1:32" x14ac:dyDescent="0.25">
      <c r="B58">
        <f>M56+X56</f>
        <v>220</v>
      </c>
      <c r="E58" s="80">
        <f>P56+AA56</f>
        <v>44417.600000000006</v>
      </c>
      <c r="J58" s="80">
        <f>U56+AF56</f>
        <v>43933.600000000006</v>
      </c>
    </row>
    <row r="59" spans="1:32" x14ac:dyDescent="0.25">
      <c r="F59" s="112" t="s">
        <v>61</v>
      </c>
      <c r="G59" s="112">
        <v>2.2000000000000002</v>
      </c>
      <c r="Q59" s="112" t="s">
        <v>61</v>
      </c>
      <c r="R59" s="112">
        <v>2.2000000000000002</v>
      </c>
      <c r="AB59" s="112" t="s">
        <v>61</v>
      </c>
      <c r="AC59" s="112">
        <v>2.2000000000000002</v>
      </c>
    </row>
  </sheetData>
  <protectedRanges>
    <protectedRange password="CCE1" sqref="C6:C54 G6:G54 E6:E54 I6:I29 N6:N54 R6:R54 P6:P54 T6:T29 Y6:Y54 AC6:AC54 AA6:AA54 AE6:AE29" name="Диапазон1_3_1_7_2_1_1_1_1_1_1_1"/>
  </protectedRanges>
  <mergeCells count="6">
    <mergeCell ref="A1:J1"/>
    <mergeCell ref="I4:J4"/>
    <mergeCell ref="L1:U1"/>
    <mergeCell ref="T4:U4"/>
    <mergeCell ref="W1:AF1"/>
    <mergeCell ref="AE4:AF4"/>
  </mergeCells>
  <pageMargins left="0.7" right="0.7" top="0.75" bottom="0.75" header="0.3" footer="0.3"/>
  <pageSetup paperSize="9" scale="83" orientation="portrait" verticalDpi="0" r:id="rId1"/>
  <rowBreaks count="1" manualBreakCount="1">
    <brk id="57" max="16383" man="1"/>
  </rowBreaks>
  <colBreaks count="2" manualBreakCount="2">
    <brk id="10" max="1048575" man="1"/>
    <brk id="21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9"/>
  <sheetViews>
    <sheetView topLeftCell="I6" zoomScale="90" zoomScaleNormal="90" workbookViewId="0">
      <selection activeCell="AF6" sqref="AF6:AF29"/>
    </sheetView>
  </sheetViews>
  <sheetFormatPr defaultRowHeight="15" x14ac:dyDescent="0.25"/>
  <cols>
    <col min="11" max="11" width="2.42578125" customWidth="1"/>
    <col min="22" max="22" width="2" customWidth="1"/>
  </cols>
  <sheetData>
    <row r="1" spans="1:32" ht="18.75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L1" s="204" t="s">
        <v>0</v>
      </c>
      <c r="M1" s="204"/>
      <c r="N1" s="204"/>
      <c r="O1" s="204"/>
      <c r="P1" s="204"/>
      <c r="Q1" s="204"/>
      <c r="R1" s="204"/>
      <c r="S1" s="204"/>
      <c r="T1" s="204"/>
      <c r="U1" s="204"/>
      <c r="W1" s="204" t="s">
        <v>0</v>
      </c>
      <c r="X1" s="204"/>
      <c r="Y1" s="204"/>
      <c r="Z1" s="204"/>
      <c r="AA1" s="204"/>
      <c r="AB1" s="204"/>
      <c r="AC1" s="204"/>
      <c r="AD1" s="204"/>
      <c r="AE1" s="204"/>
      <c r="AF1" s="204"/>
    </row>
    <row r="2" spans="1:32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  <c r="L2" s="13" t="s">
        <v>1</v>
      </c>
      <c r="M2" s="13"/>
      <c r="N2" s="13"/>
      <c r="O2" s="13"/>
      <c r="P2" s="13"/>
      <c r="Q2" s="13"/>
      <c r="R2" s="27"/>
      <c r="S2" s="13"/>
      <c r="T2" s="13"/>
      <c r="U2" s="13"/>
      <c r="W2" s="13" t="s">
        <v>1</v>
      </c>
      <c r="X2" s="13"/>
      <c r="Y2" s="13"/>
      <c r="Z2" s="13"/>
      <c r="AA2" s="13"/>
      <c r="AB2" s="13"/>
      <c r="AC2" s="27"/>
      <c r="AD2" s="13"/>
      <c r="AE2" s="13"/>
      <c r="AF2" s="13"/>
    </row>
    <row r="3" spans="1:32" ht="15.75" x14ac:dyDescent="0.25">
      <c r="A3" s="25" t="s">
        <v>2</v>
      </c>
      <c r="B3" s="27">
        <v>222</v>
      </c>
      <c r="C3" s="14"/>
      <c r="D3" s="15"/>
      <c r="E3" s="16"/>
      <c r="F3" s="16"/>
      <c r="G3" s="16"/>
      <c r="H3" s="16"/>
      <c r="I3" s="16" t="s">
        <v>33</v>
      </c>
      <c r="J3" s="16"/>
      <c r="L3" s="25" t="s">
        <v>2</v>
      </c>
      <c r="M3" s="27">
        <v>222</v>
      </c>
      <c r="N3" s="14"/>
      <c r="O3" s="15"/>
      <c r="P3" s="16"/>
      <c r="Q3" s="16"/>
      <c r="R3" s="16"/>
      <c r="S3" s="16"/>
      <c r="T3" s="16" t="s">
        <v>33</v>
      </c>
      <c r="U3" s="16"/>
      <c r="W3" s="25" t="s">
        <v>2</v>
      </c>
      <c r="X3" s="27">
        <v>222</v>
      </c>
      <c r="Y3" s="14"/>
      <c r="Z3" s="15"/>
      <c r="AA3" s="16"/>
      <c r="AB3" s="16"/>
      <c r="AC3" s="16"/>
      <c r="AD3" s="16"/>
      <c r="AE3" s="16" t="s">
        <v>33</v>
      </c>
      <c r="AF3" s="16"/>
    </row>
    <row r="4" spans="1:32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  <c r="L4" s="17"/>
      <c r="M4" s="17"/>
      <c r="N4" s="17"/>
      <c r="O4" s="17"/>
      <c r="P4" s="17"/>
      <c r="Q4" s="17"/>
      <c r="R4" s="17"/>
      <c r="S4" s="28"/>
      <c r="T4" s="205" t="s">
        <v>48</v>
      </c>
      <c r="U4" s="206"/>
      <c r="W4" s="17"/>
      <c r="X4" s="17"/>
      <c r="Y4" s="17"/>
      <c r="Z4" s="17"/>
      <c r="AA4" s="17"/>
      <c r="AB4" s="17"/>
      <c r="AC4" s="17"/>
      <c r="AD4" s="28"/>
      <c r="AE4" s="205" t="s">
        <v>50</v>
      </c>
      <c r="AF4" s="206"/>
    </row>
    <row r="5" spans="1:32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  <c r="L5" s="29" t="s">
        <v>3</v>
      </c>
      <c r="M5" s="18" t="s">
        <v>4</v>
      </c>
      <c r="N5" s="29" t="s">
        <v>3</v>
      </c>
      <c r="O5" s="18" t="s">
        <v>4</v>
      </c>
      <c r="P5" s="29" t="s">
        <v>3</v>
      </c>
      <c r="Q5" s="18" t="s">
        <v>4</v>
      </c>
      <c r="R5" s="29" t="s">
        <v>3</v>
      </c>
      <c r="S5" s="30" t="s">
        <v>4</v>
      </c>
      <c r="T5" s="31" t="s">
        <v>3</v>
      </c>
      <c r="U5" s="32" t="s">
        <v>4</v>
      </c>
      <c r="W5" s="29" t="s">
        <v>3</v>
      </c>
      <c r="X5" s="18" t="s">
        <v>4</v>
      </c>
      <c r="Y5" s="29" t="s">
        <v>3</v>
      </c>
      <c r="Z5" s="18" t="s">
        <v>4</v>
      </c>
      <c r="AA5" s="29" t="s">
        <v>3</v>
      </c>
      <c r="AB5" s="18" t="s">
        <v>4</v>
      </c>
      <c r="AC5" s="29" t="s">
        <v>3</v>
      </c>
      <c r="AD5" s="30" t="s">
        <v>4</v>
      </c>
      <c r="AE5" s="31" t="s">
        <v>3</v>
      </c>
      <c r="AF5" s="32" t="s">
        <v>4</v>
      </c>
    </row>
    <row r="6" spans="1:32" ht="15.75" x14ac:dyDescent="0.25">
      <c r="A6" s="22">
        <v>1</v>
      </c>
      <c r="B6" s="19">
        <v>207</v>
      </c>
      <c r="C6" s="22">
        <v>50</v>
      </c>
      <c r="D6" s="19">
        <v>205.1</v>
      </c>
      <c r="E6" s="22">
        <v>99</v>
      </c>
      <c r="F6" s="19">
        <v>206.5</v>
      </c>
      <c r="G6" s="33">
        <v>148</v>
      </c>
      <c r="H6" s="19">
        <v>208.3</v>
      </c>
      <c r="I6" s="34">
        <v>197</v>
      </c>
      <c r="J6" s="19">
        <v>203.4</v>
      </c>
      <c r="L6" s="22">
        <v>1</v>
      </c>
      <c r="M6" s="19">
        <v>207</v>
      </c>
      <c r="N6" s="22">
        <v>50</v>
      </c>
      <c r="O6" s="19">
        <v>205.1</v>
      </c>
      <c r="P6" s="22">
        <v>99</v>
      </c>
      <c r="Q6" s="19"/>
      <c r="R6" s="33">
        <v>148</v>
      </c>
      <c r="S6" s="19">
        <v>208.3</v>
      </c>
      <c r="T6" s="34">
        <v>197</v>
      </c>
      <c r="U6" s="19"/>
      <c r="W6" s="22">
        <v>1</v>
      </c>
      <c r="X6" s="19"/>
      <c r="Y6" s="22">
        <v>50</v>
      </c>
      <c r="Z6" s="19"/>
      <c r="AA6" s="22">
        <v>99</v>
      </c>
      <c r="AB6" s="19">
        <v>206.5</v>
      </c>
      <c r="AC6" s="33">
        <v>148</v>
      </c>
      <c r="AD6" s="19"/>
      <c r="AE6" s="34">
        <v>197</v>
      </c>
      <c r="AF6" s="19">
        <v>203.4</v>
      </c>
    </row>
    <row r="7" spans="1:32" ht="15.75" x14ac:dyDescent="0.25">
      <c r="A7" s="22">
        <v>2</v>
      </c>
      <c r="B7" s="19">
        <v>203.8</v>
      </c>
      <c r="C7" s="22">
        <v>51</v>
      </c>
      <c r="D7" s="19">
        <v>207.4</v>
      </c>
      <c r="E7" s="22">
        <v>100</v>
      </c>
      <c r="F7" s="19">
        <v>210.8</v>
      </c>
      <c r="G7" s="33">
        <v>149</v>
      </c>
      <c r="H7" s="19">
        <v>200.9</v>
      </c>
      <c r="I7" s="33">
        <v>198</v>
      </c>
      <c r="J7" s="19">
        <v>204.5</v>
      </c>
      <c r="L7" s="22">
        <v>2</v>
      </c>
      <c r="M7" s="19">
        <v>203.8</v>
      </c>
      <c r="N7" s="22">
        <v>51</v>
      </c>
      <c r="O7" s="19">
        <v>207.4</v>
      </c>
      <c r="P7" s="22">
        <v>100</v>
      </c>
      <c r="Q7" s="19"/>
      <c r="R7" s="33">
        <v>149</v>
      </c>
      <c r="S7" s="19">
        <v>200.9</v>
      </c>
      <c r="T7" s="33">
        <v>198</v>
      </c>
      <c r="U7" s="19"/>
      <c r="W7" s="22">
        <v>2</v>
      </c>
      <c r="X7" s="19"/>
      <c r="Y7" s="22">
        <v>51</v>
      </c>
      <c r="Z7" s="19"/>
      <c r="AA7" s="22">
        <v>100</v>
      </c>
      <c r="AB7" s="19">
        <v>210.8</v>
      </c>
      <c r="AC7" s="33">
        <v>149</v>
      </c>
      <c r="AD7" s="19"/>
      <c r="AE7" s="33">
        <v>198</v>
      </c>
      <c r="AF7" s="19">
        <v>204.5</v>
      </c>
    </row>
    <row r="8" spans="1:32" ht="15.75" x14ac:dyDescent="0.25">
      <c r="A8" s="22">
        <v>3</v>
      </c>
      <c r="B8" s="19">
        <v>207.7</v>
      </c>
      <c r="C8" s="22">
        <v>52</v>
      </c>
      <c r="D8" s="19">
        <v>201</v>
      </c>
      <c r="E8" s="22">
        <f t="shared" ref="E8:E54" si="0">+E7+1</f>
        <v>101</v>
      </c>
      <c r="F8" s="19">
        <v>211.5</v>
      </c>
      <c r="G8" s="33">
        <v>150</v>
      </c>
      <c r="H8" s="19">
        <v>204.7</v>
      </c>
      <c r="I8" s="33">
        <v>199</v>
      </c>
      <c r="J8" s="19">
        <v>199.4</v>
      </c>
      <c r="L8" s="22">
        <v>3</v>
      </c>
      <c r="M8" s="19">
        <v>207.7</v>
      </c>
      <c r="N8" s="22">
        <v>52</v>
      </c>
      <c r="O8" s="19">
        <v>201</v>
      </c>
      <c r="P8" s="22">
        <f t="shared" ref="P8:P54" si="1">+P7+1</f>
        <v>101</v>
      </c>
      <c r="Q8" s="19"/>
      <c r="R8" s="33">
        <v>150</v>
      </c>
      <c r="S8" s="19">
        <v>204.7</v>
      </c>
      <c r="T8" s="33">
        <v>199</v>
      </c>
      <c r="U8" s="19"/>
      <c r="W8" s="22">
        <v>3</v>
      </c>
      <c r="X8" s="19"/>
      <c r="Y8" s="22">
        <v>52</v>
      </c>
      <c r="Z8" s="19"/>
      <c r="AA8" s="22">
        <f t="shared" ref="AA8:AA54" si="2">+AA7+1</f>
        <v>101</v>
      </c>
      <c r="AB8" s="19">
        <v>211.5</v>
      </c>
      <c r="AC8" s="33">
        <v>150</v>
      </c>
      <c r="AD8" s="19"/>
      <c r="AE8" s="33">
        <v>199</v>
      </c>
      <c r="AF8" s="19">
        <v>199.4</v>
      </c>
    </row>
    <row r="9" spans="1:32" ht="15.75" x14ac:dyDescent="0.25">
      <c r="A9" s="22">
        <v>4</v>
      </c>
      <c r="B9" s="19">
        <v>199.2</v>
      </c>
      <c r="C9" s="22">
        <v>53</v>
      </c>
      <c r="D9" s="19">
        <v>200.5</v>
      </c>
      <c r="E9" s="22">
        <f t="shared" si="0"/>
        <v>102</v>
      </c>
      <c r="F9" s="19">
        <v>196.9</v>
      </c>
      <c r="G9" s="33">
        <v>151</v>
      </c>
      <c r="H9" s="19">
        <v>194.3</v>
      </c>
      <c r="I9" s="33">
        <v>200</v>
      </c>
      <c r="J9" s="19">
        <v>203.6</v>
      </c>
      <c r="L9" s="22">
        <v>4</v>
      </c>
      <c r="M9" s="19">
        <v>199.2</v>
      </c>
      <c r="N9" s="22">
        <v>53</v>
      </c>
      <c r="O9" s="19">
        <v>200.5</v>
      </c>
      <c r="P9" s="22">
        <f t="shared" si="1"/>
        <v>102</v>
      </c>
      <c r="Q9" s="19"/>
      <c r="R9" s="33">
        <v>151</v>
      </c>
      <c r="S9" s="19">
        <v>194.3</v>
      </c>
      <c r="T9" s="33">
        <v>200</v>
      </c>
      <c r="U9" s="19"/>
      <c r="W9" s="22">
        <v>4</v>
      </c>
      <c r="X9" s="19"/>
      <c r="Y9" s="22">
        <v>53</v>
      </c>
      <c r="Z9" s="19"/>
      <c r="AA9" s="22">
        <f t="shared" si="2"/>
        <v>102</v>
      </c>
      <c r="AB9" s="19">
        <v>196.9</v>
      </c>
      <c r="AC9" s="33">
        <v>151</v>
      </c>
      <c r="AD9" s="19"/>
      <c r="AE9" s="33">
        <v>200</v>
      </c>
      <c r="AF9" s="19">
        <v>203.6</v>
      </c>
    </row>
    <row r="10" spans="1:32" ht="15.75" x14ac:dyDescent="0.25">
      <c r="A10" s="22">
        <v>5</v>
      </c>
      <c r="B10" s="19">
        <v>200.6</v>
      </c>
      <c r="C10" s="22">
        <v>54</v>
      </c>
      <c r="D10" s="19">
        <v>208.3</v>
      </c>
      <c r="E10" s="22">
        <f t="shared" si="0"/>
        <v>103</v>
      </c>
      <c r="F10" s="19">
        <v>205.8</v>
      </c>
      <c r="G10" s="33">
        <v>152</v>
      </c>
      <c r="H10" s="19">
        <v>198.4</v>
      </c>
      <c r="I10" s="33">
        <v>201</v>
      </c>
      <c r="J10" s="19">
        <v>206.2</v>
      </c>
      <c r="L10" s="22">
        <v>5</v>
      </c>
      <c r="M10" s="19">
        <v>200.6</v>
      </c>
      <c r="N10" s="22">
        <v>54</v>
      </c>
      <c r="O10" s="19">
        <v>208.3</v>
      </c>
      <c r="P10" s="22">
        <f t="shared" si="1"/>
        <v>103</v>
      </c>
      <c r="Q10" s="19"/>
      <c r="R10" s="33">
        <v>152</v>
      </c>
      <c r="S10" s="19">
        <v>198.4</v>
      </c>
      <c r="T10" s="33">
        <v>201</v>
      </c>
      <c r="U10" s="19"/>
      <c r="W10" s="22">
        <v>5</v>
      </c>
      <c r="X10" s="19"/>
      <c r="Y10" s="22">
        <v>54</v>
      </c>
      <c r="Z10" s="19"/>
      <c r="AA10" s="22">
        <f t="shared" si="2"/>
        <v>103</v>
      </c>
      <c r="AB10" s="19">
        <v>205.8</v>
      </c>
      <c r="AC10" s="33">
        <v>152</v>
      </c>
      <c r="AD10" s="19"/>
      <c r="AE10" s="33">
        <v>201</v>
      </c>
      <c r="AF10" s="19">
        <v>206.2</v>
      </c>
    </row>
    <row r="11" spans="1:32" ht="15.75" x14ac:dyDescent="0.25">
      <c r="A11" s="22">
        <v>6</v>
      </c>
      <c r="B11" s="19">
        <v>197.1</v>
      </c>
      <c r="C11" s="22">
        <v>55</v>
      </c>
      <c r="D11" s="19">
        <v>211.7</v>
      </c>
      <c r="E11" s="22">
        <f t="shared" si="0"/>
        <v>104</v>
      </c>
      <c r="F11" s="19">
        <v>203.4</v>
      </c>
      <c r="G11" s="33">
        <v>153</v>
      </c>
      <c r="H11" s="19">
        <v>200.5</v>
      </c>
      <c r="I11" s="33">
        <v>202</v>
      </c>
      <c r="J11" s="19">
        <v>198.6</v>
      </c>
      <c r="L11" s="22">
        <v>6</v>
      </c>
      <c r="M11" s="19">
        <v>197.1</v>
      </c>
      <c r="N11" s="22">
        <v>55</v>
      </c>
      <c r="O11" s="19">
        <v>211.7</v>
      </c>
      <c r="P11" s="22">
        <f t="shared" si="1"/>
        <v>104</v>
      </c>
      <c r="Q11" s="19"/>
      <c r="R11" s="33">
        <v>153</v>
      </c>
      <c r="S11" s="19">
        <v>200.5</v>
      </c>
      <c r="T11" s="33">
        <v>202</v>
      </c>
      <c r="U11" s="19"/>
      <c r="W11" s="22">
        <v>6</v>
      </c>
      <c r="X11" s="19"/>
      <c r="Y11" s="22">
        <v>55</v>
      </c>
      <c r="Z11" s="19"/>
      <c r="AA11" s="22">
        <f t="shared" si="2"/>
        <v>104</v>
      </c>
      <c r="AB11" s="19">
        <v>203.4</v>
      </c>
      <c r="AC11" s="33">
        <v>153</v>
      </c>
      <c r="AD11" s="19"/>
      <c r="AE11" s="33">
        <v>202</v>
      </c>
      <c r="AF11" s="19">
        <v>198.6</v>
      </c>
    </row>
    <row r="12" spans="1:32" ht="15.75" x14ac:dyDescent="0.25">
      <c r="A12" s="22">
        <v>7</v>
      </c>
      <c r="B12" s="19">
        <v>202.8</v>
      </c>
      <c r="C12" s="22">
        <v>56</v>
      </c>
      <c r="D12" s="19">
        <v>208.4</v>
      </c>
      <c r="E12" s="22">
        <f t="shared" si="0"/>
        <v>105</v>
      </c>
      <c r="F12" s="19">
        <v>208.5</v>
      </c>
      <c r="G12" s="33">
        <v>154</v>
      </c>
      <c r="H12" s="19">
        <v>201.1</v>
      </c>
      <c r="I12" s="33">
        <v>203</v>
      </c>
      <c r="J12" s="19">
        <v>199.2</v>
      </c>
      <c r="L12" s="22">
        <v>7</v>
      </c>
      <c r="M12" s="19">
        <v>202.8</v>
      </c>
      <c r="N12" s="22">
        <v>56</v>
      </c>
      <c r="O12" s="19">
        <v>208.4</v>
      </c>
      <c r="P12" s="22">
        <f t="shared" si="1"/>
        <v>105</v>
      </c>
      <c r="Q12" s="19"/>
      <c r="R12" s="33">
        <v>154</v>
      </c>
      <c r="S12" s="19">
        <v>201.1</v>
      </c>
      <c r="T12" s="33">
        <v>203</v>
      </c>
      <c r="U12" s="19"/>
      <c r="W12" s="22">
        <v>7</v>
      </c>
      <c r="X12" s="19"/>
      <c r="Y12" s="22">
        <v>56</v>
      </c>
      <c r="Z12" s="19"/>
      <c r="AA12" s="22">
        <f t="shared" si="2"/>
        <v>105</v>
      </c>
      <c r="AB12" s="19">
        <v>208.5</v>
      </c>
      <c r="AC12" s="33">
        <v>154</v>
      </c>
      <c r="AD12" s="19"/>
      <c r="AE12" s="33">
        <v>203</v>
      </c>
      <c r="AF12" s="19">
        <v>199.2</v>
      </c>
    </row>
    <row r="13" spans="1:32" ht="15.75" x14ac:dyDescent="0.25">
      <c r="A13" s="22">
        <v>8</v>
      </c>
      <c r="B13" s="19">
        <v>204.5</v>
      </c>
      <c r="C13" s="22">
        <v>57</v>
      </c>
      <c r="D13" s="19">
        <v>208.7</v>
      </c>
      <c r="E13" s="22">
        <f t="shared" si="0"/>
        <v>106</v>
      </c>
      <c r="F13" s="19">
        <v>209.2</v>
      </c>
      <c r="G13" s="33">
        <v>155</v>
      </c>
      <c r="H13" s="19">
        <v>205.4</v>
      </c>
      <c r="I13" s="33">
        <v>204</v>
      </c>
      <c r="J13" s="19">
        <v>201.1</v>
      </c>
      <c r="L13" s="22">
        <v>8</v>
      </c>
      <c r="M13" s="19">
        <v>204.5</v>
      </c>
      <c r="N13" s="22">
        <v>57</v>
      </c>
      <c r="O13" s="19">
        <v>208.7</v>
      </c>
      <c r="P13" s="22">
        <f t="shared" si="1"/>
        <v>106</v>
      </c>
      <c r="Q13" s="19"/>
      <c r="R13" s="33">
        <v>155</v>
      </c>
      <c r="S13" s="19">
        <v>205.4</v>
      </c>
      <c r="T13" s="33">
        <v>204</v>
      </c>
      <c r="U13" s="19"/>
      <c r="W13" s="22">
        <v>8</v>
      </c>
      <c r="X13" s="19"/>
      <c r="Y13" s="22">
        <v>57</v>
      </c>
      <c r="Z13" s="19"/>
      <c r="AA13" s="22">
        <f t="shared" si="2"/>
        <v>106</v>
      </c>
      <c r="AB13" s="19">
        <v>209.2</v>
      </c>
      <c r="AC13" s="33">
        <v>155</v>
      </c>
      <c r="AD13" s="19"/>
      <c r="AE13" s="33">
        <v>204</v>
      </c>
      <c r="AF13" s="19">
        <v>201.1</v>
      </c>
    </row>
    <row r="14" spans="1:32" ht="15.75" x14ac:dyDescent="0.25">
      <c r="A14" s="22">
        <v>9</v>
      </c>
      <c r="B14" s="19">
        <v>204.7</v>
      </c>
      <c r="C14" s="22">
        <v>58</v>
      </c>
      <c r="D14" s="19">
        <v>202.7</v>
      </c>
      <c r="E14" s="22">
        <f t="shared" si="0"/>
        <v>107</v>
      </c>
      <c r="F14" s="19">
        <v>209</v>
      </c>
      <c r="G14" s="33">
        <v>156</v>
      </c>
      <c r="H14" s="19">
        <v>205.5</v>
      </c>
      <c r="I14" s="33">
        <v>205</v>
      </c>
      <c r="J14" s="19">
        <v>200.1</v>
      </c>
      <c r="L14" s="22">
        <v>9</v>
      </c>
      <c r="M14" s="19">
        <v>204.7</v>
      </c>
      <c r="N14" s="22">
        <v>58</v>
      </c>
      <c r="O14" s="19">
        <v>202.7</v>
      </c>
      <c r="P14" s="22">
        <f t="shared" si="1"/>
        <v>107</v>
      </c>
      <c r="Q14" s="19"/>
      <c r="R14" s="33">
        <v>156</v>
      </c>
      <c r="S14" s="19">
        <v>205.5</v>
      </c>
      <c r="T14" s="33">
        <v>205</v>
      </c>
      <c r="U14" s="19"/>
      <c r="W14" s="22">
        <v>9</v>
      </c>
      <c r="X14" s="19"/>
      <c r="Y14" s="22">
        <v>58</v>
      </c>
      <c r="Z14" s="19"/>
      <c r="AA14" s="22">
        <f t="shared" si="2"/>
        <v>107</v>
      </c>
      <c r="AB14" s="19">
        <v>209</v>
      </c>
      <c r="AC14" s="33">
        <v>156</v>
      </c>
      <c r="AD14" s="19"/>
      <c r="AE14" s="33">
        <v>205</v>
      </c>
      <c r="AF14" s="19">
        <v>200.1</v>
      </c>
    </row>
    <row r="15" spans="1:32" ht="15.75" x14ac:dyDescent="0.25">
      <c r="A15" s="22">
        <v>10</v>
      </c>
      <c r="B15" s="19">
        <v>183.9</v>
      </c>
      <c r="C15" s="22">
        <v>59</v>
      </c>
      <c r="D15" s="19">
        <v>206.8</v>
      </c>
      <c r="E15" s="22">
        <f t="shared" si="0"/>
        <v>108</v>
      </c>
      <c r="F15" s="19">
        <v>204.5</v>
      </c>
      <c r="G15" s="33">
        <v>157</v>
      </c>
      <c r="H15" s="19">
        <v>205</v>
      </c>
      <c r="I15" s="33">
        <v>206</v>
      </c>
      <c r="J15" s="19">
        <v>198.2</v>
      </c>
      <c r="L15" s="22">
        <v>10</v>
      </c>
      <c r="M15" s="19">
        <v>183.9</v>
      </c>
      <c r="N15" s="22">
        <v>59</v>
      </c>
      <c r="O15" s="19">
        <v>206.8</v>
      </c>
      <c r="P15" s="22">
        <f t="shared" si="1"/>
        <v>108</v>
      </c>
      <c r="Q15" s="19"/>
      <c r="R15" s="33">
        <v>157</v>
      </c>
      <c r="S15" s="19">
        <v>205</v>
      </c>
      <c r="T15" s="33">
        <v>206</v>
      </c>
      <c r="U15" s="19"/>
      <c r="W15" s="22">
        <v>10</v>
      </c>
      <c r="X15" s="19"/>
      <c r="Y15" s="22">
        <v>59</v>
      </c>
      <c r="Z15" s="19"/>
      <c r="AA15" s="22">
        <f t="shared" si="2"/>
        <v>108</v>
      </c>
      <c r="AB15" s="19">
        <v>204.5</v>
      </c>
      <c r="AC15" s="33">
        <v>157</v>
      </c>
      <c r="AD15" s="19"/>
      <c r="AE15" s="33">
        <v>206</v>
      </c>
      <c r="AF15" s="19">
        <v>198.2</v>
      </c>
    </row>
    <row r="16" spans="1:32" ht="15.75" x14ac:dyDescent="0.25">
      <c r="A16" s="22">
        <v>11</v>
      </c>
      <c r="B16" s="19">
        <v>199.7</v>
      </c>
      <c r="C16" s="22">
        <v>60</v>
      </c>
      <c r="D16" s="19">
        <v>203.5</v>
      </c>
      <c r="E16" s="22">
        <f t="shared" si="0"/>
        <v>109</v>
      </c>
      <c r="F16" s="19">
        <v>209.7</v>
      </c>
      <c r="G16" s="33">
        <v>158</v>
      </c>
      <c r="H16" s="19">
        <v>201.2</v>
      </c>
      <c r="I16" s="33">
        <v>207</v>
      </c>
      <c r="J16" s="19">
        <v>205.4</v>
      </c>
      <c r="L16" s="22">
        <v>11</v>
      </c>
      <c r="M16" s="19">
        <v>199.7</v>
      </c>
      <c r="N16" s="22">
        <v>60</v>
      </c>
      <c r="O16" s="19">
        <v>203.5</v>
      </c>
      <c r="P16" s="22">
        <f t="shared" si="1"/>
        <v>109</v>
      </c>
      <c r="Q16" s="19"/>
      <c r="R16" s="33">
        <v>158</v>
      </c>
      <c r="S16" s="19">
        <v>201.2</v>
      </c>
      <c r="T16" s="33">
        <v>207</v>
      </c>
      <c r="U16" s="19"/>
      <c r="W16" s="22">
        <v>11</v>
      </c>
      <c r="X16" s="19"/>
      <c r="Y16" s="22">
        <v>60</v>
      </c>
      <c r="Z16" s="19"/>
      <c r="AA16" s="22">
        <f t="shared" si="2"/>
        <v>109</v>
      </c>
      <c r="AB16" s="19">
        <v>209.7</v>
      </c>
      <c r="AC16" s="33">
        <v>158</v>
      </c>
      <c r="AD16" s="19"/>
      <c r="AE16" s="33">
        <v>207</v>
      </c>
      <c r="AF16" s="19">
        <v>205.4</v>
      </c>
    </row>
    <row r="17" spans="1:32" ht="15.75" x14ac:dyDescent="0.25">
      <c r="A17" s="22">
        <v>12</v>
      </c>
      <c r="B17" s="19">
        <v>203.7</v>
      </c>
      <c r="C17" s="22">
        <v>61</v>
      </c>
      <c r="D17" s="19">
        <v>206.4</v>
      </c>
      <c r="E17" s="22">
        <f t="shared" si="0"/>
        <v>110</v>
      </c>
      <c r="F17" s="19">
        <v>221.3</v>
      </c>
      <c r="G17" s="33">
        <v>159</v>
      </c>
      <c r="H17" s="19">
        <v>203.3</v>
      </c>
      <c r="I17" s="33">
        <v>208</v>
      </c>
      <c r="J17" s="19">
        <v>202.2</v>
      </c>
      <c r="L17" s="22">
        <v>12</v>
      </c>
      <c r="M17" s="19">
        <v>203.7</v>
      </c>
      <c r="N17" s="22">
        <v>61</v>
      </c>
      <c r="O17" s="19"/>
      <c r="P17" s="22">
        <f t="shared" si="1"/>
        <v>110</v>
      </c>
      <c r="Q17" s="19"/>
      <c r="R17" s="33">
        <v>159</v>
      </c>
      <c r="S17" s="19">
        <v>203.3</v>
      </c>
      <c r="T17" s="33">
        <v>208</v>
      </c>
      <c r="U17" s="19"/>
      <c r="W17" s="22">
        <v>12</v>
      </c>
      <c r="X17" s="19"/>
      <c r="Y17" s="22">
        <v>61</v>
      </c>
      <c r="Z17" s="19">
        <v>206.4</v>
      </c>
      <c r="AA17" s="22">
        <f t="shared" si="2"/>
        <v>110</v>
      </c>
      <c r="AB17" s="19">
        <v>221.3</v>
      </c>
      <c r="AC17" s="33">
        <v>159</v>
      </c>
      <c r="AD17" s="19"/>
      <c r="AE17" s="33">
        <v>208</v>
      </c>
      <c r="AF17" s="19">
        <v>202.2</v>
      </c>
    </row>
    <row r="18" spans="1:32" ht="15.75" x14ac:dyDescent="0.25">
      <c r="A18" s="22">
        <v>13</v>
      </c>
      <c r="B18" s="19">
        <v>197.7</v>
      </c>
      <c r="C18" s="22">
        <v>62</v>
      </c>
      <c r="D18" s="19">
        <v>207.3</v>
      </c>
      <c r="E18" s="22">
        <f t="shared" si="0"/>
        <v>111</v>
      </c>
      <c r="F18" s="19">
        <v>208.7</v>
      </c>
      <c r="G18" s="33">
        <v>160</v>
      </c>
      <c r="H18" s="19">
        <v>206.9</v>
      </c>
      <c r="I18" s="33">
        <v>209</v>
      </c>
      <c r="J18" s="19">
        <v>197.2</v>
      </c>
      <c r="L18" s="22">
        <v>13</v>
      </c>
      <c r="M18" s="19">
        <v>197.7</v>
      </c>
      <c r="N18" s="22">
        <v>62</v>
      </c>
      <c r="O18" s="19"/>
      <c r="P18" s="22">
        <f t="shared" si="1"/>
        <v>111</v>
      </c>
      <c r="Q18" s="19">
        <v>208.7</v>
      </c>
      <c r="R18" s="33">
        <v>160</v>
      </c>
      <c r="S18" s="19">
        <v>206.9</v>
      </c>
      <c r="T18" s="33">
        <v>209</v>
      </c>
      <c r="U18" s="19"/>
      <c r="W18" s="22">
        <v>13</v>
      </c>
      <c r="X18" s="19"/>
      <c r="Y18" s="22">
        <v>62</v>
      </c>
      <c r="Z18" s="19">
        <v>207.3</v>
      </c>
      <c r="AA18" s="22">
        <f t="shared" si="2"/>
        <v>111</v>
      </c>
      <c r="AB18" s="19"/>
      <c r="AC18" s="33">
        <v>160</v>
      </c>
      <c r="AD18" s="19"/>
      <c r="AE18" s="33">
        <v>209</v>
      </c>
      <c r="AF18" s="19">
        <v>197.2</v>
      </c>
    </row>
    <row r="19" spans="1:32" ht="15.75" x14ac:dyDescent="0.25">
      <c r="A19" s="22">
        <v>14</v>
      </c>
      <c r="B19" s="19">
        <v>197.1</v>
      </c>
      <c r="C19" s="22">
        <v>63</v>
      </c>
      <c r="D19" s="19">
        <v>205.8</v>
      </c>
      <c r="E19" s="22">
        <f t="shared" si="0"/>
        <v>112</v>
      </c>
      <c r="F19" s="19">
        <v>210.8</v>
      </c>
      <c r="G19" s="33">
        <v>161</v>
      </c>
      <c r="H19" s="19">
        <v>204</v>
      </c>
      <c r="I19" s="33">
        <v>210</v>
      </c>
      <c r="J19" s="19">
        <v>203.9</v>
      </c>
      <c r="L19" s="22">
        <v>14</v>
      </c>
      <c r="M19" s="19">
        <v>197.1</v>
      </c>
      <c r="N19" s="22">
        <v>63</v>
      </c>
      <c r="O19" s="19"/>
      <c r="P19" s="22">
        <f t="shared" si="1"/>
        <v>112</v>
      </c>
      <c r="Q19" s="19">
        <v>210.8</v>
      </c>
      <c r="R19" s="33">
        <v>161</v>
      </c>
      <c r="S19" s="19">
        <v>204</v>
      </c>
      <c r="T19" s="33">
        <v>210</v>
      </c>
      <c r="U19" s="19"/>
      <c r="W19" s="22">
        <v>14</v>
      </c>
      <c r="X19" s="19"/>
      <c r="Y19" s="22">
        <v>63</v>
      </c>
      <c r="Z19" s="19">
        <v>205.8</v>
      </c>
      <c r="AA19" s="22">
        <f t="shared" si="2"/>
        <v>112</v>
      </c>
      <c r="AB19" s="19"/>
      <c r="AC19" s="33">
        <v>161</v>
      </c>
      <c r="AD19" s="19"/>
      <c r="AE19" s="33">
        <v>210</v>
      </c>
      <c r="AF19" s="19">
        <v>203.9</v>
      </c>
    </row>
    <row r="20" spans="1:32" ht="15.75" x14ac:dyDescent="0.25">
      <c r="A20" s="22">
        <v>15</v>
      </c>
      <c r="B20" s="19">
        <v>193.3</v>
      </c>
      <c r="C20" s="22">
        <v>64</v>
      </c>
      <c r="D20" s="19">
        <v>202.5</v>
      </c>
      <c r="E20" s="22">
        <f t="shared" si="0"/>
        <v>113</v>
      </c>
      <c r="F20" s="19">
        <v>207</v>
      </c>
      <c r="G20" s="35">
        <v>162</v>
      </c>
      <c r="H20" s="19">
        <v>200.2</v>
      </c>
      <c r="I20" s="33">
        <v>211</v>
      </c>
      <c r="J20" s="19">
        <v>193</v>
      </c>
      <c r="L20" s="22">
        <v>15</v>
      </c>
      <c r="M20" s="19">
        <v>193.3</v>
      </c>
      <c r="N20" s="22">
        <v>64</v>
      </c>
      <c r="O20" s="19"/>
      <c r="P20" s="22">
        <f t="shared" si="1"/>
        <v>113</v>
      </c>
      <c r="Q20" s="19">
        <v>207</v>
      </c>
      <c r="R20" s="35">
        <v>162</v>
      </c>
      <c r="S20" s="19">
        <v>200.2</v>
      </c>
      <c r="T20" s="33">
        <v>211</v>
      </c>
      <c r="U20" s="19"/>
      <c r="W20" s="22">
        <v>15</v>
      </c>
      <c r="X20" s="19"/>
      <c r="Y20" s="22">
        <v>64</v>
      </c>
      <c r="Z20" s="19">
        <v>202.5</v>
      </c>
      <c r="AA20" s="22">
        <f t="shared" si="2"/>
        <v>113</v>
      </c>
      <c r="AB20" s="19"/>
      <c r="AC20" s="35">
        <v>162</v>
      </c>
      <c r="AD20" s="19"/>
      <c r="AE20" s="33">
        <v>211</v>
      </c>
      <c r="AF20" s="19">
        <v>193</v>
      </c>
    </row>
    <row r="21" spans="1:32" ht="15.75" x14ac:dyDescent="0.25">
      <c r="A21" s="22">
        <v>16</v>
      </c>
      <c r="B21" s="19">
        <v>208.2</v>
      </c>
      <c r="C21" s="22">
        <v>65</v>
      </c>
      <c r="D21" s="19">
        <v>201.7</v>
      </c>
      <c r="E21" s="22">
        <f t="shared" si="0"/>
        <v>114</v>
      </c>
      <c r="F21" s="19">
        <v>200.7</v>
      </c>
      <c r="G21" s="35">
        <v>163</v>
      </c>
      <c r="H21" s="19">
        <v>201.3</v>
      </c>
      <c r="I21" s="33">
        <v>212</v>
      </c>
      <c r="J21" s="19">
        <v>203</v>
      </c>
      <c r="L21" s="22">
        <v>16</v>
      </c>
      <c r="M21" s="19">
        <v>208.2</v>
      </c>
      <c r="N21" s="22">
        <v>65</v>
      </c>
      <c r="O21" s="19"/>
      <c r="P21" s="22">
        <f t="shared" si="1"/>
        <v>114</v>
      </c>
      <c r="Q21" s="19">
        <v>200.7</v>
      </c>
      <c r="R21" s="35">
        <v>163</v>
      </c>
      <c r="S21" s="19">
        <v>201.3</v>
      </c>
      <c r="T21" s="33">
        <v>212</v>
      </c>
      <c r="U21" s="19"/>
      <c r="W21" s="22">
        <v>16</v>
      </c>
      <c r="X21" s="19"/>
      <c r="Y21" s="22">
        <v>65</v>
      </c>
      <c r="Z21" s="19">
        <v>201.7</v>
      </c>
      <c r="AA21" s="22">
        <f t="shared" si="2"/>
        <v>114</v>
      </c>
      <c r="AB21" s="19"/>
      <c r="AC21" s="35">
        <v>163</v>
      </c>
      <c r="AD21" s="19"/>
      <c r="AE21" s="33">
        <v>212</v>
      </c>
      <c r="AF21" s="19">
        <v>203</v>
      </c>
    </row>
    <row r="22" spans="1:32" ht="15.75" x14ac:dyDescent="0.25">
      <c r="A22" s="22">
        <v>17</v>
      </c>
      <c r="B22" s="19">
        <v>199.9</v>
      </c>
      <c r="C22" s="22">
        <v>66</v>
      </c>
      <c r="D22" s="19">
        <v>207.4</v>
      </c>
      <c r="E22" s="22">
        <f t="shared" si="0"/>
        <v>115</v>
      </c>
      <c r="F22" s="19">
        <v>208.5</v>
      </c>
      <c r="G22" s="35">
        <v>164</v>
      </c>
      <c r="H22" s="19">
        <v>208.9</v>
      </c>
      <c r="I22" s="33">
        <v>213</v>
      </c>
      <c r="J22" s="19">
        <v>204.2</v>
      </c>
      <c r="L22" s="22">
        <v>17</v>
      </c>
      <c r="M22" s="19">
        <v>199.9</v>
      </c>
      <c r="N22" s="22">
        <v>66</v>
      </c>
      <c r="O22" s="19"/>
      <c r="P22" s="22">
        <f t="shared" si="1"/>
        <v>115</v>
      </c>
      <c r="Q22" s="19">
        <v>208.5</v>
      </c>
      <c r="R22" s="35">
        <v>164</v>
      </c>
      <c r="S22" s="19">
        <v>208.9</v>
      </c>
      <c r="T22" s="33">
        <v>213</v>
      </c>
      <c r="U22" s="19"/>
      <c r="W22" s="22">
        <v>17</v>
      </c>
      <c r="X22" s="19"/>
      <c r="Y22" s="22">
        <v>66</v>
      </c>
      <c r="Z22" s="19">
        <v>207.4</v>
      </c>
      <c r="AA22" s="22">
        <f t="shared" si="2"/>
        <v>115</v>
      </c>
      <c r="AB22" s="19"/>
      <c r="AC22" s="35">
        <v>164</v>
      </c>
      <c r="AD22" s="19"/>
      <c r="AE22" s="33">
        <v>213</v>
      </c>
      <c r="AF22" s="19">
        <v>204.2</v>
      </c>
    </row>
    <row r="23" spans="1:32" ht="15.75" x14ac:dyDescent="0.25">
      <c r="A23" s="22">
        <v>18</v>
      </c>
      <c r="B23" s="19">
        <v>202.6</v>
      </c>
      <c r="C23" s="22">
        <v>67</v>
      </c>
      <c r="D23" s="19">
        <v>198.5</v>
      </c>
      <c r="E23" s="22">
        <f t="shared" si="0"/>
        <v>116</v>
      </c>
      <c r="F23" s="19">
        <v>203.4</v>
      </c>
      <c r="G23" s="35">
        <v>165</v>
      </c>
      <c r="H23" s="19">
        <v>204.3</v>
      </c>
      <c r="I23" s="33">
        <v>214</v>
      </c>
      <c r="J23" s="19">
        <v>197.3</v>
      </c>
      <c r="L23" s="22">
        <v>18</v>
      </c>
      <c r="M23" s="19">
        <v>202.6</v>
      </c>
      <c r="N23" s="22">
        <v>67</v>
      </c>
      <c r="O23" s="19"/>
      <c r="P23" s="22">
        <f t="shared" si="1"/>
        <v>116</v>
      </c>
      <c r="Q23" s="19">
        <v>203.4</v>
      </c>
      <c r="R23" s="35">
        <v>165</v>
      </c>
      <c r="S23" s="19">
        <v>204.3</v>
      </c>
      <c r="T23" s="33">
        <v>214</v>
      </c>
      <c r="U23" s="19"/>
      <c r="W23" s="22">
        <v>18</v>
      </c>
      <c r="X23" s="19"/>
      <c r="Y23" s="22">
        <v>67</v>
      </c>
      <c r="Z23" s="19">
        <v>198.5</v>
      </c>
      <c r="AA23" s="22">
        <f t="shared" si="2"/>
        <v>116</v>
      </c>
      <c r="AB23" s="19"/>
      <c r="AC23" s="35">
        <v>165</v>
      </c>
      <c r="AD23" s="19"/>
      <c r="AE23" s="33">
        <v>214</v>
      </c>
      <c r="AF23" s="19">
        <v>197.3</v>
      </c>
    </row>
    <row r="24" spans="1:32" ht="15.75" x14ac:dyDescent="0.25">
      <c r="A24" s="22">
        <v>19</v>
      </c>
      <c r="B24" s="19">
        <v>204.5</v>
      </c>
      <c r="C24" s="22">
        <v>68</v>
      </c>
      <c r="D24" s="19">
        <v>197.2</v>
      </c>
      <c r="E24" s="22">
        <f t="shared" si="0"/>
        <v>117</v>
      </c>
      <c r="F24" s="19">
        <v>198.1</v>
      </c>
      <c r="G24" s="35">
        <v>166</v>
      </c>
      <c r="H24" s="19">
        <v>204.1</v>
      </c>
      <c r="I24" s="33">
        <v>215</v>
      </c>
      <c r="J24" s="19">
        <v>198.4</v>
      </c>
      <c r="L24" s="22">
        <v>19</v>
      </c>
      <c r="M24" s="19">
        <v>204.5</v>
      </c>
      <c r="N24" s="22">
        <v>68</v>
      </c>
      <c r="O24" s="19"/>
      <c r="P24" s="22">
        <f t="shared" si="1"/>
        <v>117</v>
      </c>
      <c r="Q24" s="19">
        <v>198.1</v>
      </c>
      <c r="R24" s="35">
        <v>166</v>
      </c>
      <c r="S24" s="19">
        <v>204.1</v>
      </c>
      <c r="T24" s="33">
        <v>215</v>
      </c>
      <c r="U24" s="19"/>
      <c r="W24" s="22">
        <v>19</v>
      </c>
      <c r="X24" s="19"/>
      <c r="Y24" s="22">
        <v>68</v>
      </c>
      <c r="Z24" s="19">
        <v>197.2</v>
      </c>
      <c r="AA24" s="22">
        <f t="shared" si="2"/>
        <v>117</v>
      </c>
      <c r="AB24" s="19"/>
      <c r="AC24" s="35">
        <v>166</v>
      </c>
      <c r="AD24" s="19"/>
      <c r="AE24" s="33">
        <v>215</v>
      </c>
      <c r="AF24" s="19">
        <v>198.4</v>
      </c>
    </row>
    <row r="25" spans="1:32" ht="15.75" x14ac:dyDescent="0.25">
      <c r="A25" s="22">
        <v>20</v>
      </c>
      <c r="B25" s="19">
        <v>201.3</v>
      </c>
      <c r="C25" s="22">
        <v>69</v>
      </c>
      <c r="D25" s="19">
        <v>188.6</v>
      </c>
      <c r="E25" s="22">
        <f t="shared" si="0"/>
        <v>118</v>
      </c>
      <c r="F25" s="19">
        <v>205.8</v>
      </c>
      <c r="G25" s="35">
        <v>167</v>
      </c>
      <c r="H25" s="19">
        <v>199.1</v>
      </c>
      <c r="I25" s="33">
        <v>216</v>
      </c>
      <c r="J25" s="19">
        <v>196.8</v>
      </c>
      <c r="L25" s="22">
        <v>20</v>
      </c>
      <c r="M25" s="19">
        <v>201.3</v>
      </c>
      <c r="N25" s="22">
        <v>69</v>
      </c>
      <c r="O25" s="19"/>
      <c r="P25" s="22">
        <f t="shared" si="1"/>
        <v>118</v>
      </c>
      <c r="Q25" s="19">
        <v>205.8</v>
      </c>
      <c r="R25" s="35">
        <v>167</v>
      </c>
      <c r="S25" s="19">
        <v>199.1</v>
      </c>
      <c r="T25" s="33">
        <v>216</v>
      </c>
      <c r="U25" s="19"/>
      <c r="W25" s="22">
        <v>20</v>
      </c>
      <c r="X25" s="19"/>
      <c r="Y25" s="22">
        <v>69</v>
      </c>
      <c r="Z25" s="19">
        <v>188.6</v>
      </c>
      <c r="AA25" s="22">
        <f t="shared" si="2"/>
        <v>118</v>
      </c>
      <c r="AB25" s="19"/>
      <c r="AC25" s="35">
        <v>167</v>
      </c>
      <c r="AD25" s="19"/>
      <c r="AE25" s="33">
        <v>216</v>
      </c>
      <c r="AF25" s="19">
        <v>196.8</v>
      </c>
    </row>
    <row r="26" spans="1:32" ht="15.75" x14ac:dyDescent="0.25">
      <c r="A26" s="22">
        <v>21</v>
      </c>
      <c r="B26" s="19">
        <v>195.3</v>
      </c>
      <c r="C26" s="22">
        <v>70</v>
      </c>
      <c r="D26" s="19">
        <v>198.4</v>
      </c>
      <c r="E26" s="22">
        <f t="shared" si="0"/>
        <v>119</v>
      </c>
      <c r="F26" s="19">
        <v>204.5</v>
      </c>
      <c r="G26" s="35">
        <v>168</v>
      </c>
      <c r="H26" s="19">
        <v>203.1</v>
      </c>
      <c r="I26" s="33">
        <v>217</v>
      </c>
      <c r="J26" s="19">
        <v>197.7</v>
      </c>
      <c r="L26" s="22">
        <v>21</v>
      </c>
      <c r="M26" s="19">
        <v>195.3</v>
      </c>
      <c r="N26" s="22">
        <v>70</v>
      </c>
      <c r="O26" s="19"/>
      <c r="P26" s="22">
        <f t="shared" si="1"/>
        <v>119</v>
      </c>
      <c r="Q26" s="19">
        <v>204.5</v>
      </c>
      <c r="R26" s="35">
        <v>168</v>
      </c>
      <c r="S26" s="19">
        <v>203.1</v>
      </c>
      <c r="T26" s="33">
        <v>217</v>
      </c>
      <c r="U26" s="19"/>
      <c r="W26" s="22">
        <v>21</v>
      </c>
      <c r="X26" s="19"/>
      <c r="Y26" s="22">
        <v>70</v>
      </c>
      <c r="Z26" s="19">
        <v>198.4</v>
      </c>
      <c r="AA26" s="22">
        <f t="shared" si="2"/>
        <v>119</v>
      </c>
      <c r="AB26" s="19"/>
      <c r="AC26" s="35">
        <v>168</v>
      </c>
      <c r="AD26" s="19"/>
      <c r="AE26" s="33">
        <v>217</v>
      </c>
      <c r="AF26" s="19">
        <v>197.7</v>
      </c>
    </row>
    <row r="27" spans="1:32" ht="15.75" x14ac:dyDescent="0.25">
      <c r="A27" s="22">
        <v>22</v>
      </c>
      <c r="B27" s="19">
        <v>198.7</v>
      </c>
      <c r="C27" s="22">
        <v>71</v>
      </c>
      <c r="D27" s="19">
        <v>188.2</v>
      </c>
      <c r="E27" s="22">
        <f t="shared" si="0"/>
        <v>120</v>
      </c>
      <c r="F27" s="19">
        <v>201.4</v>
      </c>
      <c r="G27" s="35">
        <v>169</v>
      </c>
      <c r="H27" s="19">
        <v>194.2</v>
      </c>
      <c r="I27" s="33">
        <v>218</v>
      </c>
      <c r="J27" s="19">
        <v>195.9</v>
      </c>
      <c r="L27" s="22">
        <v>22</v>
      </c>
      <c r="M27" s="19">
        <v>198.7</v>
      </c>
      <c r="N27" s="22">
        <v>71</v>
      </c>
      <c r="O27" s="19"/>
      <c r="P27" s="22">
        <f t="shared" si="1"/>
        <v>120</v>
      </c>
      <c r="Q27" s="19">
        <v>201.4</v>
      </c>
      <c r="R27" s="35">
        <v>169</v>
      </c>
      <c r="S27" s="19">
        <v>194.2</v>
      </c>
      <c r="T27" s="33">
        <v>218</v>
      </c>
      <c r="U27" s="19"/>
      <c r="W27" s="22">
        <v>22</v>
      </c>
      <c r="X27" s="19"/>
      <c r="Y27" s="22">
        <v>71</v>
      </c>
      <c r="Z27" s="19">
        <v>188.2</v>
      </c>
      <c r="AA27" s="22">
        <f t="shared" si="2"/>
        <v>120</v>
      </c>
      <c r="AB27" s="19"/>
      <c r="AC27" s="35">
        <v>169</v>
      </c>
      <c r="AD27" s="19"/>
      <c r="AE27" s="33">
        <v>218</v>
      </c>
      <c r="AF27" s="19">
        <v>195.9</v>
      </c>
    </row>
    <row r="28" spans="1:32" ht="15.75" x14ac:dyDescent="0.25">
      <c r="A28" s="22">
        <v>23</v>
      </c>
      <c r="B28" s="19">
        <v>192.8</v>
      </c>
      <c r="C28" s="22">
        <v>72</v>
      </c>
      <c r="D28" s="19">
        <v>201.4</v>
      </c>
      <c r="E28" s="22">
        <f t="shared" si="0"/>
        <v>121</v>
      </c>
      <c r="F28" s="19">
        <v>205.9</v>
      </c>
      <c r="G28" s="35">
        <v>170</v>
      </c>
      <c r="H28" s="19">
        <v>203.7</v>
      </c>
      <c r="I28" s="33">
        <v>219</v>
      </c>
      <c r="J28" s="19">
        <v>196.1</v>
      </c>
      <c r="L28" s="22">
        <v>23</v>
      </c>
      <c r="M28" s="19">
        <v>192.8</v>
      </c>
      <c r="N28" s="22">
        <v>72</v>
      </c>
      <c r="O28" s="19"/>
      <c r="P28" s="22">
        <f t="shared" si="1"/>
        <v>121</v>
      </c>
      <c r="Q28" s="19">
        <v>205.9</v>
      </c>
      <c r="R28" s="35">
        <v>170</v>
      </c>
      <c r="S28" s="19">
        <v>203.7</v>
      </c>
      <c r="T28" s="33">
        <v>219</v>
      </c>
      <c r="U28" s="19"/>
      <c r="W28" s="22">
        <v>23</v>
      </c>
      <c r="X28" s="19"/>
      <c r="Y28" s="22">
        <v>72</v>
      </c>
      <c r="Z28" s="19">
        <v>201.4</v>
      </c>
      <c r="AA28" s="22">
        <f t="shared" si="2"/>
        <v>121</v>
      </c>
      <c r="AB28" s="19"/>
      <c r="AC28" s="35">
        <v>170</v>
      </c>
      <c r="AD28" s="19"/>
      <c r="AE28" s="33">
        <v>219</v>
      </c>
      <c r="AF28" s="19">
        <v>196.1</v>
      </c>
    </row>
    <row r="29" spans="1:32" ht="15.75" x14ac:dyDescent="0.25">
      <c r="A29" s="22">
        <v>24</v>
      </c>
      <c r="B29" s="19">
        <v>194.7</v>
      </c>
      <c r="C29" s="22">
        <v>73</v>
      </c>
      <c r="D29" s="19">
        <v>198.6</v>
      </c>
      <c r="E29" s="22">
        <f t="shared" si="0"/>
        <v>122</v>
      </c>
      <c r="F29" s="19">
        <v>206</v>
      </c>
      <c r="G29" s="35">
        <v>171</v>
      </c>
      <c r="H29" s="19">
        <v>203.2</v>
      </c>
      <c r="I29" s="33">
        <v>220</v>
      </c>
      <c r="J29" s="19">
        <v>202.8</v>
      </c>
      <c r="L29" s="22">
        <v>24</v>
      </c>
      <c r="M29" s="19">
        <v>194.7</v>
      </c>
      <c r="N29" s="22">
        <v>73</v>
      </c>
      <c r="O29" s="19"/>
      <c r="P29" s="22">
        <f t="shared" si="1"/>
        <v>122</v>
      </c>
      <c r="Q29" s="19">
        <v>206</v>
      </c>
      <c r="R29" s="35">
        <v>171</v>
      </c>
      <c r="S29" s="19">
        <v>203.2</v>
      </c>
      <c r="T29" s="33">
        <v>220</v>
      </c>
      <c r="U29" s="19"/>
      <c r="W29" s="22">
        <v>24</v>
      </c>
      <c r="X29" s="19"/>
      <c r="Y29" s="22">
        <v>73</v>
      </c>
      <c r="Z29" s="19">
        <v>198.6</v>
      </c>
      <c r="AA29" s="22">
        <f t="shared" si="2"/>
        <v>122</v>
      </c>
      <c r="AB29" s="19"/>
      <c r="AC29" s="35">
        <v>171</v>
      </c>
      <c r="AD29" s="19"/>
      <c r="AE29" s="33">
        <v>220</v>
      </c>
      <c r="AF29" s="19">
        <v>202.8</v>
      </c>
    </row>
    <row r="30" spans="1:32" ht="15.75" x14ac:dyDescent="0.25">
      <c r="A30" s="22">
        <v>25</v>
      </c>
      <c r="B30" s="19">
        <v>180.5</v>
      </c>
      <c r="C30" s="22">
        <v>74</v>
      </c>
      <c r="D30" s="19">
        <v>200.2</v>
      </c>
      <c r="E30" s="22">
        <f t="shared" si="0"/>
        <v>123</v>
      </c>
      <c r="F30" s="19">
        <v>198.2</v>
      </c>
      <c r="G30" s="35">
        <v>172</v>
      </c>
      <c r="H30" s="19">
        <v>202.5</v>
      </c>
      <c r="I30" s="20"/>
      <c r="J30" s="36"/>
      <c r="L30" s="22">
        <v>25</v>
      </c>
      <c r="M30" s="19">
        <v>180.5</v>
      </c>
      <c r="N30" s="22">
        <v>74</v>
      </c>
      <c r="O30" s="19"/>
      <c r="P30" s="22">
        <f t="shared" si="1"/>
        <v>123</v>
      </c>
      <c r="Q30" s="19">
        <v>198.2</v>
      </c>
      <c r="R30" s="35">
        <v>172</v>
      </c>
      <c r="S30" s="19">
        <v>202.5</v>
      </c>
      <c r="T30" s="20"/>
      <c r="U30" s="36"/>
      <c r="W30" s="22">
        <v>25</v>
      </c>
      <c r="X30" s="19"/>
      <c r="Y30" s="22">
        <v>74</v>
      </c>
      <c r="Z30" s="19">
        <v>200.2</v>
      </c>
      <c r="AA30" s="22">
        <f t="shared" si="2"/>
        <v>123</v>
      </c>
      <c r="AB30" s="19"/>
      <c r="AC30" s="35">
        <v>172</v>
      </c>
      <c r="AD30" s="19"/>
      <c r="AE30" s="20"/>
      <c r="AF30" s="36"/>
    </row>
    <row r="31" spans="1:32" ht="15.75" x14ac:dyDescent="0.25">
      <c r="A31" s="22">
        <v>26</v>
      </c>
      <c r="B31" s="19">
        <v>213</v>
      </c>
      <c r="C31" s="22">
        <v>75</v>
      </c>
      <c r="D31" s="19">
        <v>199.5</v>
      </c>
      <c r="E31" s="22">
        <f t="shared" si="0"/>
        <v>124</v>
      </c>
      <c r="F31" s="19">
        <v>206.6</v>
      </c>
      <c r="G31" s="35">
        <v>173</v>
      </c>
      <c r="H31" s="19">
        <v>196.5</v>
      </c>
      <c r="I31" s="20"/>
      <c r="J31" s="36"/>
      <c r="L31" s="22">
        <v>26</v>
      </c>
      <c r="M31" s="19">
        <v>213</v>
      </c>
      <c r="N31" s="22">
        <v>75</v>
      </c>
      <c r="O31" s="19"/>
      <c r="P31" s="22">
        <f t="shared" si="1"/>
        <v>124</v>
      </c>
      <c r="Q31" s="19">
        <v>206.6</v>
      </c>
      <c r="R31" s="35">
        <v>173</v>
      </c>
      <c r="S31" s="19">
        <v>196.5</v>
      </c>
      <c r="T31" s="20"/>
      <c r="U31" s="36"/>
      <c r="W31" s="22">
        <v>26</v>
      </c>
      <c r="X31" s="19"/>
      <c r="Y31" s="22">
        <v>75</v>
      </c>
      <c r="Z31" s="19">
        <v>199.5</v>
      </c>
      <c r="AA31" s="22">
        <f t="shared" si="2"/>
        <v>124</v>
      </c>
      <c r="AB31" s="19"/>
      <c r="AC31" s="35">
        <v>173</v>
      </c>
      <c r="AD31" s="19"/>
      <c r="AE31" s="20"/>
      <c r="AF31" s="36"/>
    </row>
    <row r="32" spans="1:32" ht="15.75" x14ac:dyDescent="0.25">
      <c r="A32" s="22">
        <v>27</v>
      </c>
      <c r="B32" s="19">
        <v>193.1</v>
      </c>
      <c r="C32" s="22">
        <v>76</v>
      </c>
      <c r="D32" s="19">
        <v>197.9</v>
      </c>
      <c r="E32" s="22">
        <f t="shared" si="0"/>
        <v>125</v>
      </c>
      <c r="F32" s="19">
        <v>195.6</v>
      </c>
      <c r="G32" s="33">
        <v>174</v>
      </c>
      <c r="H32" s="19">
        <v>199.3</v>
      </c>
      <c r="I32" s="21"/>
      <c r="J32" s="36"/>
      <c r="L32" s="22">
        <v>27</v>
      </c>
      <c r="M32" s="19">
        <v>193.1</v>
      </c>
      <c r="N32" s="22">
        <v>76</v>
      </c>
      <c r="O32" s="19"/>
      <c r="P32" s="22">
        <f t="shared" si="1"/>
        <v>125</v>
      </c>
      <c r="Q32" s="19">
        <v>195.6</v>
      </c>
      <c r="R32" s="33">
        <v>174</v>
      </c>
      <c r="S32" s="19">
        <v>199.3</v>
      </c>
      <c r="T32" s="21"/>
      <c r="U32" s="36"/>
      <c r="W32" s="22">
        <v>27</v>
      </c>
      <c r="X32" s="19"/>
      <c r="Y32" s="22">
        <v>76</v>
      </c>
      <c r="Z32" s="19">
        <v>197.9</v>
      </c>
      <c r="AA32" s="22">
        <f t="shared" si="2"/>
        <v>125</v>
      </c>
      <c r="AB32" s="19"/>
      <c r="AC32" s="33">
        <v>174</v>
      </c>
      <c r="AD32" s="19"/>
      <c r="AE32" s="21"/>
      <c r="AF32" s="36"/>
    </row>
    <row r="33" spans="1:32" ht="15.75" x14ac:dyDescent="0.25">
      <c r="A33" s="22">
        <v>28</v>
      </c>
      <c r="B33" s="19">
        <v>204.4</v>
      </c>
      <c r="C33" s="22">
        <v>77</v>
      </c>
      <c r="D33" s="19">
        <v>200.9</v>
      </c>
      <c r="E33" s="22">
        <f t="shared" si="0"/>
        <v>126</v>
      </c>
      <c r="F33" s="19">
        <v>198.7</v>
      </c>
      <c r="G33" s="33">
        <v>175</v>
      </c>
      <c r="H33" s="19">
        <v>201.3</v>
      </c>
      <c r="I33" s="20"/>
      <c r="J33" s="36"/>
      <c r="L33" s="22">
        <v>28</v>
      </c>
      <c r="M33" s="19">
        <v>204.4</v>
      </c>
      <c r="N33" s="22">
        <v>77</v>
      </c>
      <c r="O33" s="19"/>
      <c r="P33" s="22">
        <f t="shared" si="1"/>
        <v>126</v>
      </c>
      <c r="Q33" s="19">
        <v>198.7</v>
      </c>
      <c r="R33" s="33">
        <v>175</v>
      </c>
      <c r="S33" s="19">
        <v>201.3</v>
      </c>
      <c r="T33" s="20"/>
      <c r="U33" s="36"/>
      <c r="W33" s="22">
        <v>28</v>
      </c>
      <c r="X33" s="19"/>
      <c r="Y33" s="22">
        <v>77</v>
      </c>
      <c r="Z33" s="19">
        <v>200.9</v>
      </c>
      <c r="AA33" s="22">
        <f t="shared" si="2"/>
        <v>126</v>
      </c>
      <c r="AB33" s="19"/>
      <c r="AC33" s="33">
        <v>175</v>
      </c>
      <c r="AD33" s="19"/>
      <c r="AE33" s="20"/>
      <c r="AF33" s="36"/>
    </row>
    <row r="34" spans="1:32" ht="15.75" x14ac:dyDescent="0.25">
      <c r="A34" s="22">
        <v>29</v>
      </c>
      <c r="B34" s="19">
        <v>206.3</v>
      </c>
      <c r="C34" s="22">
        <v>78</v>
      </c>
      <c r="D34" s="19">
        <v>200</v>
      </c>
      <c r="E34" s="22">
        <f t="shared" si="0"/>
        <v>127</v>
      </c>
      <c r="F34" s="19">
        <v>198.3</v>
      </c>
      <c r="G34" s="33">
        <v>176</v>
      </c>
      <c r="H34" s="19">
        <v>206.2</v>
      </c>
      <c r="I34" s="20"/>
      <c r="J34" s="36"/>
      <c r="L34" s="22">
        <v>29</v>
      </c>
      <c r="M34" s="19">
        <v>206.3</v>
      </c>
      <c r="N34" s="22">
        <v>78</v>
      </c>
      <c r="O34" s="19"/>
      <c r="P34" s="22">
        <f t="shared" si="1"/>
        <v>127</v>
      </c>
      <c r="Q34" s="19">
        <v>198.3</v>
      </c>
      <c r="R34" s="33">
        <v>176</v>
      </c>
      <c r="S34" s="19">
        <v>206.2</v>
      </c>
      <c r="T34" s="20"/>
      <c r="U34" s="36"/>
      <c r="W34" s="22">
        <v>29</v>
      </c>
      <c r="X34" s="19"/>
      <c r="Y34" s="22">
        <v>78</v>
      </c>
      <c r="Z34" s="19">
        <v>200</v>
      </c>
      <c r="AA34" s="22">
        <f t="shared" si="2"/>
        <v>127</v>
      </c>
      <c r="AB34" s="19"/>
      <c r="AC34" s="33">
        <v>176</v>
      </c>
      <c r="AD34" s="19"/>
      <c r="AE34" s="20"/>
      <c r="AF34" s="36"/>
    </row>
    <row r="35" spans="1:32" ht="15.75" x14ac:dyDescent="0.25">
      <c r="A35" s="22">
        <v>30</v>
      </c>
      <c r="B35" s="19">
        <v>200.5</v>
      </c>
      <c r="C35" s="22">
        <v>79</v>
      </c>
      <c r="D35" s="19">
        <v>200.2</v>
      </c>
      <c r="E35" s="22">
        <f t="shared" si="0"/>
        <v>128</v>
      </c>
      <c r="F35" s="19">
        <v>205.6</v>
      </c>
      <c r="G35" s="33">
        <v>177</v>
      </c>
      <c r="H35" s="19">
        <v>193.6</v>
      </c>
      <c r="I35" s="21"/>
      <c r="J35" s="36"/>
      <c r="L35" s="22">
        <v>30</v>
      </c>
      <c r="M35" s="19">
        <v>200.5</v>
      </c>
      <c r="N35" s="22">
        <v>79</v>
      </c>
      <c r="O35" s="19"/>
      <c r="P35" s="22">
        <f t="shared" si="1"/>
        <v>128</v>
      </c>
      <c r="Q35" s="19">
        <v>205.6</v>
      </c>
      <c r="R35" s="33">
        <v>177</v>
      </c>
      <c r="S35" s="19">
        <v>193.6</v>
      </c>
      <c r="T35" s="21"/>
      <c r="U35" s="36"/>
      <c r="W35" s="22">
        <v>30</v>
      </c>
      <c r="X35" s="19"/>
      <c r="Y35" s="22">
        <v>79</v>
      </c>
      <c r="Z35" s="19">
        <v>200.2</v>
      </c>
      <c r="AA35" s="22">
        <f t="shared" si="2"/>
        <v>128</v>
      </c>
      <c r="AB35" s="19"/>
      <c r="AC35" s="33">
        <v>177</v>
      </c>
      <c r="AD35" s="19"/>
      <c r="AE35" s="21"/>
      <c r="AF35" s="36"/>
    </row>
    <row r="36" spans="1:32" ht="15.75" x14ac:dyDescent="0.25">
      <c r="A36" s="22">
        <v>31</v>
      </c>
      <c r="B36" s="19">
        <v>200.9</v>
      </c>
      <c r="C36" s="22">
        <v>80</v>
      </c>
      <c r="D36" s="19">
        <v>197.1</v>
      </c>
      <c r="E36" s="22">
        <f t="shared" si="0"/>
        <v>129</v>
      </c>
      <c r="F36" s="19">
        <v>199.9</v>
      </c>
      <c r="G36" s="33">
        <v>178</v>
      </c>
      <c r="H36" s="19">
        <v>201.5</v>
      </c>
      <c r="I36" s="20"/>
      <c r="J36" s="36"/>
      <c r="L36" s="22">
        <v>31</v>
      </c>
      <c r="M36" s="19">
        <v>200.9</v>
      </c>
      <c r="N36" s="22">
        <v>80</v>
      </c>
      <c r="O36" s="19"/>
      <c r="P36" s="22">
        <f t="shared" si="1"/>
        <v>129</v>
      </c>
      <c r="Q36" s="19">
        <v>199.9</v>
      </c>
      <c r="R36" s="33">
        <v>178</v>
      </c>
      <c r="S36" s="19">
        <v>201.5</v>
      </c>
      <c r="T36" s="20"/>
      <c r="U36" s="36"/>
      <c r="W36" s="22">
        <v>31</v>
      </c>
      <c r="X36" s="19"/>
      <c r="Y36" s="22">
        <v>80</v>
      </c>
      <c r="Z36" s="19">
        <v>197.1</v>
      </c>
      <c r="AA36" s="22">
        <f t="shared" si="2"/>
        <v>129</v>
      </c>
      <c r="AB36" s="19"/>
      <c r="AC36" s="33">
        <v>178</v>
      </c>
      <c r="AD36" s="19"/>
      <c r="AE36" s="20"/>
      <c r="AF36" s="36"/>
    </row>
    <row r="37" spans="1:32" ht="15.75" x14ac:dyDescent="0.25">
      <c r="A37" s="22">
        <v>32</v>
      </c>
      <c r="B37" s="19">
        <v>201.5</v>
      </c>
      <c r="C37" s="22">
        <v>81</v>
      </c>
      <c r="D37" s="19">
        <v>202.8</v>
      </c>
      <c r="E37" s="22">
        <f t="shared" si="0"/>
        <v>130</v>
      </c>
      <c r="F37" s="19">
        <v>195.9</v>
      </c>
      <c r="G37" s="33">
        <v>179</v>
      </c>
      <c r="H37" s="19">
        <v>197.3</v>
      </c>
      <c r="I37" s="20"/>
      <c r="J37" s="36"/>
      <c r="L37" s="22">
        <v>32</v>
      </c>
      <c r="M37" s="19">
        <v>201.5</v>
      </c>
      <c r="N37" s="22">
        <v>81</v>
      </c>
      <c r="O37" s="19"/>
      <c r="P37" s="22">
        <f t="shared" si="1"/>
        <v>130</v>
      </c>
      <c r="Q37" s="19">
        <v>195.9</v>
      </c>
      <c r="R37" s="33">
        <v>179</v>
      </c>
      <c r="S37" s="19">
        <v>197.3</v>
      </c>
      <c r="T37" s="20"/>
      <c r="U37" s="36"/>
      <c r="W37" s="22">
        <v>32</v>
      </c>
      <c r="X37" s="19"/>
      <c r="Y37" s="22">
        <v>81</v>
      </c>
      <c r="Z37" s="19">
        <v>202.8</v>
      </c>
      <c r="AA37" s="22">
        <f t="shared" si="2"/>
        <v>130</v>
      </c>
      <c r="AB37" s="19"/>
      <c r="AC37" s="33">
        <v>179</v>
      </c>
      <c r="AD37" s="19"/>
      <c r="AE37" s="20"/>
      <c r="AF37" s="36"/>
    </row>
    <row r="38" spans="1:32" ht="15.75" x14ac:dyDescent="0.25">
      <c r="A38" s="22">
        <v>33</v>
      </c>
      <c r="B38" s="19">
        <v>192.5</v>
      </c>
      <c r="C38" s="22">
        <v>82</v>
      </c>
      <c r="D38" s="19">
        <v>203.4</v>
      </c>
      <c r="E38" s="22">
        <f t="shared" si="0"/>
        <v>131</v>
      </c>
      <c r="F38" s="19">
        <v>195.1</v>
      </c>
      <c r="G38" s="33">
        <v>180</v>
      </c>
      <c r="H38" s="19">
        <v>195.2</v>
      </c>
      <c r="I38" s="21"/>
      <c r="J38" s="36"/>
      <c r="L38" s="22">
        <v>33</v>
      </c>
      <c r="M38" s="19">
        <v>192.5</v>
      </c>
      <c r="N38" s="22">
        <v>82</v>
      </c>
      <c r="O38" s="19"/>
      <c r="P38" s="22">
        <f t="shared" si="1"/>
        <v>131</v>
      </c>
      <c r="Q38" s="19">
        <v>195.1</v>
      </c>
      <c r="R38" s="33">
        <v>180</v>
      </c>
      <c r="S38" s="19">
        <v>195.2</v>
      </c>
      <c r="T38" s="21"/>
      <c r="U38" s="36"/>
      <c r="W38" s="22">
        <v>33</v>
      </c>
      <c r="X38" s="19"/>
      <c r="Y38" s="22">
        <v>82</v>
      </c>
      <c r="Z38" s="19">
        <v>203.4</v>
      </c>
      <c r="AA38" s="22">
        <f t="shared" si="2"/>
        <v>131</v>
      </c>
      <c r="AB38" s="19"/>
      <c r="AC38" s="33">
        <v>180</v>
      </c>
      <c r="AD38" s="19"/>
      <c r="AE38" s="21"/>
      <c r="AF38" s="36"/>
    </row>
    <row r="39" spans="1:32" ht="15.75" x14ac:dyDescent="0.25">
      <c r="A39" s="22">
        <v>34</v>
      </c>
      <c r="B39" s="19">
        <v>208.4</v>
      </c>
      <c r="C39" s="22">
        <v>83</v>
      </c>
      <c r="D39" s="19">
        <v>206.5</v>
      </c>
      <c r="E39" s="22">
        <f t="shared" si="0"/>
        <v>132</v>
      </c>
      <c r="F39" s="19">
        <v>207.1</v>
      </c>
      <c r="G39" s="33">
        <v>181</v>
      </c>
      <c r="H39" s="19">
        <v>189.6</v>
      </c>
      <c r="I39" s="21"/>
      <c r="J39" s="36"/>
      <c r="L39" s="22">
        <v>34</v>
      </c>
      <c r="M39" s="19">
        <v>208.4</v>
      </c>
      <c r="N39" s="22">
        <v>83</v>
      </c>
      <c r="O39" s="19"/>
      <c r="P39" s="22">
        <f t="shared" si="1"/>
        <v>132</v>
      </c>
      <c r="Q39" s="19">
        <v>207.1</v>
      </c>
      <c r="R39" s="33">
        <v>181</v>
      </c>
      <c r="S39" s="19">
        <v>189.6</v>
      </c>
      <c r="T39" s="21"/>
      <c r="U39" s="36"/>
      <c r="W39" s="22">
        <v>34</v>
      </c>
      <c r="X39" s="19"/>
      <c r="Y39" s="22">
        <v>83</v>
      </c>
      <c r="Z39" s="19">
        <v>206.5</v>
      </c>
      <c r="AA39" s="22">
        <f t="shared" si="2"/>
        <v>132</v>
      </c>
      <c r="AB39" s="19"/>
      <c r="AC39" s="33">
        <v>181</v>
      </c>
      <c r="AD39" s="19"/>
      <c r="AE39" s="21"/>
      <c r="AF39" s="36"/>
    </row>
    <row r="40" spans="1:32" ht="15.75" x14ac:dyDescent="0.25">
      <c r="A40" s="22">
        <v>35</v>
      </c>
      <c r="B40" s="19">
        <v>211.9</v>
      </c>
      <c r="C40" s="22">
        <v>84</v>
      </c>
      <c r="D40" s="19">
        <v>201.5</v>
      </c>
      <c r="E40" s="22">
        <f t="shared" si="0"/>
        <v>133</v>
      </c>
      <c r="F40" s="19">
        <v>204.3</v>
      </c>
      <c r="G40" s="33">
        <v>182</v>
      </c>
      <c r="H40" s="19">
        <v>195.1</v>
      </c>
      <c r="I40" s="20"/>
      <c r="J40" s="36"/>
      <c r="L40" s="22">
        <v>35</v>
      </c>
      <c r="M40" s="19">
        <v>211.9</v>
      </c>
      <c r="N40" s="22">
        <v>84</v>
      </c>
      <c r="O40" s="19"/>
      <c r="P40" s="22">
        <f t="shared" si="1"/>
        <v>133</v>
      </c>
      <c r="Q40" s="19">
        <v>204.3</v>
      </c>
      <c r="R40" s="33">
        <v>182</v>
      </c>
      <c r="S40" s="19">
        <v>195.1</v>
      </c>
      <c r="T40" s="20"/>
      <c r="U40" s="36"/>
      <c r="W40" s="22">
        <v>35</v>
      </c>
      <c r="X40" s="19"/>
      <c r="Y40" s="22">
        <v>84</v>
      </c>
      <c r="Z40" s="19">
        <v>201.5</v>
      </c>
      <c r="AA40" s="22">
        <f t="shared" si="2"/>
        <v>133</v>
      </c>
      <c r="AB40" s="19"/>
      <c r="AC40" s="33">
        <v>182</v>
      </c>
      <c r="AD40" s="19"/>
      <c r="AE40" s="20"/>
      <c r="AF40" s="36"/>
    </row>
    <row r="41" spans="1:32" ht="15.75" x14ac:dyDescent="0.25">
      <c r="A41" s="22">
        <v>36</v>
      </c>
      <c r="B41" s="19">
        <v>199</v>
      </c>
      <c r="C41" s="22">
        <v>85</v>
      </c>
      <c r="D41" s="19">
        <v>199</v>
      </c>
      <c r="E41" s="22">
        <f t="shared" si="0"/>
        <v>134</v>
      </c>
      <c r="F41" s="19">
        <v>204.7</v>
      </c>
      <c r="G41" s="33">
        <v>183</v>
      </c>
      <c r="H41" s="19">
        <v>203.1</v>
      </c>
      <c r="I41" s="20"/>
      <c r="J41" s="36"/>
      <c r="L41" s="22">
        <v>36</v>
      </c>
      <c r="M41" s="19">
        <v>199</v>
      </c>
      <c r="N41" s="22">
        <v>85</v>
      </c>
      <c r="O41" s="19"/>
      <c r="P41" s="22">
        <f t="shared" si="1"/>
        <v>134</v>
      </c>
      <c r="Q41" s="19">
        <v>204.7</v>
      </c>
      <c r="R41" s="33">
        <v>183</v>
      </c>
      <c r="S41" s="19">
        <v>203.1</v>
      </c>
      <c r="T41" s="20"/>
      <c r="U41" s="36"/>
      <c r="W41" s="22">
        <v>36</v>
      </c>
      <c r="X41" s="19"/>
      <c r="Y41" s="22">
        <v>85</v>
      </c>
      <c r="Z41" s="19">
        <v>199</v>
      </c>
      <c r="AA41" s="22">
        <f t="shared" si="2"/>
        <v>134</v>
      </c>
      <c r="AB41" s="19"/>
      <c r="AC41" s="33">
        <v>183</v>
      </c>
      <c r="AD41" s="19"/>
      <c r="AE41" s="20"/>
      <c r="AF41" s="36"/>
    </row>
    <row r="42" spans="1:32" ht="15.75" x14ac:dyDescent="0.25">
      <c r="A42" s="22">
        <v>37</v>
      </c>
      <c r="B42" s="19">
        <v>200</v>
      </c>
      <c r="C42" s="22">
        <v>86</v>
      </c>
      <c r="D42" s="19">
        <v>199.5</v>
      </c>
      <c r="E42" s="22">
        <f t="shared" si="0"/>
        <v>135</v>
      </c>
      <c r="F42" s="19">
        <v>194.8</v>
      </c>
      <c r="G42" s="33">
        <v>184</v>
      </c>
      <c r="H42" s="19">
        <v>198</v>
      </c>
      <c r="I42" s="21"/>
      <c r="J42" s="36"/>
      <c r="L42" s="22">
        <v>37</v>
      </c>
      <c r="M42" s="19">
        <v>200</v>
      </c>
      <c r="N42" s="22">
        <v>86</v>
      </c>
      <c r="O42" s="19"/>
      <c r="P42" s="22">
        <f t="shared" si="1"/>
        <v>135</v>
      </c>
      <c r="Q42" s="19">
        <v>194.8</v>
      </c>
      <c r="R42" s="33">
        <v>184</v>
      </c>
      <c r="S42" s="19">
        <v>198</v>
      </c>
      <c r="T42" s="21"/>
      <c r="U42" s="36"/>
      <c r="W42" s="22">
        <v>37</v>
      </c>
      <c r="X42" s="19"/>
      <c r="Y42" s="22">
        <v>86</v>
      </c>
      <c r="Z42" s="19">
        <v>199.5</v>
      </c>
      <c r="AA42" s="22">
        <f t="shared" si="2"/>
        <v>135</v>
      </c>
      <c r="AB42" s="19"/>
      <c r="AC42" s="33">
        <v>184</v>
      </c>
      <c r="AD42" s="19"/>
      <c r="AE42" s="21"/>
      <c r="AF42" s="36"/>
    </row>
    <row r="43" spans="1:32" ht="15.75" x14ac:dyDescent="0.25">
      <c r="A43" s="22">
        <v>38</v>
      </c>
      <c r="B43" s="19">
        <v>200.9</v>
      </c>
      <c r="C43" s="22">
        <v>87</v>
      </c>
      <c r="D43" s="19">
        <v>199.3</v>
      </c>
      <c r="E43" s="22">
        <f t="shared" si="0"/>
        <v>136</v>
      </c>
      <c r="F43" s="19">
        <v>191.8</v>
      </c>
      <c r="G43" s="33">
        <v>185</v>
      </c>
      <c r="H43" s="19">
        <v>198.7</v>
      </c>
      <c r="I43" s="20"/>
      <c r="J43" s="36"/>
      <c r="L43" s="22">
        <v>38</v>
      </c>
      <c r="M43" s="19">
        <v>200.9</v>
      </c>
      <c r="N43" s="22">
        <v>87</v>
      </c>
      <c r="O43" s="19"/>
      <c r="P43" s="22">
        <f t="shared" si="1"/>
        <v>136</v>
      </c>
      <c r="Q43" s="19">
        <v>191.8</v>
      </c>
      <c r="R43" s="33">
        <v>185</v>
      </c>
      <c r="S43" s="19">
        <v>198.7</v>
      </c>
      <c r="T43" s="20"/>
      <c r="U43" s="36"/>
      <c r="W43" s="22">
        <v>38</v>
      </c>
      <c r="X43" s="19"/>
      <c r="Y43" s="22">
        <v>87</v>
      </c>
      <c r="Z43" s="19">
        <v>199.3</v>
      </c>
      <c r="AA43" s="22">
        <f t="shared" si="2"/>
        <v>136</v>
      </c>
      <c r="AB43" s="19"/>
      <c r="AC43" s="33">
        <v>185</v>
      </c>
      <c r="AD43" s="19"/>
      <c r="AE43" s="20"/>
      <c r="AF43" s="36"/>
    </row>
    <row r="44" spans="1:32" ht="15.75" x14ac:dyDescent="0.25">
      <c r="A44" s="22">
        <v>39</v>
      </c>
      <c r="B44" s="19">
        <v>206.2</v>
      </c>
      <c r="C44" s="22">
        <v>88</v>
      </c>
      <c r="D44" s="19">
        <v>194.5</v>
      </c>
      <c r="E44" s="22">
        <f t="shared" si="0"/>
        <v>137</v>
      </c>
      <c r="F44" s="19">
        <v>193.7</v>
      </c>
      <c r="G44" s="33">
        <v>186</v>
      </c>
      <c r="H44" s="19">
        <v>196.5</v>
      </c>
      <c r="I44" s="20"/>
      <c r="J44" s="36"/>
      <c r="L44" s="22">
        <v>39</v>
      </c>
      <c r="M44" s="19">
        <v>206.2</v>
      </c>
      <c r="N44" s="22">
        <v>88</v>
      </c>
      <c r="O44" s="19"/>
      <c r="P44" s="22">
        <f t="shared" si="1"/>
        <v>137</v>
      </c>
      <c r="Q44" s="19">
        <v>193.7</v>
      </c>
      <c r="R44" s="33">
        <v>186</v>
      </c>
      <c r="S44" s="19">
        <v>196.5</v>
      </c>
      <c r="T44" s="20"/>
      <c r="U44" s="36"/>
      <c r="W44" s="22">
        <v>39</v>
      </c>
      <c r="X44" s="19"/>
      <c r="Y44" s="22">
        <v>88</v>
      </c>
      <c r="Z44" s="19">
        <v>194.5</v>
      </c>
      <c r="AA44" s="22">
        <f t="shared" si="2"/>
        <v>137</v>
      </c>
      <c r="AB44" s="19"/>
      <c r="AC44" s="33">
        <v>186</v>
      </c>
      <c r="AD44" s="19"/>
      <c r="AE44" s="20"/>
      <c r="AF44" s="36"/>
    </row>
    <row r="45" spans="1:32" ht="15.75" x14ac:dyDescent="0.25">
      <c r="A45" s="22">
        <v>40</v>
      </c>
      <c r="B45" s="19">
        <v>183.1</v>
      </c>
      <c r="C45" s="22">
        <v>89</v>
      </c>
      <c r="D45" s="19">
        <v>199.4</v>
      </c>
      <c r="E45" s="22">
        <f t="shared" si="0"/>
        <v>138</v>
      </c>
      <c r="F45" s="19">
        <v>198.4</v>
      </c>
      <c r="G45" s="33">
        <v>187</v>
      </c>
      <c r="H45" s="19">
        <v>200.4</v>
      </c>
      <c r="I45" s="21"/>
      <c r="J45" s="36"/>
      <c r="L45" s="22">
        <v>40</v>
      </c>
      <c r="M45" s="19">
        <v>183.1</v>
      </c>
      <c r="N45" s="22">
        <v>89</v>
      </c>
      <c r="O45" s="19"/>
      <c r="P45" s="22">
        <f t="shared" si="1"/>
        <v>138</v>
      </c>
      <c r="Q45" s="19">
        <v>198.4</v>
      </c>
      <c r="R45" s="33">
        <v>187</v>
      </c>
      <c r="S45" s="19">
        <v>200.4</v>
      </c>
      <c r="T45" s="21"/>
      <c r="U45" s="36"/>
      <c r="W45" s="22">
        <v>40</v>
      </c>
      <c r="X45" s="19"/>
      <c r="Y45" s="22">
        <v>89</v>
      </c>
      <c r="Z45" s="19">
        <v>199.4</v>
      </c>
      <c r="AA45" s="22">
        <f t="shared" si="2"/>
        <v>138</v>
      </c>
      <c r="AB45" s="19"/>
      <c r="AC45" s="33">
        <v>187</v>
      </c>
      <c r="AD45" s="19"/>
      <c r="AE45" s="21"/>
      <c r="AF45" s="36"/>
    </row>
    <row r="46" spans="1:32" ht="15.75" x14ac:dyDescent="0.25">
      <c r="A46" s="22">
        <v>41</v>
      </c>
      <c r="B46" s="19">
        <v>202.9</v>
      </c>
      <c r="C46" s="22">
        <v>90</v>
      </c>
      <c r="D46" s="19">
        <v>196.5</v>
      </c>
      <c r="E46" s="22">
        <f t="shared" si="0"/>
        <v>139</v>
      </c>
      <c r="F46" s="19">
        <v>197</v>
      </c>
      <c r="G46" s="33">
        <v>188</v>
      </c>
      <c r="H46" s="19">
        <v>207.9</v>
      </c>
      <c r="I46" s="20"/>
      <c r="J46" s="36"/>
      <c r="L46" s="22">
        <v>41</v>
      </c>
      <c r="M46" s="19">
        <v>202.9</v>
      </c>
      <c r="N46" s="22">
        <v>90</v>
      </c>
      <c r="O46" s="19"/>
      <c r="P46" s="22">
        <f t="shared" si="1"/>
        <v>139</v>
      </c>
      <c r="Q46" s="19">
        <v>197</v>
      </c>
      <c r="R46" s="33">
        <v>188</v>
      </c>
      <c r="S46" s="19">
        <v>207.9</v>
      </c>
      <c r="T46" s="20"/>
      <c r="U46" s="36"/>
      <c r="W46" s="22">
        <v>41</v>
      </c>
      <c r="X46" s="19"/>
      <c r="Y46" s="22">
        <v>90</v>
      </c>
      <c r="Z46" s="19">
        <v>196.5</v>
      </c>
      <c r="AA46" s="22">
        <f t="shared" si="2"/>
        <v>139</v>
      </c>
      <c r="AB46" s="19"/>
      <c r="AC46" s="33">
        <v>188</v>
      </c>
      <c r="AD46" s="19"/>
      <c r="AE46" s="20"/>
      <c r="AF46" s="36"/>
    </row>
    <row r="47" spans="1:32" ht="15.75" x14ac:dyDescent="0.25">
      <c r="A47" s="22">
        <v>42</v>
      </c>
      <c r="B47" s="19">
        <v>204.2</v>
      </c>
      <c r="C47" s="22">
        <v>91</v>
      </c>
      <c r="D47" s="19">
        <v>213.9</v>
      </c>
      <c r="E47" s="22">
        <f t="shared" si="0"/>
        <v>140</v>
      </c>
      <c r="F47" s="19">
        <v>198.8</v>
      </c>
      <c r="G47" s="33">
        <v>189</v>
      </c>
      <c r="H47" s="19">
        <v>205</v>
      </c>
      <c r="I47" s="20"/>
      <c r="J47" s="36"/>
      <c r="L47" s="22">
        <v>42</v>
      </c>
      <c r="M47" s="19">
        <v>204.2</v>
      </c>
      <c r="N47" s="22">
        <v>91</v>
      </c>
      <c r="O47" s="19"/>
      <c r="P47" s="22">
        <f t="shared" si="1"/>
        <v>140</v>
      </c>
      <c r="Q47" s="19">
        <v>198.8</v>
      </c>
      <c r="R47" s="33">
        <v>189</v>
      </c>
      <c r="S47" s="19">
        <v>205</v>
      </c>
      <c r="T47" s="20"/>
      <c r="U47" s="36"/>
      <c r="W47" s="22">
        <v>42</v>
      </c>
      <c r="X47" s="19"/>
      <c r="Y47" s="22">
        <v>91</v>
      </c>
      <c r="Z47" s="19">
        <v>213.9</v>
      </c>
      <c r="AA47" s="22">
        <f t="shared" si="2"/>
        <v>140</v>
      </c>
      <c r="AB47" s="19"/>
      <c r="AC47" s="33">
        <v>189</v>
      </c>
      <c r="AD47" s="19"/>
      <c r="AE47" s="20"/>
      <c r="AF47" s="36"/>
    </row>
    <row r="48" spans="1:32" ht="15.75" x14ac:dyDescent="0.25">
      <c r="A48" s="22">
        <v>43</v>
      </c>
      <c r="B48" s="19">
        <v>202.1</v>
      </c>
      <c r="C48" s="22">
        <v>92</v>
      </c>
      <c r="D48" s="19">
        <v>217.7</v>
      </c>
      <c r="E48" s="22">
        <f t="shared" si="0"/>
        <v>141</v>
      </c>
      <c r="F48" s="19">
        <v>198.5</v>
      </c>
      <c r="G48" s="33">
        <v>190</v>
      </c>
      <c r="H48" s="19">
        <v>194.1</v>
      </c>
      <c r="I48" s="21"/>
      <c r="J48" s="36"/>
      <c r="L48" s="22">
        <v>43</v>
      </c>
      <c r="M48" s="19">
        <v>202.1</v>
      </c>
      <c r="N48" s="22">
        <v>92</v>
      </c>
      <c r="O48" s="19"/>
      <c r="P48" s="22">
        <f t="shared" si="1"/>
        <v>141</v>
      </c>
      <c r="Q48" s="19">
        <v>198.5</v>
      </c>
      <c r="R48" s="33">
        <v>190</v>
      </c>
      <c r="S48" s="19"/>
      <c r="T48" s="21"/>
      <c r="U48" s="36"/>
      <c r="W48" s="22">
        <v>43</v>
      </c>
      <c r="X48" s="19"/>
      <c r="Y48" s="22">
        <v>92</v>
      </c>
      <c r="Z48" s="19">
        <v>217.7</v>
      </c>
      <c r="AA48" s="22">
        <f t="shared" si="2"/>
        <v>141</v>
      </c>
      <c r="AB48" s="19"/>
      <c r="AC48" s="33">
        <v>190</v>
      </c>
      <c r="AD48" s="19">
        <v>194.1</v>
      </c>
      <c r="AE48" s="21"/>
      <c r="AF48" s="36"/>
    </row>
    <row r="49" spans="1:32" ht="15.75" x14ac:dyDescent="0.25">
      <c r="A49" s="22">
        <v>44</v>
      </c>
      <c r="B49" s="19">
        <v>203</v>
      </c>
      <c r="C49" s="22">
        <v>93</v>
      </c>
      <c r="D49" s="19">
        <v>206</v>
      </c>
      <c r="E49" s="22">
        <f t="shared" si="0"/>
        <v>142</v>
      </c>
      <c r="F49" s="19">
        <v>206.4</v>
      </c>
      <c r="G49" s="33">
        <v>191</v>
      </c>
      <c r="H49" s="19">
        <v>196.4</v>
      </c>
      <c r="I49" s="21"/>
      <c r="J49" s="36"/>
      <c r="L49" s="22">
        <v>44</v>
      </c>
      <c r="M49" s="19">
        <v>203</v>
      </c>
      <c r="N49" s="22">
        <v>93</v>
      </c>
      <c r="O49" s="19"/>
      <c r="P49" s="22">
        <f t="shared" si="1"/>
        <v>142</v>
      </c>
      <c r="Q49" s="19">
        <v>206.4</v>
      </c>
      <c r="R49" s="33">
        <v>191</v>
      </c>
      <c r="S49" s="19"/>
      <c r="T49" s="21"/>
      <c r="U49" s="36"/>
      <c r="W49" s="22">
        <v>44</v>
      </c>
      <c r="X49" s="19"/>
      <c r="Y49" s="22">
        <v>93</v>
      </c>
      <c r="Z49" s="19">
        <v>206</v>
      </c>
      <c r="AA49" s="22">
        <f t="shared" si="2"/>
        <v>142</v>
      </c>
      <c r="AB49" s="19"/>
      <c r="AC49" s="33">
        <v>191</v>
      </c>
      <c r="AD49" s="19">
        <v>196.4</v>
      </c>
      <c r="AE49" s="21"/>
      <c r="AF49" s="36"/>
    </row>
    <row r="50" spans="1:32" ht="15.75" x14ac:dyDescent="0.25">
      <c r="A50" s="22">
        <v>45</v>
      </c>
      <c r="B50" s="19">
        <v>196.1</v>
      </c>
      <c r="C50" s="22">
        <v>94</v>
      </c>
      <c r="D50" s="19">
        <v>209.1</v>
      </c>
      <c r="E50" s="22">
        <f t="shared" si="0"/>
        <v>143</v>
      </c>
      <c r="F50" s="19">
        <v>198.9</v>
      </c>
      <c r="G50" s="33">
        <v>192</v>
      </c>
      <c r="H50" s="19">
        <v>197.1</v>
      </c>
      <c r="I50" s="20"/>
      <c r="J50" s="36"/>
      <c r="L50" s="22">
        <v>45</v>
      </c>
      <c r="M50" s="19">
        <v>196.1</v>
      </c>
      <c r="N50" s="22">
        <v>94</v>
      </c>
      <c r="O50" s="19"/>
      <c r="P50" s="22">
        <f t="shared" si="1"/>
        <v>143</v>
      </c>
      <c r="Q50" s="19">
        <v>198.9</v>
      </c>
      <c r="R50" s="33">
        <v>192</v>
      </c>
      <c r="S50" s="19"/>
      <c r="T50" s="20"/>
      <c r="U50" s="36"/>
      <c r="W50" s="22">
        <v>45</v>
      </c>
      <c r="X50" s="19"/>
      <c r="Y50" s="22">
        <v>94</v>
      </c>
      <c r="Z50" s="19">
        <v>209.1</v>
      </c>
      <c r="AA50" s="22">
        <f t="shared" si="2"/>
        <v>143</v>
      </c>
      <c r="AB50" s="19"/>
      <c r="AC50" s="33">
        <v>192</v>
      </c>
      <c r="AD50" s="19">
        <v>197.1</v>
      </c>
      <c r="AE50" s="20"/>
      <c r="AF50" s="36"/>
    </row>
    <row r="51" spans="1:32" ht="15.75" x14ac:dyDescent="0.25">
      <c r="A51" s="22">
        <v>46</v>
      </c>
      <c r="B51" s="19">
        <v>204.1</v>
      </c>
      <c r="C51" s="22">
        <v>95</v>
      </c>
      <c r="D51" s="19">
        <v>200.7</v>
      </c>
      <c r="E51" s="22">
        <f t="shared" si="0"/>
        <v>144</v>
      </c>
      <c r="F51" s="19">
        <v>157.9</v>
      </c>
      <c r="G51" s="33">
        <v>193</v>
      </c>
      <c r="H51" s="19">
        <v>198.7</v>
      </c>
      <c r="I51" s="20"/>
      <c r="J51" s="36"/>
      <c r="L51" s="22">
        <v>46</v>
      </c>
      <c r="M51" s="19">
        <v>204.1</v>
      </c>
      <c r="N51" s="22">
        <v>95</v>
      </c>
      <c r="O51" s="19"/>
      <c r="P51" s="22">
        <f t="shared" si="1"/>
        <v>144</v>
      </c>
      <c r="Q51" s="19">
        <v>157.9</v>
      </c>
      <c r="R51" s="33">
        <v>193</v>
      </c>
      <c r="S51" s="19"/>
      <c r="T51" s="20"/>
      <c r="U51" s="36"/>
      <c r="W51" s="22">
        <v>46</v>
      </c>
      <c r="X51" s="19"/>
      <c r="Y51" s="22">
        <v>95</v>
      </c>
      <c r="Z51" s="19">
        <v>200.7</v>
      </c>
      <c r="AA51" s="22">
        <f t="shared" si="2"/>
        <v>144</v>
      </c>
      <c r="AB51" s="19"/>
      <c r="AC51" s="33">
        <v>193</v>
      </c>
      <c r="AD51" s="19">
        <v>198.7</v>
      </c>
      <c r="AE51" s="20"/>
      <c r="AF51" s="36"/>
    </row>
    <row r="52" spans="1:32" ht="15.75" x14ac:dyDescent="0.25">
      <c r="A52" s="22">
        <v>47</v>
      </c>
      <c r="B52" s="19">
        <v>200.9</v>
      </c>
      <c r="C52" s="22">
        <v>96</v>
      </c>
      <c r="D52" s="19">
        <v>208.5</v>
      </c>
      <c r="E52" s="22">
        <f t="shared" si="0"/>
        <v>145</v>
      </c>
      <c r="F52" s="19">
        <v>203.9</v>
      </c>
      <c r="G52" s="33">
        <v>194</v>
      </c>
      <c r="H52" s="19">
        <v>193.6</v>
      </c>
      <c r="I52" s="21"/>
      <c r="J52" s="36"/>
      <c r="L52" s="22">
        <v>47</v>
      </c>
      <c r="M52" s="19">
        <v>200.9</v>
      </c>
      <c r="N52" s="22">
        <v>96</v>
      </c>
      <c r="O52" s="19"/>
      <c r="P52" s="22">
        <f t="shared" si="1"/>
        <v>145</v>
      </c>
      <c r="Q52" s="19">
        <v>203.9</v>
      </c>
      <c r="R52" s="33">
        <v>194</v>
      </c>
      <c r="S52" s="19"/>
      <c r="T52" s="21"/>
      <c r="U52" s="36"/>
      <c r="W52" s="22">
        <v>47</v>
      </c>
      <c r="X52" s="19"/>
      <c r="Y52" s="22">
        <v>96</v>
      </c>
      <c r="Z52" s="19">
        <v>208.5</v>
      </c>
      <c r="AA52" s="22">
        <f t="shared" si="2"/>
        <v>145</v>
      </c>
      <c r="AB52" s="19"/>
      <c r="AC52" s="33">
        <v>194</v>
      </c>
      <c r="AD52" s="19">
        <v>193.6</v>
      </c>
      <c r="AE52" s="21"/>
      <c r="AF52" s="36"/>
    </row>
    <row r="53" spans="1:32" ht="15.75" x14ac:dyDescent="0.25">
      <c r="A53" s="22">
        <v>48</v>
      </c>
      <c r="B53" s="19">
        <v>207</v>
      </c>
      <c r="C53" s="22">
        <v>97</v>
      </c>
      <c r="D53" s="19">
        <v>205.3</v>
      </c>
      <c r="E53" s="22">
        <f t="shared" si="0"/>
        <v>146</v>
      </c>
      <c r="F53" s="19">
        <v>205.6</v>
      </c>
      <c r="G53" s="33">
        <v>195</v>
      </c>
      <c r="H53" s="19">
        <v>198</v>
      </c>
      <c r="I53" s="20"/>
      <c r="J53" s="36"/>
      <c r="L53" s="22">
        <v>48</v>
      </c>
      <c r="M53" s="19">
        <v>207</v>
      </c>
      <c r="N53" s="22">
        <v>97</v>
      </c>
      <c r="O53" s="19"/>
      <c r="P53" s="22">
        <f t="shared" si="1"/>
        <v>146</v>
      </c>
      <c r="Q53" s="19">
        <v>205.6</v>
      </c>
      <c r="R53" s="33">
        <v>195</v>
      </c>
      <c r="S53" s="19"/>
      <c r="T53" s="20"/>
      <c r="U53" s="36"/>
      <c r="W53" s="22">
        <v>48</v>
      </c>
      <c r="X53" s="19"/>
      <c r="Y53" s="22">
        <v>97</v>
      </c>
      <c r="Z53" s="19">
        <v>205.3</v>
      </c>
      <c r="AA53" s="22">
        <f t="shared" si="2"/>
        <v>146</v>
      </c>
      <c r="AB53" s="19"/>
      <c r="AC53" s="33">
        <v>195</v>
      </c>
      <c r="AD53" s="19">
        <v>198</v>
      </c>
      <c r="AE53" s="20"/>
      <c r="AF53" s="36"/>
    </row>
    <row r="54" spans="1:32" ht="15.75" x14ac:dyDescent="0.25">
      <c r="A54" s="37">
        <v>49</v>
      </c>
      <c r="B54" s="19">
        <v>200.7</v>
      </c>
      <c r="C54" s="37">
        <v>98</v>
      </c>
      <c r="D54" s="19">
        <v>210.9</v>
      </c>
      <c r="E54" s="22">
        <f t="shared" si="0"/>
        <v>147</v>
      </c>
      <c r="F54" s="19">
        <v>203.4</v>
      </c>
      <c r="G54" s="38">
        <v>196</v>
      </c>
      <c r="H54" s="19">
        <v>200</v>
      </c>
      <c r="I54" s="39"/>
      <c r="J54" s="40"/>
      <c r="L54" s="37">
        <v>49</v>
      </c>
      <c r="M54" s="19">
        <v>200.7</v>
      </c>
      <c r="N54" s="37">
        <v>98</v>
      </c>
      <c r="O54" s="19"/>
      <c r="P54" s="22">
        <f t="shared" si="1"/>
        <v>147</v>
      </c>
      <c r="Q54" s="19">
        <v>203.4</v>
      </c>
      <c r="R54" s="38">
        <v>196</v>
      </c>
      <c r="S54" s="19"/>
      <c r="T54" s="39"/>
      <c r="U54" s="40"/>
      <c r="W54" s="37">
        <v>49</v>
      </c>
      <c r="X54" s="19"/>
      <c r="Y54" s="37">
        <v>98</v>
      </c>
      <c r="Z54" s="19">
        <v>210.9</v>
      </c>
      <c r="AA54" s="22">
        <f t="shared" si="2"/>
        <v>147</v>
      </c>
      <c r="AB54" s="19"/>
      <c r="AC54" s="38">
        <v>196</v>
      </c>
      <c r="AD54" s="19">
        <v>200</v>
      </c>
      <c r="AE54" s="39"/>
      <c r="AF54" s="40"/>
    </row>
    <row r="55" spans="1:32" ht="15.75" x14ac:dyDescent="0.25">
      <c r="A55" s="41"/>
      <c r="B55" s="23">
        <f>SUM(B6:B54)</f>
        <v>9824</v>
      </c>
      <c r="C55" s="23"/>
      <c r="D55" s="23">
        <f>SUM(D6:D54)</f>
        <v>9936.4</v>
      </c>
      <c r="E55" s="23"/>
      <c r="F55" s="23">
        <f>SUM(F6:F54)</f>
        <v>9916.9999999999982</v>
      </c>
      <c r="G55" s="23"/>
      <c r="H55" s="23">
        <f>SUM(H6:H54)</f>
        <v>9827.2000000000025</v>
      </c>
      <c r="I55" s="41"/>
      <c r="J55" s="41">
        <f>SUM(J6:J54)</f>
        <v>4808.2</v>
      </c>
      <c r="L55" s="41"/>
      <c r="M55" s="23">
        <f>SUM(M6:M54)</f>
        <v>9824</v>
      </c>
      <c r="N55" s="23"/>
      <c r="O55" s="23">
        <f>SUM(O6:O54)</f>
        <v>2264.1000000000004</v>
      </c>
      <c r="P55" s="23"/>
      <c r="Q55" s="23">
        <f>SUM(Q6:Q54)</f>
        <v>7419.8999999999987</v>
      </c>
      <c r="R55" s="23"/>
      <c r="S55" s="23">
        <f>SUM(S6:S54)</f>
        <v>8449.3000000000011</v>
      </c>
      <c r="T55" s="41"/>
      <c r="U55" s="41">
        <f>SUM(U6:U54)</f>
        <v>0</v>
      </c>
      <c r="W55" s="41"/>
      <c r="X55" s="23">
        <f>SUM(X6:X54)</f>
        <v>0</v>
      </c>
      <c r="Y55" s="23"/>
      <c r="Z55" s="23">
        <f>SUM(Z6:Z54)</f>
        <v>7672.2999999999984</v>
      </c>
      <c r="AA55" s="23"/>
      <c r="AB55" s="23">
        <f>SUM(AB6:AB54)</f>
        <v>2497.1000000000004</v>
      </c>
      <c r="AC55" s="23"/>
      <c r="AD55" s="23">
        <f>SUM(AD6:AD54)</f>
        <v>1377.9</v>
      </c>
      <c r="AE55" s="41"/>
      <c r="AF55" s="41">
        <f>SUM(AF6:AF54)</f>
        <v>4808.2</v>
      </c>
    </row>
    <row r="56" spans="1:32" ht="15.75" x14ac:dyDescent="0.25">
      <c r="A56" s="42" t="s">
        <v>5</v>
      </c>
      <c r="B56" s="43">
        <f>COUNT(B6:B54,D6:D54,F6:F54,H6:H54,J6:J54)</f>
        <v>220</v>
      </c>
      <c r="C56" s="13" t="s">
        <v>6</v>
      </c>
      <c r="D56" s="44"/>
      <c r="E56" s="45">
        <f>B55+D55+F55+H55+J55</f>
        <v>44312.800000000003</v>
      </c>
      <c r="F56" s="24" t="s">
        <v>7</v>
      </c>
      <c r="G56" s="1">
        <f>B56*2.2</f>
        <v>484.00000000000006</v>
      </c>
      <c r="H56" s="13" t="s">
        <v>8</v>
      </c>
      <c r="I56" s="44"/>
      <c r="J56" s="45">
        <f>E56-G56</f>
        <v>43828.800000000003</v>
      </c>
      <c r="L56" s="42" t="s">
        <v>5</v>
      </c>
      <c r="M56" s="43">
        <f>COUNT(M6:M54,O6:O54,Q6:Q54,S6:S54,U6:U54)</f>
        <v>139</v>
      </c>
      <c r="N56" s="13" t="s">
        <v>6</v>
      </c>
      <c r="O56" s="44"/>
      <c r="P56" s="45">
        <f>M55+O55+Q55+S55+U55</f>
        <v>27957.300000000003</v>
      </c>
      <c r="Q56" s="24" t="s">
        <v>7</v>
      </c>
      <c r="R56" s="1">
        <f>M56*2.2</f>
        <v>305.8</v>
      </c>
      <c r="S56" s="13" t="s">
        <v>8</v>
      </c>
      <c r="T56" s="44"/>
      <c r="U56" s="45">
        <f>P56-R56</f>
        <v>27651.500000000004</v>
      </c>
      <c r="W56" s="42" t="s">
        <v>5</v>
      </c>
      <c r="X56" s="43">
        <f>COUNT(X6:X54,Z6:Z54,AB6:AB54,AD6:AD54,AF6:AF54)</f>
        <v>81</v>
      </c>
      <c r="Y56" s="13" t="s">
        <v>6</v>
      </c>
      <c r="Z56" s="44"/>
      <c r="AA56" s="45">
        <f>X55+Z55+AB55+AD55+AF55</f>
        <v>16355.499999999996</v>
      </c>
      <c r="AB56" s="24" t="s">
        <v>7</v>
      </c>
      <c r="AC56" s="1">
        <f>X56*2.2</f>
        <v>178.20000000000002</v>
      </c>
      <c r="AD56" s="13" t="s">
        <v>8</v>
      </c>
      <c r="AE56" s="44"/>
      <c r="AF56" s="45">
        <f>AA56-AC56</f>
        <v>16177.299999999996</v>
      </c>
    </row>
    <row r="57" spans="1:32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  <c r="L57" s="42" t="s">
        <v>9</v>
      </c>
      <c r="M57" s="25"/>
      <c r="N57" s="46"/>
      <c r="O57" s="44"/>
      <c r="P57" s="47"/>
      <c r="Q57" s="25"/>
      <c r="R57" s="48"/>
      <c r="S57" s="46"/>
      <c r="T57" s="44"/>
      <c r="U57" s="49"/>
      <c r="W57" s="42" t="s">
        <v>9</v>
      </c>
      <c r="X57" s="25"/>
      <c r="Y57" s="46"/>
      <c r="Z57" s="44"/>
      <c r="AA57" s="47"/>
      <c r="AB57" s="25"/>
      <c r="AC57" s="48"/>
      <c r="AD57" s="46"/>
      <c r="AE57" s="44"/>
      <c r="AF57" s="49"/>
    </row>
    <row r="58" spans="1:32" x14ac:dyDescent="0.25">
      <c r="B58">
        <f>M56+X56</f>
        <v>220</v>
      </c>
      <c r="E58" s="80">
        <f>P56+AA56</f>
        <v>44312.800000000003</v>
      </c>
      <c r="J58" s="80">
        <f>U56+AF56</f>
        <v>43828.800000000003</v>
      </c>
    </row>
    <row r="59" spans="1:32" x14ac:dyDescent="0.25">
      <c r="F59" s="112" t="s">
        <v>61</v>
      </c>
      <c r="G59" s="112">
        <v>2.2000000000000002</v>
      </c>
      <c r="Q59" s="112" t="s">
        <v>61</v>
      </c>
      <c r="R59" s="112">
        <v>2.2000000000000002</v>
      </c>
      <c r="AB59" s="112" t="s">
        <v>61</v>
      </c>
      <c r="AC59" s="112">
        <v>2.2000000000000002</v>
      </c>
    </row>
  </sheetData>
  <protectedRanges>
    <protectedRange password="CCE1" sqref="C6:C54 G6:G54 E6:E54 I6:I29 N6:N54 R6:R54 P6:P54 T6:T29 Y6:Y54 AC6:AC54 AA6:AA54 AE6:AE29" name="Диапазон1_3_1_7_2_1_1_1_1_1_1_1"/>
  </protectedRanges>
  <mergeCells count="6">
    <mergeCell ref="A1:J1"/>
    <mergeCell ref="I4:J4"/>
    <mergeCell ref="L1:U1"/>
    <mergeCell ref="T4:U4"/>
    <mergeCell ref="W1:AF1"/>
    <mergeCell ref="AE4:AF4"/>
  </mergeCells>
  <pageMargins left="0.7" right="0.7" top="0.75" bottom="0.75" header="0.3" footer="0.3"/>
  <pageSetup paperSize="9" scale="83" orientation="portrait" verticalDpi="0" r:id="rId1"/>
  <rowBreaks count="1" manualBreakCount="1">
    <brk id="57" max="16383" man="1"/>
  </rowBreaks>
  <colBreaks count="2" manualBreakCount="2">
    <brk id="10" max="56" man="1"/>
    <brk id="21" max="56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9"/>
  <sheetViews>
    <sheetView zoomScaleNormal="100" workbookViewId="0">
      <selection activeCell="T5" sqref="T5"/>
    </sheetView>
  </sheetViews>
  <sheetFormatPr defaultRowHeight="15" x14ac:dyDescent="0.25"/>
  <cols>
    <col min="11" max="11" width="3.140625" customWidth="1"/>
  </cols>
  <sheetData>
    <row r="1" spans="1:21" ht="18.75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L1" s="204" t="s">
        <v>0</v>
      </c>
      <c r="M1" s="204"/>
      <c r="N1" s="204"/>
      <c r="O1" s="204"/>
      <c r="P1" s="204"/>
      <c r="Q1" s="204"/>
      <c r="R1" s="204"/>
      <c r="S1" s="204"/>
      <c r="T1" s="204"/>
      <c r="U1" s="204"/>
    </row>
    <row r="2" spans="1:21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  <c r="L2" s="13" t="s">
        <v>1</v>
      </c>
      <c r="M2" s="13"/>
      <c r="N2" s="13"/>
      <c r="O2" s="13"/>
      <c r="P2" s="13"/>
      <c r="Q2" s="13"/>
      <c r="R2" s="27"/>
      <c r="S2" s="13"/>
      <c r="T2" s="13"/>
      <c r="U2" s="13"/>
    </row>
    <row r="3" spans="1:21" ht="15.75" x14ac:dyDescent="0.25">
      <c r="A3" s="25" t="s">
        <v>2</v>
      </c>
      <c r="B3" s="27">
        <v>221</v>
      </c>
      <c r="C3" s="14"/>
      <c r="D3" s="15"/>
      <c r="E3" s="16"/>
      <c r="F3" s="16"/>
      <c r="G3" s="16"/>
      <c r="H3" s="16"/>
      <c r="I3" s="16" t="s">
        <v>33</v>
      </c>
      <c r="J3" s="16"/>
      <c r="L3" s="25" t="s">
        <v>2</v>
      </c>
      <c r="M3" s="27">
        <v>221</v>
      </c>
      <c r="N3" s="14"/>
      <c r="O3" s="15"/>
      <c r="P3" s="16"/>
      <c r="Q3" s="16"/>
      <c r="R3" s="16"/>
      <c r="S3" s="16"/>
      <c r="T3" s="16" t="s">
        <v>33</v>
      </c>
      <c r="U3" s="16"/>
    </row>
    <row r="4" spans="1:21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  <c r="L4" s="17"/>
      <c r="M4" s="17"/>
      <c r="N4" s="17"/>
      <c r="O4" s="17"/>
      <c r="P4" s="17"/>
      <c r="Q4" s="17"/>
      <c r="R4" s="17"/>
      <c r="S4" s="28"/>
      <c r="T4" s="205" t="s">
        <v>48</v>
      </c>
      <c r="U4" s="206"/>
    </row>
    <row r="5" spans="1:21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  <c r="L5" s="29" t="s">
        <v>3</v>
      </c>
      <c r="M5" s="18" t="s">
        <v>4</v>
      </c>
      <c r="N5" s="29" t="s">
        <v>3</v>
      </c>
      <c r="O5" s="18" t="s">
        <v>4</v>
      </c>
      <c r="P5" s="29" t="s">
        <v>3</v>
      </c>
      <c r="Q5" s="18" t="s">
        <v>4</v>
      </c>
      <c r="R5" s="29" t="s">
        <v>3</v>
      </c>
      <c r="S5" s="30" t="s">
        <v>4</v>
      </c>
      <c r="T5" s="31" t="s">
        <v>3</v>
      </c>
      <c r="U5" s="32" t="s">
        <v>4</v>
      </c>
    </row>
    <row r="6" spans="1:21" ht="15.75" x14ac:dyDescent="0.25">
      <c r="A6" s="22">
        <v>1</v>
      </c>
      <c r="B6" s="19">
        <v>212</v>
      </c>
      <c r="C6" s="22">
        <v>50</v>
      </c>
      <c r="D6" s="19">
        <v>184.5</v>
      </c>
      <c r="E6" s="22">
        <v>99</v>
      </c>
      <c r="F6" s="19">
        <v>205.5</v>
      </c>
      <c r="G6" s="33">
        <v>148</v>
      </c>
      <c r="H6" s="19">
        <v>213.2</v>
      </c>
      <c r="I6" s="34">
        <v>197</v>
      </c>
      <c r="J6" s="19"/>
      <c r="L6" s="22">
        <v>1</v>
      </c>
      <c r="M6" s="19">
        <v>212</v>
      </c>
      <c r="N6" s="22">
        <v>50</v>
      </c>
      <c r="O6" s="19">
        <v>184.5</v>
      </c>
      <c r="P6" s="22">
        <v>99</v>
      </c>
      <c r="Q6" s="19">
        <v>205.5</v>
      </c>
      <c r="R6" s="33">
        <v>148</v>
      </c>
      <c r="S6" s="19">
        <v>213.2</v>
      </c>
      <c r="T6" s="34">
        <v>197</v>
      </c>
      <c r="U6" s="19"/>
    </row>
    <row r="7" spans="1:21" ht="15.75" x14ac:dyDescent="0.25">
      <c r="A7" s="22">
        <v>2</v>
      </c>
      <c r="B7" s="19">
        <v>196.4</v>
      </c>
      <c r="C7" s="22">
        <v>51</v>
      </c>
      <c r="D7" s="19">
        <v>196.5</v>
      </c>
      <c r="E7" s="22">
        <v>100</v>
      </c>
      <c r="F7" s="19">
        <v>203</v>
      </c>
      <c r="G7" s="33">
        <v>149</v>
      </c>
      <c r="H7" s="19">
        <v>189.1</v>
      </c>
      <c r="I7" s="33">
        <v>198</v>
      </c>
      <c r="J7" s="19"/>
      <c r="L7" s="22">
        <v>2</v>
      </c>
      <c r="M7" s="19">
        <v>196.4</v>
      </c>
      <c r="N7" s="22">
        <v>51</v>
      </c>
      <c r="O7" s="19">
        <v>196.5</v>
      </c>
      <c r="P7" s="22">
        <v>100</v>
      </c>
      <c r="Q7" s="19">
        <v>203</v>
      </c>
      <c r="R7" s="33">
        <v>149</v>
      </c>
      <c r="S7" s="19">
        <v>189.1</v>
      </c>
      <c r="T7" s="33">
        <v>198</v>
      </c>
      <c r="U7" s="19"/>
    </row>
    <row r="8" spans="1:21" ht="15.75" x14ac:dyDescent="0.25">
      <c r="A8" s="22">
        <v>3</v>
      </c>
      <c r="B8" s="19">
        <v>218.9</v>
      </c>
      <c r="C8" s="22">
        <v>52</v>
      </c>
      <c r="D8" s="19">
        <v>196.9</v>
      </c>
      <c r="E8" s="22">
        <f t="shared" ref="E8:E54" si="0">+E7+1</f>
        <v>101</v>
      </c>
      <c r="F8" s="19">
        <v>190.2</v>
      </c>
      <c r="G8" s="33">
        <v>150</v>
      </c>
      <c r="H8" s="19">
        <v>209.9</v>
      </c>
      <c r="I8" s="33">
        <v>199</v>
      </c>
      <c r="J8" s="19"/>
      <c r="L8" s="22">
        <v>3</v>
      </c>
      <c r="M8" s="19">
        <v>218.9</v>
      </c>
      <c r="N8" s="22">
        <v>52</v>
      </c>
      <c r="O8" s="19">
        <v>196.9</v>
      </c>
      <c r="P8" s="22">
        <f t="shared" ref="P8:P54" si="1">+P7+1</f>
        <v>101</v>
      </c>
      <c r="Q8" s="19">
        <v>190.2</v>
      </c>
      <c r="R8" s="33">
        <v>150</v>
      </c>
      <c r="S8" s="19">
        <v>209.9</v>
      </c>
      <c r="T8" s="33">
        <v>199</v>
      </c>
      <c r="U8" s="19"/>
    </row>
    <row r="9" spans="1:21" ht="15.75" x14ac:dyDescent="0.25">
      <c r="A9" s="22">
        <v>4</v>
      </c>
      <c r="B9" s="19">
        <v>199</v>
      </c>
      <c r="C9" s="22">
        <v>53</v>
      </c>
      <c r="D9" s="19">
        <v>192.7</v>
      </c>
      <c r="E9" s="22">
        <f t="shared" si="0"/>
        <v>102</v>
      </c>
      <c r="F9" s="19">
        <v>204.4</v>
      </c>
      <c r="G9" s="33">
        <v>151</v>
      </c>
      <c r="H9" s="19">
        <v>184.5</v>
      </c>
      <c r="I9" s="33">
        <v>200</v>
      </c>
      <c r="J9" s="19"/>
      <c r="L9" s="22">
        <v>4</v>
      </c>
      <c r="M9" s="19">
        <v>199</v>
      </c>
      <c r="N9" s="22">
        <v>53</v>
      </c>
      <c r="O9" s="19">
        <v>192.7</v>
      </c>
      <c r="P9" s="22">
        <f t="shared" si="1"/>
        <v>102</v>
      </c>
      <c r="Q9" s="19">
        <v>204.4</v>
      </c>
      <c r="R9" s="33">
        <v>151</v>
      </c>
      <c r="S9" s="19">
        <v>184.5</v>
      </c>
      <c r="T9" s="33">
        <v>200</v>
      </c>
      <c r="U9" s="19"/>
    </row>
    <row r="10" spans="1:21" ht="15.75" x14ac:dyDescent="0.25">
      <c r="A10" s="22">
        <v>5</v>
      </c>
      <c r="B10" s="19">
        <v>194.2</v>
      </c>
      <c r="C10" s="22">
        <v>54</v>
      </c>
      <c r="D10" s="19">
        <v>202.1</v>
      </c>
      <c r="E10" s="22">
        <f t="shared" si="0"/>
        <v>103</v>
      </c>
      <c r="F10" s="19">
        <v>178.2</v>
      </c>
      <c r="G10" s="33">
        <v>152</v>
      </c>
      <c r="H10" s="19">
        <v>209.5</v>
      </c>
      <c r="I10" s="33">
        <v>201</v>
      </c>
      <c r="J10" s="19"/>
      <c r="L10" s="22">
        <v>5</v>
      </c>
      <c r="M10" s="19">
        <v>194.2</v>
      </c>
      <c r="N10" s="22">
        <v>54</v>
      </c>
      <c r="O10" s="19">
        <v>202.1</v>
      </c>
      <c r="P10" s="22">
        <f t="shared" si="1"/>
        <v>103</v>
      </c>
      <c r="Q10" s="19">
        <v>178.2</v>
      </c>
      <c r="R10" s="33">
        <v>152</v>
      </c>
      <c r="S10" s="19">
        <v>209.5</v>
      </c>
      <c r="T10" s="33">
        <v>201</v>
      </c>
      <c r="U10" s="19"/>
    </row>
    <row r="11" spans="1:21" ht="15.75" x14ac:dyDescent="0.25">
      <c r="A11" s="22">
        <v>6</v>
      </c>
      <c r="B11" s="19">
        <v>186.4</v>
      </c>
      <c r="C11" s="22">
        <v>55</v>
      </c>
      <c r="D11" s="19">
        <v>192.7</v>
      </c>
      <c r="E11" s="22">
        <f t="shared" si="0"/>
        <v>104</v>
      </c>
      <c r="F11" s="19">
        <v>204.1</v>
      </c>
      <c r="G11" s="33">
        <v>153</v>
      </c>
      <c r="H11" s="19">
        <v>205.6</v>
      </c>
      <c r="I11" s="33">
        <v>202</v>
      </c>
      <c r="J11" s="19"/>
      <c r="L11" s="22">
        <v>6</v>
      </c>
      <c r="M11" s="19">
        <v>186.4</v>
      </c>
      <c r="N11" s="22">
        <v>55</v>
      </c>
      <c r="O11" s="19">
        <v>192.7</v>
      </c>
      <c r="P11" s="22">
        <f t="shared" si="1"/>
        <v>104</v>
      </c>
      <c r="Q11" s="19">
        <v>204.1</v>
      </c>
      <c r="R11" s="33">
        <v>153</v>
      </c>
      <c r="S11" s="19">
        <v>205.6</v>
      </c>
      <c r="T11" s="33">
        <v>202</v>
      </c>
      <c r="U11" s="19"/>
    </row>
    <row r="12" spans="1:21" ht="15.75" x14ac:dyDescent="0.25">
      <c r="A12" s="22">
        <v>7</v>
      </c>
      <c r="B12" s="19">
        <v>185.2</v>
      </c>
      <c r="C12" s="22">
        <v>56</v>
      </c>
      <c r="D12" s="19">
        <v>199.5</v>
      </c>
      <c r="E12" s="22">
        <f t="shared" si="0"/>
        <v>105</v>
      </c>
      <c r="F12" s="19">
        <v>192.2</v>
      </c>
      <c r="G12" s="33">
        <v>154</v>
      </c>
      <c r="H12" s="19">
        <v>209.6</v>
      </c>
      <c r="I12" s="33">
        <v>203</v>
      </c>
      <c r="J12" s="19"/>
      <c r="L12" s="22">
        <v>7</v>
      </c>
      <c r="M12" s="19">
        <v>185.2</v>
      </c>
      <c r="N12" s="22">
        <v>56</v>
      </c>
      <c r="O12" s="19">
        <v>199.5</v>
      </c>
      <c r="P12" s="22">
        <f t="shared" si="1"/>
        <v>105</v>
      </c>
      <c r="Q12" s="19">
        <v>192.2</v>
      </c>
      <c r="R12" s="33">
        <v>154</v>
      </c>
      <c r="S12" s="19">
        <v>209.6</v>
      </c>
      <c r="T12" s="33">
        <v>203</v>
      </c>
      <c r="U12" s="19"/>
    </row>
    <row r="13" spans="1:21" ht="15.75" x14ac:dyDescent="0.25">
      <c r="A13" s="22">
        <v>8</v>
      </c>
      <c r="B13" s="19">
        <v>188</v>
      </c>
      <c r="C13" s="22">
        <v>57</v>
      </c>
      <c r="D13" s="19">
        <v>184.6</v>
      </c>
      <c r="E13" s="22">
        <f t="shared" si="0"/>
        <v>106</v>
      </c>
      <c r="F13" s="19">
        <v>205.3</v>
      </c>
      <c r="G13" s="33">
        <v>155</v>
      </c>
      <c r="H13" s="19">
        <v>197.7</v>
      </c>
      <c r="I13" s="33">
        <v>204</v>
      </c>
      <c r="J13" s="19"/>
      <c r="L13" s="22">
        <v>8</v>
      </c>
      <c r="M13" s="19">
        <v>188</v>
      </c>
      <c r="N13" s="22">
        <v>57</v>
      </c>
      <c r="O13" s="19">
        <v>184.6</v>
      </c>
      <c r="P13" s="22">
        <f t="shared" si="1"/>
        <v>106</v>
      </c>
      <c r="Q13" s="19">
        <v>205.3</v>
      </c>
      <c r="R13" s="33">
        <v>155</v>
      </c>
      <c r="S13" s="19">
        <v>197.7</v>
      </c>
      <c r="T13" s="33">
        <v>204</v>
      </c>
      <c r="U13" s="19"/>
    </row>
    <row r="14" spans="1:21" ht="15.75" x14ac:dyDescent="0.25">
      <c r="A14" s="22">
        <v>9</v>
      </c>
      <c r="B14" s="19">
        <v>196.3</v>
      </c>
      <c r="C14" s="22">
        <v>58</v>
      </c>
      <c r="D14" s="19">
        <v>196.5</v>
      </c>
      <c r="E14" s="22">
        <f t="shared" si="0"/>
        <v>107</v>
      </c>
      <c r="F14" s="19">
        <v>206.8</v>
      </c>
      <c r="G14" s="33">
        <v>156</v>
      </c>
      <c r="H14" s="19">
        <v>215.1</v>
      </c>
      <c r="I14" s="33">
        <v>205</v>
      </c>
      <c r="J14" s="19"/>
      <c r="L14" s="22">
        <v>9</v>
      </c>
      <c r="M14" s="19">
        <v>196.3</v>
      </c>
      <c r="N14" s="22">
        <v>58</v>
      </c>
      <c r="O14" s="19">
        <v>196.5</v>
      </c>
      <c r="P14" s="22">
        <f t="shared" si="1"/>
        <v>107</v>
      </c>
      <c r="Q14" s="19">
        <v>206.8</v>
      </c>
      <c r="R14" s="33">
        <v>156</v>
      </c>
      <c r="S14" s="19">
        <v>215.1</v>
      </c>
      <c r="T14" s="33">
        <v>205</v>
      </c>
      <c r="U14" s="19"/>
    </row>
    <row r="15" spans="1:21" ht="15.75" x14ac:dyDescent="0.25">
      <c r="A15" s="22">
        <v>10</v>
      </c>
      <c r="B15" s="19">
        <v>191</v>
      </c>
      <c r="C15" s="22">
        <v>59</v>
      </c>
      <c r="D15" s="19">
        <v>193.2</v>
      </c>
      <c r="E15" s="22">
        <f t="shared" si="0"/>
        <v>108</v>
      </c>
      <c r="F15" s="19">
        <v>180.4</v>
      </c>
      <c r="G15" s="33">
        <v>157</v>
      </c>
      <c r="H15" s="19">
        <v>213.7</v>
      </c>
      <c r="I15" s="33">
        <v>206</v>
      </c>
      <c r="J15" s="19"/>
      <c r="L15" s="22">
        <v>10</v>
      </c>
      <c r="M15" s="19">
        <v>191</v>
      </c>
      <c r="N15" s="22">
        <v>59</v>
      </c>
      <c r="O15" s="19">
        <v>193.2</v>
      </c>
      <c r="P15" s="22">
        <f t="shared" si="1"/>
        <v>108</v>
      </c>
      <c r="Q15" s="19">
        <v>180.4</v>
      </c>
      <c r="R15" s="33">
        <v>157</v>
      </c>
      <c r="S15" s="19">
        <v>213.7</v>
      </c>
      <c r="T15" s="33">
        <v>206</v>
      </c>
      <c r="U15" s="19"/>
    </row>
    <row r="16" spans="1:21" ht="15.75" x14ac:dyDescent="0.25">
      <c r="A16" s="22">
        <v>11</v>
      </c>
      <c r="B16" s="19">
        <v>198</v>
      </c>
      <c r="C16" s="22">
        <v>60</v>
      </c>
      <c r="D16" s="19">
        <v>194.2</v>
      </c>
      <c r="E16" s="22">
        <f t="shared" si="0"/>
        <v>109</v>
      </c>
      <c r="F16" s="19">
        <v>205</v>
      </c>
      <c r="G16" s="33">
        <v>158</v>
      </c>
      <c r="H16" s="19">
        <v>204.4</v>
      </c>
      <c r="I16" s="33">
        <v>207</v>
      </c>
      <c r="J16" s="19"/>
      <c r="L16" s="22">
        <v>11</v>
      </c>
      <c r="M16" s="19">
        <v>198</v>
      </c>
      <c r="N16" s="22">
        <v>60</v>
      </c>
      <c r="O16" s="19">
        <v>194.2</v>
      </c>
      <c r="P16" s="22">
        <f t="shared" si="1"/>
        <v>109</v>
      </c>
      <c r="Q16" s="19">
        <v>205</v>
      </c>
      <c r="R16" s="33">
        <v>158</v>
      </c>
      <c r="S16" s="19">
        <v>204.4</v>
      </c>
      <c r="T16" s="33">
        <v>207</v>
      </c>
      <c r="U16" s="19"/>
    </row>
    <row r="17" spans="1:21" ht="15.75" x14ac:dyDescent="0.25">
      <c r="A17" s="22">
        <v>12</v>
      </c>
      <c r="B17" s="19">
        <v>199.4</v>
      </c>
      <c r="C17" s="22">
        <v>61</v>
      </c>
      <c r="D17" s="19">
        <v>190.9</v>
      </c>
      <c r="E17" s="22">
        <f t="shared" si="0"/>
        <v>110</v>
      </c>
      <c r="F17" s="19">
        <v>181.4</v>
      </c>
      <c r="G17" s="33">
        <v>159</v>
      </c>
      <c r="H17" s="19">
        <v>215.8</v>
      </c>
      <c r="I17" s="33">
        <v>208</v>
      </c>
      <c r="J17" s="19"/>
      <c r="L17" s="22">
        <v>12</v>
      </c>
      <c r="M17" s="19">
        <v>199.4</v>
      </c>
      <c r="N17" s="22">
        <v>61</v>
      </c>
      <c r="O17" s="19">
        <v>190.9</v>
      </c>
      <c r="P17" s="22">
        <f t="shared" si="1"/>
        <v>110</v>
      </c>
      <c r="Q17" s="19">
        <v>181.4</v>
      </c>
      <c r="R17" s="33">
        <v>159</v>
      </c>
      <c r="S17" s="19">
        <v>215.8</v>
      </c>
      <c r="T17" s="33">
        <v>208</v>
      </c>
      <c r="U17" s="19"/>
    </row>
    <row r="18" spans="1:21" ht="15.75" x14ac:dyDescent="0.25">
      <c r="A18" s="22">
        <v>13</v>
      </c>
      <c r="B18" s="19">
        <v>187.8</v>
      </c>
      <c r="C18" s="22">
        <v>62</v>
      </c>
      <c r="D18" s="19">
        <v>190.2</v>
      </c>
      <c r="E18" s="22">
        <f t="shared" si="0"/>
        <v>111</v>
      </c>
      <c r="F18" s="19">
        <v>208.2</v>
      </c>
      <c r="G18" s="33">
        <v>160</v>
      </c>
      <c r="H18" s="19">
        <v>193.3</v>
      </c>
      <c r="I18" s="33">
        <v>209</v>
      </c>
      <c r="J18" s="19"/>
      <c r="L18" s="22">
        <v>13</v>
      </c>
      <c r="M18" s="19">
        <v>187.8</v>
      </c>
      <c r="N18" s="22">
        <v>62</v>
      </c>
      <c r="O18" s="19">
        <v>190.2</v>
      </c>
      <c r="P18" s="22">
        <f t="shared" si="1"/>
        <v>111</v>
      </c>
      <c r="Q18" s="19">
        <v>208.2</v>
      </c>
      <c r="R18" s="33">
        <v>160</v>
      </c>
      <c r="S18" s="19">
        <v>193.3</v>
      </c>
      <c r="T18" s="33">
        <v>209</v>
      </c>
      <c r="U18" s="19"/>
    </row>
    <row r="19" spans="1:21" ht="15.75" x14ac:dyDescent="0.25">
      <c r="A19" s="22">
        <v>14</v>
      </c>
      <c r="B19" s="19">
        <v>187.1</v>
      </c>
      <c r="C19" s="22">
        <v>63</v>
      </c>
      <c r="D19" s="19">
        <v>183.4</v>
      </c>
      <c r="E19" s="22">
        <f t="shared" si="0"/>
        <v>112</v>
      </c>
      <c r="F19" s="19">
        <v>205.9</v>
      </c>
      <c r="G19" s="33">
        <v>161</v>
      </c>
      <c r="H19" s="19">
        <v>211.8</v>
      </c>
      <c r="I19" s="33">
        <v>210</v>
      </c>
      <c r="J19" s="19"/>
      <c r="L19" s="22">
        <v>14</v>
      </c>
      <c r="M19" s="19">
        <v>187.1</v>
      </c>
      <c r="N19" s="22">
        <v>63</v>
      </c>
      <c r="O19" s="19">
        <v>183.4</v>
      </c>
      <c r="P19" s="22">
        <f t="shared" si="1"/>
        <v>112</v>
      </c>
      <c r="Q19" s="19">
        <v>205.9</v>
      </c>
      <c r="R19" s="33">
        <v>161</v>
      </c>
      <c r="S19" s="19">
        <v>211.8</v>
      </c>
      <c r="T19" s="33">
        <v>210</v>
      </c>
      <c r="U19" s="19"/>
    </row>
    <row r="20" spans="1:21" ht="15.75" x14ac:dyDescent="0.25">
      <c r="A20" s="22">
        <v>15</v>
      </c>
      <c r="B20" s="19">
        <v>187.4</v>
      </c>
      <c r="C20" s="22">
        <v>64</v>
      </c>
      <c r="D20" s="19">
        <v>191.2</v>
      </c>
      <c r="E20" s="22">
        <f t="shared" si="0"/>
        <v>113</v>
      </c>
      <c r="F20" s="19">
        <v>170</v>
      </c>
      <c r="G20" s="35">
        <v>162</v>
      </c>
      <c r="H20" s="19">
        <v>193.2</v>
      </c>
      <c r="I20" s="33">
        <v>211</v>
      </c>
      <c r="J20" s="19"/>
      <c r="L20" s="22">
        <v>15</v>
      </c>
      <c r="M20" s="19">
        <v>187.4</v>
      </c>
      <c r="N20" s="22">
        <v>64</v>
      </c>
      <c r="O20" s="19">
        <v>191.2</v>
      </c>
      <c r="P20" s="22">
        <f t="shared" si="1"/>
        <v>113</v>
      </c>
      <c r="Q20" s="19">
        <v>170</v>
      </c>
      <c r="R20" s="35">
        <v>162</v>
      </c>
      <c r="S20" s="19">
        <v>193.2</v>
      </c>
      <c r="T20" s="33">
        <v>211</v>
      </c>
      <c r="U20" s="19"/>
    </row>
    <row r="21" spans="1:21" ht="15.75" x14ac:dyDescent="0.25">
      <c r="A21" s="22">
        <v>16</v>
      </c>
      <c r="B21" s="19">
        <v>193.6</v>
      </c>
      <c r="C21" s="22">
        <v>65</v>
      </c>
      <c r="D21" s="19">
        <v>190.9</v>
      </c>
      <c r="E21" s="22">
        <f t="shared" si="0"/>
        <v>114</v>
      </c>
      <c r="F21" s="19">
        <v>201.1</v>
      </c>
      <c r="G21" s="35">
        <v>163</v>
      </c>
      <c r="H21" s="19">
        <v>214.7</v>
      </c>
      <c r="I21" s="33">
        <v>212</v>
      </c>
      <c r="J21" s="19"/>
      <c r="L21" s="22">
        <v>16</v>
      </c>
      <c r="M21" s="19">
        <v>193.6</v>
      </c>
      <c r="N21" s="22">
        <v>65</v>
      </c>
      <c r="O21" s="19">
        <v>190.9</v>
      </c>
      <c r="P21" s="22">
        <f t="shared" si="1"/>
        <v>114</v>
      </c>
      <c r="Q21" s="19">
        <v>201.1</v>
      </c>
      <c r="R21" s="35">
        <v>163</v>
      </c>
      <c r="S21" s="19">
        <v>214.7</v>
      </c>
      <c r="T21" s="33">
        <v>212</v>
      </c>
      <c r="U21" s="19"/>
    </row>
    <row r="22" spans="1:21" ht="15.75" x14ac:dyDescent="0.25">
      <c r="A22" s="22">
        <v>17</v>
      </c>
      <c r="B22" s="19">
        <v>191.3</v>
      </c>
      <c r="C22" s="22">
        <v>66</v>
      </c>
      <c r="D22" s="19">
        <v>182.2</v>
      </c>
      <c r="E22" s="22">
        <f t="shared" si="0"/>
        <v>115</v>
      </c>
      <c r="F22" s="19">
        <v>197.5</v>
      </c>
      <c r="G22" s="35">
        <v>164</v>
      </c>
      <c r="H22" s="19">
        <v>195.7</v>
      </c>
      <c r="I22" s="33">
        <v>213</v>
      </c>
      <c r="J22" s="19"/>
      <c r="L22" s="22">
        <v>17</v>
      </c>
      <c r="M22" s="19">
        <v>191.3</v>
      </c>
      <c r="N22" s="22">
        <v>66</v>
      </c>
      <c r="O22" s="19">
        <v>182.2</v>
      </c>
      <c r="P22" s="22">
        <f t="shared" si="1"/>
        <v>115</v>
      </c>
      <c r="Q22" s="19">
        <v>197.5</v>
      </c>
      <c r="R22" s="35">
        <v>164</v>
      </c>
      <c r="S22" s="19">
        <v>195.7</v>
      </c>
      <c r="T22" s="33">
        <v>213</v>
      </c>
      <c r="U22" s="19"/>
    </row>
    <row r="23" spans="1:21" ht="15.75" x14ac:dyDescent="0.25">
      <c r="A23" s="22">
        <v>18</v>
      </c>
      <c r="B23" s="19">
        <v>190.9</v>
      </c>
      <c r="C23" s="22">
        <v>67</v>
      </c>
      <c r="D23" s="19">
        <v>189.4</v>
      </c>
      <c r="E23" s="22">
        <f t="shared" si="0"/>
        <v>116</v>
      </c>
      <c r="F23" s="19">
        <v>202.3</v>
      </c>
      <c r="G23" s="35">
        <v>165</v>
      </c>
      <c r="H23" s="19">
        <v>215.3</v>
      </c>
      <c r="I23" s="33">
        <v>214</v>
      </c>
      <c r="J23" s="19"/>
      <c r="L23" s="22">
        <v>18</v>
      </c>
      <c r="M23" s="19">
        <v>190.9</v>
      </c>
      <c r="N23" s="22">
        <v>67</v>
      </c>
      <c r="O23" s="19">
        <v>189.4</v>
      </c>
      <c r="P23" s="22">
        <f t="shared" si="1"/>
        <v>116</v>
      </c>
      <c r="Q23" s="19">
        <v>202.3</v>
      </c>
      <c r="R23" s="35">
        <v>165</v>
      </c>
      <c r="S23" s="19">
        <v>215.3</v>
      </c>
      <c r="T23" s="33">
        <v>214</v>
      </c>
      <c r="U23" s="19"/>
    </row>
    <row r="24" spans="1:21" ht="15.75" x14ac:dyDescent="0.25">
      <c r="A24" s="22">
        <v>19</v>
      </c>
      <c r="B24" s="19">
        <v>188.4</v>
      </c>
      <c r="C24" s="22">
        <v>68</v>
      </c>
      <c r="D24" s="19">
        <v>188.3</v>
      </c>
      <c r="E24" s="22">
        <f t="shared" si="0"/>
        <v>117</v>
      </c>
      <c r="F24" s="19">
        <v>202.8</v>
      </c>
      <c r="G24" s="35">
        <v>166</v>
      </c>
      <c r="H24" s="19">
        <v>188.8</v>
      </c>
      <c r="I24" s="33">
        <v>215</v>
      </c>
      <c r="J24" s="19"/>
      <c r="L24" s="22">
        <v>19</v>
      </c>
      <c r="M24" s="19">
        <v>188.4</v>
      </c>
      <c r="N24" s="22">
        <v>68</v>
      </c>
      <c r="O24" s="19">
        <v>188.3</v>
      </c>
      <c r="P24" s="22">
        <f t="shared" si="1"/>
        <v>117</v>
      </c>
      <c r="Q24" s="19">
        <v>202.8</v>
      </c>
      <c r="R24" s="35">
        <v>166</v>
      </c>
      <c r="S24" s="19">
        <v>188.8</v>
      </c>
      <c r="T24" s="33">
        <v>215</v>
      </c>
      <c r="U24" s="19"/>
    </row>
    <row r="25" spans="1:21" ht="15.75" x14ac:dyDescent="0.25">
      <c r="A25" s="22">
        <v>20</v>
      </c>
      <c r="B25" s="19">
        <v>193.9</v>
      </c>
      <c r="C25" s="22">
        <v>69</v>
      </c>
      <c r="D25" s="19">
        <v>189.9</v>
      </c>
      <c r="E25" s="22">
        <f t="shared" si="0"/>
        <v>118</v>
      </c>
      <c r="F25" s="19">
        <v>204.7</v>
      </c>
      <c r="G25" s="35">
        <v>167</v>
      </c>
      <c r="H25" s="19">
        <v>213.7</v>
      </c>
      <c r="I25" s="33">
        <v>216</v>
      </c>
      <c r="J25" s="19"/>
      <c r="L25" s="22">
        <v>20</v>
      </c>
      <c r="M25" s="19">
        <v>193.9</v>
      </c>
      <c r="N25" s="22">
        <v>69</v>
      </c>
      <c r="O25" s="19">
        <v>189.9</v>
      </c>
      <c r="P25" s="22">
        <f t="shared" si="1"/>
        <v>118</v>
      </c>
      <c r="Q25" s="19">
        <v>204.7</v>
      </c>
      <c r="R25" s="35">
        <v>167</v>
      </c>
      <c r="S25" s="19">
        <v>213.7</v>
      </c>
      <c r="T25" s="33">
        <v>216</v>
      </c>
      <c r="U25" s="19"/>
    </row>
    <row r="26" spans="1:21" ht="15.75" x14ac:dyDescent="0.25">
      <c r="A26" s="22">
        <v>21</v>
      </c>
      <c r="B26" s="19">
        <v>189.9</v>
      </c>
      <c r="C26" s="22">
        <v>70</v>
      </c>
      <c r="D26" s="19">
        <v>196.8</v>
      </c>
      <c r="E26" s="22">
        <f t="shared" si="0"/>
        <v>119</v>
      </c>
      <c r="F26" s="19">
        <v>199.5</v>
      </c>
      <c r="G26" s="35">
        <v>168</v>
      </c>
      <c r="H26" s="19">
        <v>211.3</v>
      </c>
      <c r="I26" s="33">
        <v>217</v>
      </c>
      <c r="J26" s="19"/>
      <c r="L26" s="22">
        <v>21</v>
      </c>
      <c r="M26" s="19">
        <v>189.9</v>
      </c>
      <c r="N26" s="22">
        <v>70</v>
      </c>
      <c r="O26" s="19">
        <v>196.8</v>
      </c>
      <c r="P26" s="22">
        <f t="shared" si="1"/>
        <v>119</v>
      </c>
      <c r="Q26" s="19">
        <v>199.5</v>
      </c>
      <c r="R26" s="35">
        <v>168</v>
      </c>
      <c r="S26" s="19">
        <v>211.3</v>
      </c>
      <c r="T26" s="33">
        <v>217</v>
      </c>
      <c r="U26" s="19"/>
    </row>
    <row r="27" spans="1:21" ht="15.75" x14ac:dyDescent="0.25">
      <c r="A27" s="22">
        <v>22</v>
      </c>
      <c r="B27" s="19">
        <v>184.9</v>
      </c>
      <c r="C27" s="22">
        <v>71</v>
      </c>
      <c r="D27" s="19">
        <v>193.9</v>
      </c>
      <c r="E27" s="22">
        <f t="shared" si="0"/>
        <v>120</v>
      </c>
      <c r="F27" s="19">
        <v>203.3</v>
      </c>
      <c r="G27" s="35">
        <v>169</v>
      </c>
      <c r="H27" s="19">
        <v>171.6</v>
      </c>
      <c r="I27" s="33">
        <v>218</v>
      </c>
      <c r="J27" s="19"/>
      <c r="L27" s="22">
        <v>22</v>
      </c>
      <c r="M27" s="19">
        <v>184.9</v>
      </c>
      <c r="N27" s="22">
        <v>71</v>
      </c>
      <c r="O27" s="19">
        <v>193.9</v>
      </c>
      <c r="P27" s="22">
        <f t="shared" si="1"/>
        <v>120</v>
      </c>
      <c r="Q27" s="19">
        <v>203.3</v>
      </c>
      <c r="R27" s="35">
        <v>169</v>
      </c>
      <c r="S27" s="19">
        <v>171.6</v>
      </c>
      <c r="T27" s="33">
        <v>218</v>
      </c>
      <c r="U27" s="19"/>
    </row>
    <row r="28" spans="1:21" ht="15.75" x14ac:dyDescent="0.25">
      <c r="A28" s="22">
        <v>23</v>
      </c>
      <c r="B28" s="19">
        <v>197.7</v>
      </c>
      <c r="C28" s="22">
        <v>72</v>
      </c>
      <c r="D28" s="19">
        <v>192.4</v>
      </c>
      <c r="E28" s="22">
        <f t="shared" si="0"/>
        <v>121</v>
      </c>
      <c r="F28" s="19">
        <v>204.1</v>
      </c>
      <c r="G28" s="35">
        <v>170</v>
      </c>
      <c r="H28" s="19">
        <v>215.7</v>
      </c>
      <c r="I28" s="33">
        <v>219</v>
      </c>
      <c r="J28" s="19"/>
      <c r="L28" s="22">
        <v>23</v>
      </c>
      <c r="M28" s="19">
        <v>197.7</v>
      </c>
      <c r="N28" s="22">
        <v>72</v>
      </c>
      <c r="O28" s="19">
        <v>192.4</v>
      </c>
      <c r="P28" s="22">
        <f t="shared" si="1"/>
        <v>121</v>
      </c>
      <c r="Q28" s="19">
        <v>204.1</v>
      </c>
      <c r="R28" s="35">
        <v>170</v>
      </c>
      <c r="S28" s="19">
        <v>215.7</v>
      </c>
      <c r="T28" s="33">
        <v>219</v>
      </c>
      <c r="U28" s="19"/>
    </row>
    <row r="29" spans="1:21" ht="15.75" x14ac:dyDescent="0.25">
      <c r="A29" s="22">
        <v>24</v>
      </c>
      <c r="B29" s="19">
        <v>197</v>
      </c>
      <c r="C29" s="22">
        <v>73</v>
      </c>
      <c r="D29" s="19">
        <v>193.6</v>
      </c>
      <c r="E29" s="22">
        <f t="shared" si="0"/>
        <v>122</v>
      </c>
      <c r="F29" s="19">
        <v>190.1</v>
      </c>
      <c r="G29" s="35">
        <v>171</v>
      </c>
      <c r="H29" s="19">
        <v>206.2</v>
      </c>
      <c r="I29" s="33">
        <v>220</v>
      </c>
      <c r="J29" s="19"/>
      <c r="L29" s="22">
        <v>24</v>
      </c>
      <c r="M29" s="19">
        <v>197</v>
      </c>
      <c r="N29" s="22">
        <v>73</v>
      </c>
      <c r="O29" s="19">
        <v>193.6</v>
      </c>
      <c r="P29" s="22">
        <f t="shared" si="1"/>
        <v>122</v>
      </c>
      <c r="Q29" s="19">
        <v>190.1</v>
      </c>
      <c r="R29" s="35">
        <v>171</v>
      </c>
      <c r="S29" s="19">
        <v>206.2</v>
      </c>
      <c r="T29" s="33">
        <v>220</v>
      </c>
      <c r="U29" s="19"/>
    </row>
    <row r="30" spans="1:21" ht="15.75" x14ac:dyDescent="0.25">
      <c r="A30" s="22">
        <v>25</v>
      </c>
      <c r="B30" s="19">
        <v>192</v>
      </c>
      <c r="C30" s="22">
        <v>74</v>
      </c>
      <c r="D30" s="19">
        <v>181</v>
      </c>
      <c r="E30" s="22">
        <f t="shared" si="0"/>
        <v>123</v>
      </c>
      <c r="F30" s="19">
        <v>204.4</v>
      </c>
      <c r="G30" s="35">
        <v>172</v>
      </c>
      <c r="H30" s="19"/>
      <c r="I30" s="20"/>
      <c r="J30" s="36"/>
      <c r="L30" s="22">
        <v>25</v>
      </c>
      <c r="M30" s="19">
        <v>192</v>
      </c>
      <c r="N30" s="22">
        <v>74</v>
      </c>
      <c r="O30" s="19">
        <v>181</v>
      </c>
      <c r="P30" s="22">
        <f t="shared" si="1"/>
        <v>123</v>
      </c>
      <c r="Q30" s="19">
        <v>204.4</v>
      </c>
      <c r="R30" s="35">
        <v>172</v>
      </c>
      <c r="S30" s="19"/>
      <c r="T30" s="20"/>
      <c r="U30" s="36"/>
    </row>
    <row r="31" spans="1:21" ht="15.75" x14ac:dyDescent="0.25">
      <c r="A31" s="22">
        <v>26</v>
      </c>
      <c r="B31" s="19">
        <v>192.6</v>
      </c>
      <c r="C31" s="22">
        <v>75</v>
      </c>
      <c r="D31" s="19">
        <v>192.7</v>
      </c>
      <c r="E31" s="22">
        <f t="shared" si="0"/>
        <v>124</v>
      </c>
      <c r="F31" s="19">
        <v>205.5</v>
      </c>
      <c r="G31" s="35">
        <v>173</v>
      </c>
      <c r="H31" s="19"/>
      <c r="I31" s="20"/>
      <c r="J31" s="36"/>
      <c r="L31" s="22">
        <v>26</v>
      </c>
      <c r="M31" s="19">
        <v>192.6</v>
      </c>
      <c r="N31" s="22">
        <v>75</v>
      </c>
      <c r="O31" s="19">
        <v>192.7</v>
      </c>
      <c r="P31" s="22">
        <f t="shared" si="1"/>
        <v>124</v>
      </c>
      <c r="Q31" s="19">
        <v>205.5</v>
      </c>
      <c r="R31" s="35">
        <v>173</v>
      </c>
      <c r="S31" s="19"/>
      <c r="T31" s="20"/>
      <c r="U31" s="36"/>
    </row>
    <row r="32" spans="1:21" ht="15.75" x14ac:dyDescent="0.25">
      <c r="A32" s="22">
        <v>27</v>
      </c>
      <c r="B32" s="19">
        <v>191.6</v>
      </c>
      <c r="C32" s="22">
        <v>76</v>
      </c>
      <c r="D32" s="19">
        <v>180.8</v>
      </c>
      <c r="E32" s="22">
        <f t="shared" si="0"/>
        <v>125</v>
      </c>
      <c r="F32" s="19">
        <v>170</v>
      </c>
      <c r="G32" s="33">
        <v>174</v>
      </c>
      <c r="H32" s="19"/>
      <c r="I32" s="21"/>
      <c r="J32" s="36"/>
      <c r="L32" s="22">
        <v>27</v>
      </c>
      <c r="M32" s="19">
        <v>191.6</v>
      </c>
      <c r="N32" s="22">
        <v>76</v>
      </c>
      <c r="O32" s="19">
        <v>180.8</v>
      </c>
      <c r="P32" s="22">
        <f t="shared" si="1"/>
        <v>125</v>
      </c>
      <c r="Q32" s="19">
        <v>170</v>
      </c>
      <c r="R32" s="33">
        <v>174</v>
      </c>
      <c r="S32" s="19"/>
      <c r="T32" s="21"/>
      <c r="U32" s="36"/>
    </row>
    <row r="33" spans="1:21" ht="15.75" x14ac:dyDescent="0.25">
      <c r="A33" s="22">
        <v>28</v>
      </c>
      <c r="B33" s="19">
        <v>189.9</v>
      </c>
      <c r="C33" s="22">
        <v>77</v>
      </c>
      <c r="D33" s="19">
        <v>188.1</v>
      </c>
      <c r="E33" s="22">
        <f t="shared" si="0"/>
        <v>126</v>
      </c>
      <c r="F33" s="19">
        <v>206.1</v>
      </c>
      <c r="G33" s="33">
        <v>175</v>
      </c>
      <c r="H33" s="19"/>
      <c r="I33" s="20"/>
      <c r="J33" s="36"/>
      <c r="L33" s="22">
        <v>28</v>
      </c>
      <c r="M33" s="19">
        <v>189.9</v>
      </c>
      <c r="N33" s="22">
        <v>77</v>
      </c>
      <c r="O33" s="19">
        <v>188.1</v>
      </c>
      <c r="P33" s="22">
        <f t="shared" si="1"/>
        <v>126</v>
      </c>
      <c r="Q33" s="19">
        <v>206.1</v>
      </c>
      <c r="R33" s="33">
        <v>175</v>
      </c>
      <c r="S33" s="19"/>
      <c r="T33" s="20"/>
      <c r="U33" s="36"/>
    </row>
    <row r="34" spans="1:21" ht="15.75" x14ac:dyDescent="0.25">
      <c r="A34" s="22">
        <v>29</v>
      </c>
      <c r="B34" s="19">
        <v>171</v>
      </c>
      <c r="C34" s="22">
        <v>78</v>
      </c>
      <c r="D34" s="19">
        <v>196.4</v>
      </c>
      <c r="E34" s="22">
        <f t="shared" si="0"/>
        <v>127</v>
      </c>
      <c r="F34" s="19">
        <v>211.4</v>
      </c>
      <c r="G34" s="33">
        <v>176</v>
      </c>
      <c r="H34" s="19"/>
      <c r="I34" s="20"/>
      <c r="J34" s="36"/>
      <c r="L34" s="22">
        <v>29</v>
      </c>
      <c r="M34" s="19">
        <v>171</v>
      </c>
      <c r="N34" s="22">
        <v>78</v>
      </c>
      <c r="O34" s="19">
        <v>196.4</v>
      </c>
      <c r="P34" s="22">
        <f t="shared" si="1"/>
        <v>127</v>
      </c>
      <c r="Q34" s="19">
        <v>211.4</v>
      </c>
      <c r="R34" s="33">
        <v>176</v>
      </c>
      <c r="S34" s="19"/>
      <c r="T34" s="20"/>
      <c r="U34" s="36"/>
    </row>
    <row r="35" spans="1:21" ht="15.75" x14ac:dyDescent="0.25">
      <c r="A35" s="22">
        <v>30</v>
      </c>
      <c r="B35" s="19">
        <v>188.8</v>
      </c>
      <c r="C35" s="22">
        <v>79</v>
      </c>
      <c r="D35" s="19">
        <v>192.1</v>
      </c>
      <c r="E35" s="22">
        <f t="shared" si="0"/>
        <v>128</v>
      </c>
      <c r="F35" s="19">
        <v>208.2</v>
      </c>
      <c r="G35" s="33">
        <v>177</v>
      </c>
      <c r="H35" s="19"/>
      <c r="I35" s="21"/>
      <c r="J35" s="36"/>
      <c r="L35" s="22">
        <v>30</v>
      </c>
      <c r="M35" s="19">
        <v>188.8</v>
      </c>
      <c r="N35" s="22">
        <v>79</v>
      </c>
      <c r="O35" s="19">
        <v>192.1</v>
      </c>
      <c r="P35" s="22">
        <f t="shared" si="1"/>
        <v>128</v>
      </c>
      <c r="Q35" s="19">
        <v>208.2</v>
      </c>
      <c r="R35" s="33">
        <v>177</v>
      </c>
      <c r="S35" s="19"/>
      <c r="T35" s="21"/>
      <c r="U35" s="36"/>
    </row>
    <row r="36" spans="1:21" ht="15.75" x14ac:dyDescent="0.25">
      <c r="A36" s="22">
        <v>31</v>
      </c>
      <c r="B36" s="19">
        <v>185.9</v>
      </c>
      <c r="C36" s="22">
        <v>80</v>
      </c>
      <c r="D36" s="19">
        <v>200.7</v>
      </c>
      <c r="E36" s="22">
        <f t="shared" si="0"/>
        <v>129</v>
      </c>
      <c r="F36" s="19">
        <v>206.1</v>
      </c>
      <c r="G36" s="33">
        <v>178</v>
      </c>
      <c r="H36" s="19"/>
      <c r="I36" s="20"/>
      <c r="J36" s="36"/>
      <c r="L36" s="22">
        <v>31</v>
      </c>
      <c r="M36" s="19">
        <v>185.9</v>
      </c>
      <c r="N36" s="22">
        <v>80</v>
      </c>
      <c r="O36" s="19">
        <v>200.7</v>
      </c>
      <c r="P36" s="22">
        <f t="shared" si="1"/>
        <v>129</v>
      </c>
      <c r="Q36" s="19">
        <v>206.1</v>
      </c>
      <c r="R36" s="33">
        <v>178</v>
      </c>
      <c r="S36" s="19"/>
      <c r="T36" s="20"/>
      <c r="U36" s="36"/>
    </row>
    <row r="37" spans="1:21" ht="15.75" x14ac:dyDescent="0.25">
      <c r="A37" s="22">
        <v>32</v>
      </c>
      <c r="B37" s="19">
        <v>163.69999999999999</v>
      </c>
      <c r="C37" s="22">
        <v>81</v>
      </c>
      <c r="D37" s="19">
        <v>203.3</v>
      </c>
      <c r="E37" s="22">
        <f t="shared" si="0"/>
        <v>130</v>
      </c>
      <c r="F37" s="19">
        <v>203.6</v>
      </c>
      <c r="G37" s="33">
        <v>179</v>
      </c>
      <c r="H37" s="19"/>
      <c r="I37" s="20"/>
      <c r="J37" s="36"/>
      <c r="L37" s="22">
        <v>32</v>
      </c>
      <c r="M37" s="19">
        <v>163.69999999999999</v>
      </c>
      <c r="N37" s="22">
        <v>81</v>
      </c>
      <c r="O37" s="19">
        <v>203.3</v>
      </c>
      <c r="P37" s="22">
        <f t="shared" si="1"/>
        <v>130</v>
      </c>
      <c r="Q37" s="19">
        <v>203.6</v>
      </c>
      <c r="R37" s="33">
        <v>179</v>
      </c>
      <c r="S37" s="19"/>
      <c r="T37" s="20"/>
      <c r="U37" s="36"/>
    </row>
    <row r="38" spans="1:21" ht="15.75" x14ac:dyDescent="0.25">
      <c r="A38" s="22">
        <v>33</v>
      </c>
      <c r="B38" s="19">
        <v>186.8</v>
      </c>
      <c r="C38" s="22">
        <v>82</v>
      </c>
      <c r="D38" s="19">
        <v>205.2</v>
      </c>
      <c r="E38" s="22">
        <f t="shared" si="0"/>
        <v>131</v>
      </c>
      <c r="F38" s="19">
        <v>203.5</v>
      </c>
      <c r="G38" s="33">
        <v>180</v>
      </c>
      <c r="H38" s="19"/>
      <c r="I38" s="21"/>
      <c r="J38" s="36"/>
      <c r="L38" s="22">
        <v>33</v>
      </c>
      <c r="M38" s="19">
        <v>186.8</v>
      </c>
      <c r="N38" s="22">
        <v>82</v>
      </c>
      <c r="O38" s="19">
        <v>205.2</v>
      </c>
      <c r="P38" s="22">
        <f t="shared" si="1"/>
        <v>131</v>
      </c>
      <c r="Q38" s="19">
        <v>203.5</v>
      </c>
      <c r="R38" s="33">
        <v>180</v>
      </c>
      <c r="S38" s="19"/>
      <c r="T38" s="21"/>
      <c r="U38" s="36"/>
    </row>
    <row r="39" spans="1:21" ht="15.75" x14ac:dyDescent="0.25">
      <c r="A39" s="22">
        <v>34</v>
      </c>
      <c r="B39" s="19">
        <v>197.8</v>
      </c>
      <c r="C39" s="22">
        <v>83</v>
      </c>
      <c r="D39" s="19">
        <v>208.3</v>
      </c>
      <c r="E39" s="22">
        <f t="shared" si="0"/>
        <v>132</v>
      </c>
      <c r="F39" s="19">
        <v>204.9</v>
      </c>
      <c r="G39" s="33">
        <v>181</v>
      </c>
      <c r="H39" s="19"/>
      <c r="I39" s="21"/>
      <c r="J39" s="36"/>
      <c r="L39" s="22">
        <v>34</v>
      </c>
      <c r="M39" s="19">
        <v>197.8</v>
      </c>
      <c r="N39" s="22">
        <v>83</v>
      </c>
      <c r="O39" s="19">
        <v>208.3</v>
      </c>
      <c r="P39" s="22">
        <f t="shared" si="1"/>
        <v>132</v>
      </c>
      <c r="Q39" s="19">
        <v>204.9</v>
      </c>
      <c r="R39" s="33">
        <v>181</v>
      </c>
      <c r="S39" s="19"/>
      <c r="T39" s="21"/>
      <c r="U39" s="36"/>
    </row>
    <row r="40" spans="1:21" ht="15.75" x14ac:dyDescent="0.25">
      <c r="A40" s="22">
        <v>35</v>
      </c>
      <c r="B40" s="19">
        <v>195.5</v>
      </c>
      <c r="C40" s="22">
        <v>84</v>
      </c>
      <c r="D40" s="19">
        <v>205.4</v>
      </c>
      <c r="E40" s="22">
        <f t="shared" si="0"/>
        <v>133</v>
      </c>
      <c r="F40" s="19">
        <v>205.6</v>
      </c>
      <c r="G40" s="33">
        <v>182</v>
      </c>
      <c r="H40" s="19"/>
      <c r="I40" s="20"/>
      <c r="J40" s="36"/>
      <c r="L40" s="22">
        <v>35</v>
      </c>
      <c r="M40" s="19">
        <v>195.5</v>
      </c>
      <c r="N40" s="22">
        <v>84</v>
      </c>
      <c r="O40" s="19">
        <v>205.4</v>
      </c>
      <c r="P40" s="22">
        <f t="shared" si="1"/>
        <v>133</v>
      </c>
      <c r="Q40" s="19">
        <v>205.6</v>
      </c>
      <c r="R40" s="33">
        <v>182</v>
      </c>
      <c r="S40" s="19"/>
      <c r="T40" s="20"/>
      <c r="U40" s="36"/>
    </row>
    <row r="41" spans="1:21" ht="15.75" x14ac:dyDescent="0.25">
      <c r="A41" s="22">
        <v>36</v>
      </c>
      <c r="B41" s="19">
        <v>200.1</v>
      </c>
      <c r="C41" s="22">
        <v>85</v>
      </c>
      <c r="D41" s="19">
        <v>213.1</v>
      </c>
      <c r="E41" s="22">
        <f t="shared" si="0"/>
        <v>134</v>
      </c>
      <c r="F41" s="19">
        <v>200.5</v>
      </c>
      <c r="G41" s="33">
        <v>183</v>
      </c>
      <c r="H41" s="19"/>
      <c r="I41" s="20"/>
      <c r="J41" s="36"/>
      <c r="L41" s="22">
        <v>36</v>
      </c>
      <c r="M41" s="19">
        <v>200.1</v>
      </c>
      <c r="N41" s="22">
        <v>85</v>
      </c>
      <c r="O41" s="19">
        <v>213.1</v>
      </c>
      <c r="P41" s="22">
        <f t="shared" si="1"/>
        <v>134</v>
      </c>
      <c r="Q41" s="19">
        <v>200.5</v>
      </c>
      <c r="R41" s="33">
        <v>183</v>
      </c>
      <c r="S41" s="19"/>
      <c r="T41" s="20"/>
      <c r="U41" s="36"/>
    </row>
    <row r="42" spans="1:21" ht="15.75" x14ac:dyDescent="0.25">
      <c r="A42" s="22">
        <v>37</v>
      </c>
      <c r="B42" s="19">
        <v>192.1</v>
      </c>
      <c r="C42" s="22">
        <v>86</v>
      </c>
      <c r="D42" s="19">
        <v>214.4</v>
      </c>
      <c r="E42" s="22">
        <f t="shared" si="0"/>
        <v>135</v>
      </c>
      <c r="F42" s="19">
        <v>196.3</v>
      </c>
      <c r="G42" s="33">
        <v>184</v>
      </c>
      <c r="H42" s="19"/>
      <c r="I42" s="21"/>
      <c r="J42" s="36"/>
      <c r="L42" s="22">
        <v>37</v>
      </c>
      <c r="M42" s="19">
        <v>192.1</v>
      </c>
      <c r="N42" s="22">
        <v>86</v>
      </c>
      <c r="O42" s="19">
        <v>214.4</v>
      </c>
      <c r="P42" s="22">
        <f t="shared" si="1"/>
        <v>135</v>
      </c>
      <c r="Q42" s="19">
        <v>196.3</v>
      </c>
      <c r="R42" s="33">
        <v>184</v>
      </c>
      <c r="S42" s="19"/>
      <c r="T42" s="21"/>
      <c r="U42" s="36"/>
    </row>
    <row r="43" spans="1:21" ht="15.75" x14ac:dyDescent="0.25">
      <c r="A43" s="22">
        <v>38</v>
      </c>
      <c r="B43" s="19">
        <v>196.8</v>
      </c>
      <c r="C43" s="22">
        <v>87</v>
      </c>
      <c r="D43" s="19">
        <v>210.9</v>
      </c>
      <c r="E43" s="22">
        <f t="shared" si="0"/>
        <v>136</v>
      </c>
      <c r="F43" s="19">
        <v>203.2</v>
      </c>
      <c r="G43" s="33">
        <v>185</v>
      </c>
      <c r="H43" s="19"/>
      <c r="I43" s="20"/>
      <c r="J43" s="36"/>
      <c r="L43" s="22">
        <v>38</v>
      </c>
      <c r="M43" s="19">
        <v>196.8</v>
      </c>
      <c r="N43" s="22">
        <v>87</v>
      </c>
      <c r="O43" s="19">
        <v>210.9</v>
      </c>
      <c r="P43" s="22">
        <f t="shared" si="1"/>
        <v>136</v>
      </c>
      <c r="Q43" s="19">
        <v>203.2</v>
      </c>
      <c r="R43" s="33">
        <v>185</v>
      </c>
      <c r="S43" s="19"/>
      <c r="T43" s="20"/>
      <c r="U43" s="36"/>
    </row>
    <row r="44" spans="1:21" ht="15.75" x14ac:dyDescent="0.25">
      <c r="A44" s="22">
        <v>39</v>
      </c>
      <c r="B44" s="19">
        <v>191.6</v>
      </c>
      <c r="C44" s="22">
        <v>88</v>
      </c>
      <c r="D44" s="19">
        <v>213.5</v>
      </c>
      <c r="E44" s="22">
        <f t="shared" si="0"/>
        <v>137</v>
      </c>
      <c r="F44" s="19">
        <v>194.5</v>
      </c>
      <c r="G44" s="33">
        <v>186</v>
      </c>
      <c r="H44" s="19"/>
      <c r="I44" s="20"/>
      <c r="J44" s="36"/>
      <c r="L44" s="22">
        <v>39</v>
      </c>
      <c r="M44" s="19">
        <v>191.6</v>
      </c>
      <c r="N44" s="22">
        <v>88</v>
      </c>
      <c r="O44" s="19">
        <v>213.5</v>
      </c>
      <c r="P44" s="22">
        <f t="shared" si="1"/>
        <v>137</v>
      </c>
      <c r="Q44" s="19">
        <v>194.5</v>
      </c>
      <c r="R44" s="33">
        <v>186</v>
      </c>
      <c r="S44" s="19"/>
      <c r="T44" s="20"/>
      <c r="U44" s="36"/>
    </row>
    <row r="45" spans="1:21" ht="15.75" x14ac:dyDescent="0.25">
      <c r="A45" s="22">
        <v>40</v>
      </c>
      <c r="B45" s="19">
        <v>162.1</v>
      </c>
      <c r="C45" s="22">
        <v>89</v>
      </c>
      <c r="D45" s="19">
        <v>213.5</v>
      </c>
      <c r="E45" s="22">
        <f t="shared" si="0"/>
        <v>138</v>
      </c>
      <c r="F45" s="19">
        <v>210.7</v>
      </c>
      <c r="G45" s="33">
        <v>187</v>
      </c>
      <c r="H45" s="19"/>
      <c r="I45" s="21"/>
      <c r="J45" s="36"/>
      <c r="L45" s="22">
        <v>40</v>
      </c>
      <c r="M45" s="19">
        <v>162.1</v>
      </c>
      <c r="N45" s="22">
        <v>89</v>
      </c>
      <c r="O45" s="19">
        <v>213.5</v>
      </c>
      <c r="P45" s="22">
        <f t="shared" si="1"/>
        <v>138</v>
      </c>
      <c r="Q45" s="19">
        <v>210.7</v>
      </c>
      <c r="R45" s="33">
        <v>187</v>
      </c>
      <c r="S45" s="19"/>
      <c r="T45" s="21"/>
      <c r="U45" s="36"/>
    </row>
    <row r="46" spans="1:21" ht="15.75" x14ac:dyDescent="0.25">
      <c r="A46" s="22">
        <v>41</v>
      </c>
      <c r="B46" s="19">
        <v>189.2</v>
      </c>
      <c r="C46" s="22">
        <v>90</v>
      </c>
      <c r="D46" s="19">
        <v>216.7</v>
      </c>
      <c r="E46" s="22">
        <f t="shared" si="0"/>
        <v>139</v>
      </c>
      <c r="F46" s="19">
        <v>204.8</v>
      </c>
      <c r="G46" s="33">
        <v>188</v>
      </c>
      <c r="H46" s="19"/>
      <c r="I46" s="20"/>
      <c r="J46" s="36"/>
      <c r="L46" s="22">
        <v>41</v>
      </c>
      <c r="M46" s="19">
        <v>189.2</v>
      </c>
      <c r="N46" s="22">
        <v>90</v>
      </c>
      <c r="O46" s="19">
        <v>216.7</v>
      </c>
      <c r="P46" s="22">
        <f t="shared" si="1"/>
        <v>139</v>
      </c>
      <c r="Q46" s="19">
        <v>204.8</v>
      </c>
      <c r="R46" s="33">
        <v>188</v>
      </c>
      <c r="S46" s="19"/>
      <c r="T46" s="20"/>
      <c r="U46" s="36"/>
    </row>
    <row r="47" spans="1:21" ht="15.75" x14ac:dyDescent="0.25">
      <c r="A47" s="22">
        <v>42</v>
      </c>
      <c r="B47" s="19">
        <v>194.6</v>
      </c>
      <c r="C47" s="22">
        <v>91</v>
      </c>
      <c r="D47" s="19">
        <v>196.1</v>
      </c>
      <c r="E47" s="22">
        <f t="shared" si="0"/>
        <v>140</v>
      </c>
      <c r="F47" s="19">
        <v>209.6</v>
      </c>
      <c r="G47" s="33">
        <v>189</v>
      </c>
      <c r="H47" s="19"/>
      <c r="I47" s="20"/>
      <c r="J47" s="36"/>
      <c r="L47" s="22">
        <v>42</v>
      </c>
      <c r="M47" s="19">
        <v>194.6</v>
      </c>
      <c r="N47" s="22">
        <v>91</v>
      </c>
      <c r="O47" s="19">
        <v>196.1</v>
      </c>
      <c r="P47" s="22">
        <f t="shared" si="1"/>
        <v>140</v>
      </c>
      <c r="Q47" s="19">
        <v>209.6</v>
      </c>
      <c r="R47" s="33">
        <v>189</v>
      </c>
      <c r="S47" s="19"/>
      <c r="T47" s="20"/>
      <c r="U47" s="36"/>
    </row>
    <row r="48" spans="1:21" ht="15.75" x14ac:dyDescent="0.25">
      <c r="A48" s="22">
        <v>43</v>
      </c>
      <c r="B48" s="19">
        <v>192</v>
      </c>
      <c r="C48" s="22">
        <v>92</v>
      </c>
      <c r="D48" s="19">
        <v>214.6</v>
      </c>
      <c r="E48" s="22">
        <f t="shared" si="0"/>
        <v>141</v>
      </c>
      <c r="F48" s="19">
        <v>211.7</v>
      </c>
      <c r="G48" s="33">
        <v>190</v>
      </c>
      <c r="H48" s="19"/>
      <c r="I48" s="21"/>
      <c r="J48" s="36"/>
      <c r="L48" s="22">
        <v>43</v>
      </c>
      <c r="M48" s="19">
        <v>192</v>
      </c>
      <c r="N48" s="22">
        <v>92</v>
      </c>
      <c r="O48" s="19">
        <v>214.6</v>
      </c>
      <c r="P48" s="22">
        <f t="shared" si="1"/>
        <v>141</v>
      </c>
      <c r="Q48" s="19">
        <v>211.7</v>
      </c>
      <c r="R48" s="33">
        <v>190</v>
      </c>
      <c r="S48" s="19"/>
      <c r="T48" s="21"/>
      <c r="U48" s="36"/>
    </row>
    <row r="49" spans="1:21" ht="15.75" x14ac:dyDescent="0.25">
      <c r="A49" s="22">
        <v>44</v>
      </c>
      <c r="B49" s="19">
        <v>197.9</v>
      </c>
      <c r="C49" s="22">
        <v>93</v>
      </c>
      <c r="D49" s="19">
        <v>191.3</v>
      </c>
      <c r="E49" s="22">
        <f t="shared" si="0"/>
        <v>142</v>
      </c>
      <c r="F49" s="19">
        <v>203.7</v>
      </c>
      <c r="G49" s="33">
        <v>191</v>
      </c>
      <c r="H49" s="19"/>
      <c r="I49" s="21"/>
      <c r="J49" s="36"/>
      <c r="L49" s="22">
        <v>44</v>
      </c>
      <c r="M49" s="19">
        <v>197.9</v>
      </c>
      <c r="N49" s="22">
        <v>93</v>
      </c>
      <c r="O49" s="19">
        <v>191.3</v>
      </c>
      <c r="P49" s="22">
        <f t="shared" si="1"/>
        <v>142</v>
      </c>
      <c r="Q49" s="19">
        <v>203.7</v>
      </c>
      <c r="R49" s="33">
        <v>191</v>
      </c>
      <c r="S49" s="19"/>
      <c r="T49" s="21"/>
      <c r="U49" s="36"/>
    </row>
    <row r="50" spans="1:21" ht="15.75" x14ac:dyDescent="0.25">
      <c r="A50" s="22">
        <v>45</v>
      </c>
      <c r="B50" s="19">
        <v>192.4</v>
      </c>
      <c r="C50" s="22">
        <v>94</v>
      </c>
      <c r="D50" s="19">
        <v>207.5</v>
      </c>
      <c r="E50" s="22">
        <f t="shared" si="0"/>
        <v>143</v>
      </c>
      <c r="F50" s="19">
        <v>201.8</v>
      </c>
      <c r="G50" s="33">
        <v>192</v>
      </c>
      <c r="H50" s="19"/>
      <c r="I50" s="20"/>
      <c r="J50" s="36"/>
      <c r="L50" s="22">
        <v>45</v>
      </c>
      <c r="M50" s="19">
        <v>192.4</v>
      </c>
      <c r="N50" s="22">
        <v>94</v>
      </c>
      <c r="O50" s="19">
        <v>207.5</v>
      </c>
      <c r="P50" s="22">
        <f t="shared" si="1"/>
        <v>143</v>
      </c>
      <c r="Q50" s="19">
        <v>201.8</v>
      </c>
      <c r="R50" s="33">
        <v>192</v>
      </c>
      <c r="S50" s="19"/>
      <c r="T50" s="20"/>
      <c r="U50" s="36"/>
    </row>
    <row r="51" spans="1:21" ht="15.75" x14ac:dyDescent="0.25">
      <c r="A51" s="22">
        <v>46</v>
      </c>
      <c r="B51" s="19">
        <v>191</v>
      </c>
      <c r="C51" s="22">
        <v>95</v>
      </c>
      <c r="D51" s="19">
        <v>194.3</v>
      </c>
      <c r="E51" s="22">
        <f t="shared" si="0"/>
        <v>144</v>
      </c>
      <c r="F51" s="19">
        <v>209.1</v>
      </c>
      <c r="G51" s="33">
        <v>193</v>
      </c>
      <c r="H51" s="19"/>
      <c r="I51" s="20"/>
      <c r="J51" s="36"/>
      <c r="L51" s="22">
        <v>46</v>
      </c>
      <c r="M51" s="19">
        <v>191</v>
      </c>
      <c r="N51" s="22">
        <v>95</v>
      </c>
      <c r="O51" s="19">
        <v>194.3</v>
      </c>
      <c r="P51" s="22">
        <f t="shared" si="1"/>
        <v>144</v>
      </c>
      <c r="Q51" s="19">
        <v>209.1</v>
      </c>
      <c r="R51" s="33">
        <v>193</v>
      </c>
      <c r="S51" s="19"/>
      <c r="T51" s="20"/>
      <c r="U51" s="36"/>
    </row>
    <row r="52" spans="1:21" ht="15.75" x14ac:dyDescent="0.25">
      <c r="A52" s="22">
        <v>47</v>
      </c>
      <c r="B52" s="19">
        <v>191.1</v>
      </c>
      <c r="C52" s="22">
        <v>96</v>
      </c>
      <c r="D52" s="19">
        <v>177.5</v>
      </c>
      <c r="E52" s="22">
        <f t="shared" si="0"/>
        <v>145</v>
      </c>
      <c r="F52" s="19">
        <v>207.7</v>
      </c>
      <c r="G52" s="33">
        <v>194</v>
      </c>
      <c r="H52" s="19"/>
      <c r="I52" s="21"/>
      <c r="J52" s="36"/>
      <c r="L52" s="22">
        <v>47</v>
      </c>
      <c r="M52" s="19">
        <v>191.1</v>
      </c>
      <c r="N52" s="22">
        <v>96</v>
      </c>
      <c r="O52" s="19">
        <v>177.5</v>
      </c>
      <c r="P52" s="22">
        <f t="shared" si="1"/>
        <v>145</v>
      </c>
      <c r="Q52" s="19">
        <v>207.7</v>
      </c>
      <c r="R52" s="33">
        <v>194</v>
      </c>
      <c r="S52" s="19"/>
      <c r="T52" s="21"/>
      <c r="U52" s="36"/>
    </row>
    <row r="53" spans="1:21" ht="15.75" x14ac:dyDescent="0.25">
      <c r="A53" s="22">
        <v>48</v>
      </c>
      <c r="B53" s="19">
        <v>197.8</v>
      </c>
      <c r="C53" s="22">
        <v>97</v>
      </c>
      <c r="D53" s="19">
        <v>207.8</v>
      </c>
      <c r="E53" s="22">
        <f t="shared" si="0"/>
        <v>146</v>
      </c>
      <c r="F53" s="19">
        <v>201.1</v>
      </c>
      <c r="G53" s="33">
        <v>195</v>
      </c>
      <c r="H53" s="19"/>
      <c r="I53" s="20"/>
      <c r="J53" s="36"/>
      <c r="L53" s="22">
        <v>48</v>
      </c>
      <c r="M53" s="19">
        <v>197.8</v>
      </c>
      <c r="N53" s="22">
        <v>97</v>
      </c>
      <c r="O53" s="19">
        <v>207.8</v>
      </c>
      <c r="P53" s="22">
        <f t="shared" si="1"/>
        <v>146</v>
      </c>
      <c r="Q53" s="19">
        <v>201.1</v>
      </c>
      <c r="R53" s="33">
        <v>195</v>
      </c>
      <c r="S53" s="19"/>
      <c r="T53" s="20"/>
      <c r="U53" s="36"/>
    </row>
    <row r="54" spans="1:21" ht="15.75" x14ac:dyDescent="0.25">
      <c r="A54" s="37">
        <v>49</v>
      </c>
      <c r="B54" s="19">
        <v>197.1</v>
      </c>
      <c r="C54" s="37">
        <v>98</v>
      </c>
      <c r="D54" s="19">
        <v>170</v>
      </c>
      <c r="E54" s="22">
        <f t="shared" si="0"/>
        <v>147</v>
      </c>
      <c r="F54" s="19">
        <v>168.6</v>
      </c>
      <c r="G54" s="38">
        <v>196</v>
      </c>
      <c r="H54" s="19"/>
      <c r="I54" s="39"/>
      <c r="J54" s="40"/>
      <c r="L54" s="37">
        <v>49</v>
      </c>
      <c r="M54" s="19">
        <v>197.1</v>
      </c>
      <c r="N54" s="37">
        <v>98</v>
      </c>
      <c r="O54" s="19">
        <v>170</v>
      </c>
      <c r="P54" s="22">
        <f t="shared" si="1"/>
        <v>147</v>
      </c>
      <c r="Q54" s="19">
        <v>168.6</v>
      </c>
      <c r="R54" s="38">
        <v>196</v>
      </c>
      <c r="S54" s="19"/>
      <c r="T54" s="39"/>
      <c r="U54" s="40"/>
    </row>
    <row r="55" spans="1:21" ht="15.75" x14ac:dyDescent="0.25">
      <c r="A55" s="41"/>
      <c r="B55" s="23">
        <f>SUM(B6:B54)</f>
        <v>9396.1000000000022</v>
      </c>
      <c r="C55" s="23"/>
      <c r="D55" s="23">
        <f>SUM(D6:D54)</f>
        <v>9601.6999999999971</v>
      </c>
      <c r="E55" s="23"/>
      <c r="F55" s="23">
        <f>SUM(F6:F54)</f>
        <v>9798.600000000004</v>
      </c>
      <c r="G55" s="23"/>
      <c r="H55" s="23">
        <f>SUM(H6:H54)</f>
        <v>4899.3999999999996</v>
      </c>
      <c r="I55" s="41"/>
      <c r="J55" s="41">
        <f>SUM(J6:J54)</f>
        <v>0</v>
      </c>
      <c r="L55" s="41"/>
      <c r="M55" s="23">
        <f>SUM(M6:M54)</f>
        <v>9396.1000000000022</v>
      </c>
      <c r="N55" s="23"/>
      <c r="O55" s="23">
        <f>SUM(O6:O54)</f>
        <v>9601.6999999999971</v>
      </c>
      <c r="P55" s="23"/>
      <c r="Q55" s="23">
        <f>SUM(Q6:Q54)</f>
        <v>9798.600000000004</v>
      </c>
      <c r="R55" s="23"/>
      <c r="S55" s="23">
        <f>SUM(S6:S54)</f>
        <v>4899.3999999999996</v>
      </c>
      <c r="T55" s="41"/>
      <c r="U55" s="41">
        <f>SUM(U6:U54)</f>
        <v>0</v>
      </c>
    </row>
    <row r="56" spans="1:21" ht="15.75" x14ac:dyDescent="0.25">
      <c r="A56" s="42" t="s">
        <v>5</v>
      </c>
      <c r="B56" s="43">
        <f>COUNT(B6:B54,D6:D54,F6:F54,H6:H54,J6:J54)</f>
        <v>171</v>
      </c>
      <c r="C56" s="13" t="s">
        <v>6</v>
      </c>
      <c r="D56" s="44"/>
      <c r="E56" s="45">
        <f>B55+D55+F55+H55+J55</f>
        <v>33695.800000000003</v>
      </c>
      <c r="F56" s="24" t="s">
        <v>7</v>
      </c>
      <c r="G56" s="1">
        <f>B56*2.2</f>
        <v>376.20000000000005</v>
      </c>
      <c r="H56" s="13" t="s">
        <v>8</v>
      </c>
      <c r="I56" s="44"/>
      <c r="J56" s="45">
        <f>E56-G56</f>
        <v>33319.600000000006</v>
      </c>
      <c r="L56" s="42" t="s">
        <v>5</v>
      </c>
      <c r="M56" s="43">
        <f>COUNT(M6:M54,O6:O54,Q6:Q54,S6:S54,U6:U54)</f>
        <v>171</v>
      </c>
      <c r="N56" s="13" t="s">
        <v>6</v>
      </c>
      <c r="O56" s="44"/>
      <c r="P56" s="45">
        <f>M55+O55+Q55+S55+U55</f>
        <v>33695.800000000003</v>
      </c>
      <c r="Q56" s="24" t="s">
        <v>7</v>
      </c>
      <c r="R56" s="1">
        <f>M56*2.2</f>
        <v>376.20000000000005</v>
      </c>
      <c r="S56" s="13" t="s">
        <v>8</v>
      </c>
      <c r="T56" s="44"/>
      <c r="U56" s="45">
        <f>P56-R56</f>
        <v>33319.600000000006</v>
      </c>
    </row>
    <row r="57" spans="1:21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  <c r="L57" s="42" t="s">
        <v>9</v>
      </c>
      <c r="M57" s="25"/>
      <c r="N57" s="46"/>
      <c r="O57" s="44"/>
      <c r="P57" s="47"/>
      <c r="Q57" s="25"/>
      <c r="R57" s="48"/>
      <c r="S57" s="46"/>
      <c r="T57" s="44"/>
      <c r="U57" s="49"/>
    </row>
    <row r="59" spans="1:21" x14ac:dyDescent="0.25">
      <c r="F59" s="112" t="s">
        <v>61</v>
      </c>
      <c r="G59" s="112">
        <v>2.2000000000000002</v>
      </c>
      <c r="Q59" s="112" t="s">
        <v>61</v>
      </c>
      <c r="R59" s="112">
        <v>2.2000000000000002</v>
      </c>
    </row>
  </sheetData>
  <protectedRanges>
    <protectedRange password="CCE1" sqref="C6:C54 G6:G54 E6:E54 I6:I29 N6:N54 R6:R54 P6:P54 T6:T29" name="Диапазон1_3_1_7_2_1_1_1_1_1_1_1"/>
  </protectedRanges>
  <mergeCells count="4">
    <mergeCell ref="A1:J1"/>
    <mergeCell ref="I4:J4"/>
    <mergeCell ref="L1:U1"/>
    <mergeCell ref="T4:U4"/>
  </mergeCells>
  <pageMargins left="0.7" right="0.7" top="0.75" bottom="0.75" header="0.3" footer="0.3"/>
  <pageSetup paperSize="9" scale="83" orientation="portrait" verticalDpi="0" r:id="rId1"/>
  <rowBreaks count="1" manualBreakCount="1">
    <brk id="57" max="16383" man="1"/>
  </rowBreaks>
  <colBreaks count="1" manualBreakCount="1">
    <brk id="10" max="56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9"/>
  <sheetViews>
    <sheetView topLeftCell="A46" zoomScale="90" zoomScaleNormal="90" workbookViewId="0">
      <selection activeCell="U11" sqref="U11:U29"/>
    </sheetView>
  </sheetViews>
  <sheetFormatPr defaultRowHeight="15" x14ac:dyDescent="0.25"/>
  <cols>
    <col min="5" max="5" width="12.7109375" bestFit="1" customWidth="1"/>
    <col min="10" max="10" width="12.7109375" bestFit="1" customWidth="1"/>
    <col min="11" max="11" width="1.85546875" customWidth="1"/>
    <col min="16" max="16" width="13" bestFit="1" customWidth="1"/>
    <col min="21" max="21" width="13" bestFit="1" customWidth="1"/>
  </cols>
  <sheetData>
    <row r="1" spans="1:21" ht="18.75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L1" s="204" t="s">
        <v>0</v>
      </c>
      <c r="M1" s="204"/>
      <c r="N1" s="204"/>
      <c r="O1" s="204"/>
      <c r="P1" s="204"/>
      <c r="Q1" s="204"/>
      <c r="R1" s="204"/>
      <c r="S1" s="204"/>
      <c r="T1" s="204"/>
      <c r="U1" s="204"/>
    </row>
    <row r="2" spans="1:21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  <c r="L2" s="13" t="s">
        <v>1</v>
      </c>
      <c r="M2" s="13"/>
      <c r="N2" s="13"/>
      <c r="O2" s="13"/>
      <c r="P2" s="13"/>
      <c r="Q2" s="13"/>
      <c r="R2" s="27"/>
      <c r="S2" s="13"/>
      <c r="T2" s="13"/>
      <c r="U2" s="13"/>
    </row>
    <row r="3" spans="1:21" ht="15.75" x14ac:dyDescent="0.25">
      <c r="A3" s="25" t="s">
        <v>2</v>
      </c>
      <c r="B3" s="27">
        <v>220</v>
      </c>
      <c r="C3" s="14"/>
      <c r="D3" s="15"/>
      <c r="E3" s="16"/>
      <c r="F3" s="16"/>
      <c r="G3" s="16"/>
      <c r="H3" s="16"/>
      <c r="I3" s="16" t="s">
        <v>33</v>
      </c>
      <c r="J3" s="16"/>
      <c r="L3" s="25" t="s">
        <v>2</v>
      </c>
      <c r="M3" s="27">
        <v>220</v>
      </c>
      <c r="N3" s="14"/>
      <c r="O3" s="15"/>
      <c r="P3" s="16"/>
      <c r="Q3" s="16"/>
      <c r="R3" s="16"/>
      <c r="S3" s="16"/>
      <c r="T3" s="16" t="s">
        <v>33</v>
      </c>
      <c r="U3" s="16"/>
    </row>
    <row r="4" spans="1:21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  <c r="L4" s="17"/>
      <c r="M4" s="17"/>
      <c r="N4" s="17"/>
      <c r="O4" s="17"/>
      <c r="P4" s="17"/>
      <c r="Q4" s="17"/>
      <c r="R4" s="17"/>
      <c r="S4" s="28"/>
      <c r="T4" s="205" t="s">
        <v>50</v>
      </c>
      <c r="U4" s="206"/>
    </row>
    <row r="5" spans="1:21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  <c r="L5" s="29" t="s">
        <v>3</v>
      </c>
      <c r="M5" s="18" t="s">
        <v>4</v>
      </c>
      <c r="N5" s="29" t="s">
        <v>3</v>
      </c>
      <c r="O5" s="18" t="s">
        <v>4</v>
      </c>
      <c r="P5" s="29" t="s">
        <v>3</v>
      </c>
      <c r="Q5" s="18" t="s">
        <v>4</v>
      </c>
      <c r="R5" s="29" t="s">
        <v>3</v>
      </c>
      <c r="S5" s="30" t="s">
        <v>4</v>
      </c>
      <c r="T5" s="31" t="s">
        <v>3</v>
      </c>
      <c r="U5" s="32" t="s">
        <v>4</v>
      </c>
    </row>
    <row r="6" spans="1:21" ht="15.75" x14ac:dyDescent="0.25">
      <c r="A6" s="22">
        <v>1</v>
      </c>
      <c r="B6" s="19">
        <v>202.9</v>
      </c>
      <c r="C6" s="22">
        <v>50</v>
      </c>
      <c r="D6" s="19">
        <v>206.5</v>
      </c>
      <c r="E6" s="22">
        <v>99</v>
      </c>
      <c r="F6" s="19">
        <v>208.5</v>
      </c>
      <c r="G6" s="33">
        <v>148</v>
      </c>
      <c r="H6" s="19">
        <v>200.5</v>
      </c>
      <c r="I6" s="34">
        <v>197</v>
      </c>
      <c r="J6" s="19">
        <v>203.1</v>
      </c>
      <c r="L6" s="22">
        <v>1</v>
      </c>
      <c r="M6" s="19">
        <v>202.9</v>
      </c>
      <c r="N6" s="22">
        <v>50</v>
      </c>
      <c r="O6" s="19">
        <v>206.5</v>
      </c>
      <c r="P6" s="22">
        <v>99</v>
      </c>
      <c r="Q6" s="19">
        <v>208.5</v>
      </c>
      <c r="R6" s="33">
        <v>148</v>
      </c>
      <c r="S6" s="19">
        <v>200.5</v>
      </c>
      <c r="T6" s="34">
        <v>197</v>
      </c>
      <c r="U6" s="19">
        <v>203.1</v>
      </c>
    </row>
    <row r="7" spans="1:21" ht="15.75" x14ac:dyDescent="0.25">
      <c r="A7" s="22">
        <v>2</v>
      </c>
      <c r="B7" s="19">
        <v>202.7</v>
      </c>
      <c r="C7" s="22">
        <v>51</v>
      </c>
      <c r="D7" s="19">
        <v>207.7</v>
      </c>
      <c r="E7" s="22">
        <v>100</v>
      </c>
      <c r="F7" s="19">
        <v>197.7</v>
      </c>
      <c r="G7" s="33">
        <v>149</v>
      </c>
      <c r="H7" s="19">
        <v>201.4</v>
      </c>
      <c r="I7" s="33">
        <v>198</v>
      </c>
      <c r="J7" s="19">
        <v>201.8</v>
      </c>
      <c r="L7" s="22">
        <v>2</v>
      </c>
      <c r="M7" s="19">
        <v>202.7</v>
      </c>
      <c r="N7" s="22">
        <v>51</v>
      </c>
      <c r="O7" s="19">
        <v>207.7</v>
      </c>
      <c r="P7" s="22">
        <v>100</v>
      </c>
      <c r="Q7" s="19">
        <v>197.7</v>
      </c>
      <c r="R7" s="33">
        <v>149</v>
      </c>
      <c r="S7" s="19">
        <v>201.4</v>
      </c>
      <c r="T7" s="33">
        <v>198</v>
      </c>
      <c r="U7" s="19">
        <v>201.8</v>
      </c>
    </row>
    <row r="8" spans="1:21" ht="15.75" x14ac:dyDescent="0.25">
      <c r="A8" s="22">
        <v>3</v>
      </c>
      <c r="B8" s="19">
        <v>204.5</v>
      </c>
      <c r="C8" s="22">
        <v>52</v>
      </c>
      <c r="D8" s="19">
        <v>208.7</v>
      </c>
      <c r="E8" s="22">
        <f t="shared" ref="E8:E54" si="0">+E7+1</f>
        <v>101</v>
      </c>
      <c r="F8" s="19">
        <v>202.6</v>
      </c>
      <c r="G8" s="33">
        <v>150</v>
      </c>
      <c r="H8" s="19">
        <v>205</v>
      </c>
      <c r="I8" s="33">
        <v>199</v>
      </c>
      <c r="J8" s="19">
        <v>203.8</v>
      </c>
      <c r="L8" s="22">
        <v>3</v>
      </c>
      <c r="M8" s="19">
        <v>204.5</v>
      </c>
      <c r="N8" s="22">
        <v>52</v>
      </c>
      <c r="O8" s="19">
        <v>208.7</v>
      </c>
      <c r="P8" s="22">
        <f t="shared" ref="P8:P54" si="1">+P7+1</f>
        <v>101</v>
      </c>
      <c r="Q8" s="19">
        <v>202.6</v>
      </c>
      <c r="R8" s="33">
        <v>150</v>
      </c>
      <c r="S8" s="19">
        <v>205</v>
      </c>
      <c r="T8" s="33">
        <v>199</v>
      </c>
      <c r="U8" s="19">
        <v>203.8</v>
      </c>
    </row>
    <row r="9" spans="1:21" ht="15.75" x14ac:dyDescent="0.25">
      <c r="A9" s="22">
        <v>4</v>
      </c>
      <c r="B9" s="19">
        <v>207.8</v>
      </c>
      <c r="C9" s="22">
        <v>53</v>
      </c>
      <c r="D9" s="19">
        <v>204.3</v>
      </c>
      <c r="E9" s="22">
        <f t="shared" si="0"/>
        <v>102</v>
      </c>
      <c r="F9" s="19">
        <v>208.7</v>
      </c>
      <c r="G9" s="33">
        <v>151</v>
      </c>
      <c r="H9" s="19">
        <v>202.5</v>
      </c>
      <c r="I9" s="33">
        <v>200</v>
      </c>
      <c r="J9" s="19">
        <v>201.4</v>
      </c>
      <c r="L9" s="22">
        <v>4</v>
      </c>
      <c r="M9" s="19">
        <v>207.8</v>
      </c>
      <c r="N9" s="22">
        <v>53</v>
      </c>
      <c r="O9" s="19">
        <v>204.3</v>
      </c>
      <c r="P9" s="22">
        <f t="shared" si="1"/>
        <v>102</v>
      </c>
      <c r="Q9" s="19">
        <v>208.7</v>
      </c>
      <c r="R9" s="33">
        <v>151</v>
      </c>
      <c r="S9" s="19">
        <v>202.5</v>
      </c>
      <c r="T9" s="33">
        <v>200</v>
      </c>
      <c r="U9" s="19">
        <v>201.4</v>
      </c>
    </row>
    <row r="10" spans="1:21" ht="15.75" x14ac:dyDescent="0.25">
      <c r="A10" s="22">
        <v>5</v>
      </c>
      <c r="B10" s="19">
        <v>200.7</v>
      </c>
      <c r="C10" s="22">
        <v>54</v>
      </c>
      <c r="D10" s="19">
        <v>207.5</v>
      </c>
      <c r="E10" s="22">
        <f t="shared" si="0"/>
        <v>103</v>
      </c>
      <c r="F10" s="19">
        <v>209.6</v>
      </c>
      <c r="G10" s="33">
        <v>152</v>
      </c>
      <c r="H10" s="19">
        <v>207.2</v>
      </c>
      <c r="I10" s="33">
        <v>201</v>
      </c>
      <c r="J10" s="19">
        <v>197.3</v>
      </c>
      <c r="L10" s="22">
        <v>5</v>
      </c>
      <c r="M10" s="19">
        <v>200.7</v>
      </c>
      <c r="N10" s="22">
        <v>54</v>
      </c>
      <c r="O10" s="19">
        <v>207.5</v>
      </c>
      <c r="P10" s="22">
        <f t="shared" si="1"/>
        <v>103</v>
      </c>
      <c r="Q10" s="19">
        <v>209.6</v>
      </c>
      <c r="R10" s="33">
        <v>152</v>
      </c>
      <c r="S10" s="19">
        <v>207.2</v>
      </c>
      <c r="T10" s="33">
        <v>201</v>
      </c>
      <c r="U10" s="19">
        <v>197.3</v>
      </c>
    </row>
    <row r="11" spans="1:21" ht="15.75" x14ac:dyDescent="0.25">
      <c r="A11" s="22">
        <v>6</v>
      </c>
      <c r="B11" s="19">
        <v>204.4</v>
      </c>
      <c r="C11" s="22">
        <v>55</v>
      </c>
      <c r="D11" s="19">
        <v>199.1</v>
      </c>
      <c r="E11" s="22">
        <f t="shared" si="0"/>
        <v>104</v>
      </c>
      <c r="F11" s="19">
        <v>202.4</v>
      </c>
      <c r="G11" s="33">
        <v>153</v>
      </c>
      <c r="H11" s="19">
        <v>199.1</v>
      </c>
      <c r="I11" s="33">
        <v>202</v>
      </c>
      <c r="J11" s="19">
        <v>203.6</v>
      </c>
      <c r="L11" s="22">
        <v>6</v>
      </c>
      <c r="M11" s="19">
        <v>204.4</v>
      </c>
      <c r="N11" s="22">
        <v>55</v>
      </c>
      <c r="O11" s="19">
        <v>199.1</v>
      </c>
      <c r="P11" s="22">
        <f t="shared" si="1"/>
        <v>104</v>
      </c>
      <c r="Q11" s="19">
        <v>202.4</v>
      </c>
      <c r="R11" s="33">
        <v>153</v>
      </c>
      <c r="S11" s="19">
        <v>199.1</v>
      </c>
      <c r="T11" s="33">
        <v>202</v>
      </c>
      <c r="U11" s="19">
        <v>203.6</v>
      </c>
    </row>
    <row r="12" spans="1:21" ht="15.75" x14ac:dyDescent="0.25">
      <c r="A12" s="22">
        <v>7</v>
      </c>
      <c r="B12" s="19">
        <v>205.5</v>
      </c>
      <c r="C12" s="22">
        <v>56</v>
      </c>
      <c r="D12" s="19">
        <v>212.7</v>
      </c>
      <c r="E12" s="22">
        <f t="shared" si="0"/>
        <v>105</v>
      </c>
      <c r="F12" s="19">
        <v>203.7</v>
      </c>
      <c r="G12" s="33">
        <v>154</v>
      </c>
      <c r="H12" s="19">
        <v>201.7</v>
      </c>
      <c r="I12" s="33">
        <v>203</v>
      </c>
      <c r="J12" s="19">
        <v>198.8</v>
      </c>
      <c r="L12" s="22">
        <v>7</v>
      </c>
      <c r="M12" s="19">
        <v>205.5</v>
      </c>
      <c r="N12" s="22">
        <v>56</v>
      </c>
      <c r="O12" s="19">
        <v>212.7</v>
      </c>
      <c r="P12" s="22">
        <f t="shared" si="1"/>
        <v>105</v>
      </c>
      <c r="Q12" s="19">
        <v>203.7</v>
      </c>
      <c r="R12" s="33">
        <v>154</v>
      </c>
      <c r="S12" s="19">
        <v>201.7</v>
      </c>
      <c r="T12" s="33">
        <v>203</v>
      </c>
      <c r="U12" s="19">
        <v>198.8</v>
      </c>
    </row>
    <row r="13" spans="1:21" ht="15.75" x14ac:dyDescent="0.25">
      <c r="A13" s="22">
        <v>8</v>
      </c>
      <c r="B13" s="19">
        <v>198.3</v>
      </c>
      <c r="C13" s="22">
        <v>57</v>
      </c>
      <c r="D13" s="19">
        <v>207.4</v>
      </c>
      <c r="E13" s="22">
        <f t="shared" si="0"/>
        <v>106</v>
      </c>
      <c r="F13" s="19">
        <v>207.9</v>
      </c>
      <c r="G13" s="33">
        <v>155</v>
      </c>
      <c r="H13" s="19">
        <v>196.8</v>
      </c>
      <c r="I13" s="33">
        <v>204</v>
      </c>
      <c r="J13" s="19">
        <v>203.4</v>
      </c>
      <c r="L13" s="22">
        <v>8</v>
      </c>
      <c r="M13" s="19">
        <v>198.3</v>
      </c>
      <c r="N13" s="22">
        <v>57</v>
      </c>
      <c r="O13" s="19">
        <v>207.4</v>
      </c>
      <c r="P13" s="22">
        <f t="shared" si="1"/>
        <v>106</v>
      </c>
      <c r="Q13" s="19">
        <v>207.9</v>
      </c>
      <c r="R13" s="33">
        <v>155</v>
      </c>
      <c r="S13" s="19">
        <v>196.8</v>
      </c>
      <c r="T13" s="33">
        <v>204</v>
      </c>
      <c r="U13" s="19">
        <v>203.4</v>
      </c>
    </row>
    <row r="14" spans="1:21" ht="15.75" x14ac:dyDescent="0.25">
      <c r="A14" s="22">
        <v>9</v>
      </c>
      <c r="B14" s="19">
        <v>202.6</v>
      </c>
      <c r="C14" s="22">
        <v>58</v>
      </c>
      <c r="D14" s="19">
        <v>205.8</v>
      </c>
      <c r="E14" s="22">
        <f t="shared" si="0"/>
        <v>107</v>
      </c>
      <c r="F14" s="19">
        <v>206</v>
      </c>
      <c r="G14" s="33">
        <v>156</v>
      </c>
      <c r="H14" s="19">
        <v>200.8</v>
      </c>
      <c r="I14" s="33">
        <v>205</v>
      </c>
      <c r="J14" s="19">
        <v>206.7</v>
      </c>
      <c r="L14" s="22">
        <v>9</v>
      </c>
      <c r="M14" s="19">
        <v>202.6</v>
      </c>
      <c r="N14" s="22">
        <v>58</v>
      </c>
      <c r="O14" s="19">
        <v>205.8</v>
      </c>
      <c r="P14" s="22">
        <f t="shared" si="1"/>
        <v>107</v>
      </c>
      <c r="Q14" s="19">
        <v>206</v>
      </c>
      <c r="R14" s="33">
        <v>156</v>
      </c>
      <c r="S14" s="19">
        <v>200.8</v>
      </c>
      <c r="T14" s="33">
        <v>205</v>
      </c>
      <c r="U14" s="19">
        <v>206.7</v>
      </c>
    </row>
    <row r="15" spans="1:21" ht="15.75" x14ac:dyDescent="0.25">
      <c r="A15" s="22">
        <v>10</v>
      </c>
      <c r="B15" s="19">
        <v>200.5</v>
      </c>
      <c r="C15" s="22">
        <v>59</v>
      </c>
      <c r="D15" s="19">
        <v>199.6</v>
      </c>
      <c r="E15" s="22">
        <f t="shared" si="0"/>
        <v>108</v>
      </c>
      <c r="F15" s="19">
        <v>205.5</v>
      </c>
      <c r="G15" s="33">
        <v>157</v>
      </c>
      <c r="H15" s="19">
        <v>207.4</v>
      </c>
      <c r="I15" s="33">
        <v>206</v>
      </c>
      <c r="J15" s="19">
        <v>207.4</v>
      </c>
      <c r="L15" s="22">
        <v>10</v>
      </c>
      <c r="M15" s="19">
        <v>200.5</v>
      </c>
      <c r="N15" s="22">
        <v>59</v>
      </c>
      <c r="O15" s="19">
        <v>199.6</v>
      </c>
      <c r="P15" s="22">
        <f t="shared" si="1"/>
        <v>108</v>
      </c>
      <c r="Q15" s="19">
        <v>205.5</v>
      </c>
      <c r="R15" s="33">
        <v>157</v>
      </c>
      <c r="S15" s="19">
        <v>207.4</v>
      </c>
      <c r="T15" s="33">
        <v>206</v>
      </c>
      <c r="U15" s="19">
        <v>207.4</v>
      </c>
    </row>
    <row r="16" spans="1:21" ht="15.75" x14ac:dyDescent="0.25">
      <c r="A16" s="22">
        <v>11</v>
      </c>
      <c r="B16" s="19">
        <v>201.6</v>
      </c>
      <c r="C16" s="22">
        <v>60</v>
      </c>
      <c r="D16" s="19">
        <v>211.5</v>
      </c>
      <c r="E16" s="22">
        <f t="shared" si="0"/>
        <v>109</v>
      </c>
      <c r="F16" s="19">
        <v>207.1</v>
      </c>
      <c r="G16" s="33">
        <v>158</v>
      </c>
      <c r="H16" s="19">
        <v>202.6</v>
      </c>
      <c r="I16" s="33">
        <v>207</v>
      </c>
      <c r="J16" s="19">
        <v>200.5</v>
      </c>
      <c r="L16" s="22">
        <v>11</v>
      </c>
      <c r="M16" s="19">
        <v>201.6</v>
      </c>
      <c r="N16" s="22">
        <v>60</v>
      </c>
      <c r="O16" s="19">
        <v>211.5</v>
      </c>
      <c r="P16" s="22">
        <f t="shared" si="1"/>
        <v>109</v>
      </c>
      <c r="Q16" s="19">
        <v>207.1</v>
      </c>
      <c r="R16" s="33">
        <v>158</v>
      </c>
      <c r="S16" s="19">
        <v>202.6</v>
      </c>
      <c r="T16" s="33">
        <v>207</v>
      </c>
      <c r="U16" s="19">
        <v>200.5</v>
      </c>
    </row>
    <row r="17" spans="1:21" ht="15.75" x14ac:dyDescent="0.25">
      <c r="A17" s="22">
        <v>12</v>
      </c>
      <c r="B17" s="19">
        <v>208.1</v>
      </c>
      <c r="C17" s="22">
        <v>61</v>
      </c>
      <c r="D17" s="19">
        <v>213.6</v>
      </c>
      <c r="E17" s="22">
        <f t="shared" si="0"/>
        <v>110</v>
      </c>
      <c r="F17" s="19">
        <v>205.4</v>
      </c>
      <c r="G17" s="33">
        <v>159</v>
      </c>
      <c r="H17" s="19">
        <v>197</v>
      </c>
      <c r="I17" s="33">
        <v>208</v>
      </c>
      <c r="J17" s="19">
        <v>204.7</v>
      </c>
      <c r="L17" s="22">
        <v>12</v>
      </c>
      <c r="M17" s="19">
        <v>208.1</v>
      </c>
      <c r="N17" s="22">
        <v>61</v>
      </c>
      <c r="O17" s="19">
        <v>213.6</v>
      </c>
      <c r="P17" s="22">
        <f t="shared" si="1"/>
        <v>110</v>
      </c>
      <c r="Q17" s="19">
        <v>205.4</v>
      </c>
      <c r="R17" s="33">
        <v>159</v>
      </c>
      <c r="S17" s="19">
        <v>197</v>
      </c>
      <c r="T17" s="33">
        <v>208</v>
      </c>
      <c r="U17" s="19">
        <v>204.7</v>
      </c>
    </row>
    <row r="18" spans="1:21" ht="15.75" x14ac:dyDescent="0.25">
      <c r="A18" s="22">
        <v>13</v>
      </c>
      <c r="B18" s="19">
        <v>195.6</v>
      </c>
      <c r="C18" s="22">
        <v>62</v>
      </c>
      <c r="D18" s="19">
        <v>207.1</v>
      </c>
      <c r="E18" s="22">
        <f t="shared" si="0"/>
        <v>111</v>
      </c>
      <c r="F18" s="19">
        <v>204.5</v>
      </c>
      <c r="G18" s="33">
        <v>160</v>
      </c>
      <c r="H18" s="19">
        <v>204.4</v>
      </c>
      <c r="I18" s="33">
        <v>209</v>
      </c>
      <c r="J18" s="19">
        <v>204.1</v>
      </c>
      <c r="L18" s="22">
        <v>13</v>
      </c>
      <c r="M18" s="19">
        <v>195.6</v>
      </c>
      <c r="N18" s="22">
        <v>62</v>
      </c>
      <c r="O18" s="19">
        <v>207.1</v>
      </c>
      <c r="P18" s="22">
        <f t="shared" si="1"/>
        <v>111</v>
      </c>
      <c r="Q18" s="19">
        <v>204.5</v>
      </c>
      <c r="R18" s="33">
        <v>160</v>
      </c>
      <c r="S18" s="19">
        <v>204.4</v>
      </c>
      <c r="T18" s="33">
        <v>209</v>
      </c>
      <c r="U18" s="19">
        <v>204.1</v>
      </c>
    </row>
    <row r="19" spans="1:21" ht="15.75" x14ac:dyDescent="0.25">
      <c r="A19" s="22">
        <v>14</v>
      </c>
      <c r="B19" s="19">
        <v>207.3</v>
      </c>
      <c r="C19" s="22">
        <v>63</v>
      </c>
      <c r="D19" s="19">
        <v>218.4</v>
      </c>
      <c r="E19" s="22">
        <f t="shared" si="0"/>
        <v>112</v>
      </c>
      <c r="F19" s="19">
        <v>211.2</v>
      </c>
      <c r="G19" s="33">
        <v>161</v>
      </c>
      <c r="H19" s="19">
        <v>208.8</v>
      </c>
      <c r="I19" s="33">
        <v>210</v>
      </c>
      <c r="J19" s="19">
        <v>201.6</v>
      </c>
      <c r="L19" s="22">
        <v>14</v>
      </c>
      <c r="M19" s="19">
        <v>207.3</v>
      </c>
      <c r="N19" s="22">
        <v>63</v>
      </c>
      <c r="O19" s="19">
        <v>218.4</v>
      </c>
      <c r="P19" s="22">
        <f t="shared" si="1"/>
        <v>112</v>
      </c>
      <c r="Q19" s="19">
        <v>211.2</v>
      </c>
      <c r="R19" s="33">
        <v>161</v>
      </c>
      <c r="S19" s="19">
        <v>208.8</v>
      </c>
      <c r="T19" s="33">
        <v>210</v>
      </c>
      <c r="U19" s="19">
        <v>201.6</v>
      </c>
    </row>
    <row r="20" spans="1:21" ht="15.75" x14ac:dyDescent="0.25">
      <c r="A20" s="22">
        <v>15</v>
      </c>
      <c r="B20" s="19">
        <v>211.9</v>
      </c>
      <c r="C20" s="22">
        <v>64</v>
      </c>
      <c r="D20" s="19">
        <v>218.6</v>
      </c>
      <c r="E20" s="22">
        <f t="shared" si="0"/>
        <v>113</v>
      </c>
      <c r="F20" s="19">
        <v>208.9</v>
      </c>
      <c r="G20" s="35">
        <v>162</v>
      </c>
      <c r="H20" s="19">
        <v>207.3</v>
      </c>
      <c r="I20" s="33">
        <v>211</v>
      </c>
      <c r="J20" s="19">
        <v>204.1</v>
      </c>
      <c r="L20" s="22">
        <v>15</v>
      </c>
      <c r="M20" s="19">
        <v>211.9</v>
      </c>
      <c r="N20" s="22">
        <v>64</v>
      </c>
      <c r="O20" s="19">
        <v>218.6</v>
      </c>
      <c r="P20" s="22">
        <f t="shared" si="1"/>
        <v>113</v>
      </c>
      <c r="Q20" s="19">
        <v>208.9</v>
      </c>
      <c r="R20" s="35">
        <v>162</v>
      </c>
      <c r="S20" s="19">
        <v>207.3</v>
      </c>
      <c r="T20" s="33">
        <v>211</v>
      </c>
      <c r="U20" s="19">
        <v>204.1</v>
      </c>
    </row>
    <row r="21" spans="1:21" ht="15.75" x14ac:dyDescent="0.25">
      <c r="A21" s="22">
        <v>16</v>
      </c>
      <c r="B21" s="19">
        <v>212.1</v>
      </c>
      <c r="C21" s="22">
        <v>65</v>
      </c>
      <c r="D21" s="19">
        <v>213.5</v>
      </c>
      <c r="E21" s="22">
        <f t="shared" si="0"/>
        <v>114</v>
      </c>
      <c r="F21" s="19">
        <v>204.7</v>
      </c>
      <c r="G21" s="35">
        <v>163</v>
      </c>
      <c r="H21" s="19">
        <v>201</v>
      </c>
      <c r="I21" s="33">
        <v>212</v>
      </c>
      <c r="J21" s="19">
        <v>207</v>
      </c>
      <c r="L21" s="22">
        <v>16</v>
      </c>
      <c r="M21" s="19">
        <v>212.1</v>
      </c>
      <c r="N21" s="22">
        <v>65</v>
      </c>
      <c r="O21" s="19">
        <v>213.5</v>
      </c>
      <c r="P21" s="22">
        <f t="shared" si="1"/>
        <v>114</v>
      </c>
      <c r="Q21" s="19">
        <v>204.7</v>
      </c>
      <c r="R21" s="35">
        <v>163</v>
      </c>
      <c r="S21" s="19">
        <v>201</v>
      </c>
      <c r="T21" s="33">
        <v>212</v>
      </c>
      <c r="U21" s="19">
        <v>207</v>
      </c>
    </row>
    <row r="22" spans="1:21" ht="15.75" x14ac:dyDescent="0.25">
      <c r="A22" s="22">
        <v>17</v>
      </c>
      <c r="B22" s="19">
        <v>205</v>
      </c>
      <c r="C22" s="22">
        <v>66</v>
      </c>
      <c r="D22" s="19">
        <v>208.3</v>
      </c>
      <c r="E22" s="22">
        <f t="shared" si="0"/>
        <v>115</v>
      </c>
      <c r="F22" s="19">
        <v>208.9</v>
      </c>
      <c r="G22" s="35">
        <v>164</v>
      </c>
      <c r="H22" s="19">
        <v>202.5</v>
      </c>
      <c r="I22" s="33">
        <v>213</v>
      </c>
      <c r="J22" s="19">
        <v>208</v>
      </c>
      <c r="L22" s="22">
        <v>17</v>
      </c>
      <c r="M22" s="19">
        <v>205</v>
      </c>
      <c r="N22" s="22">
        <v>66</v>
      </c>
      <c r="O22" s="19">
        <v>208.3</v>
      </c>
      <c r="P22" s="22">
        <f t="shared" si="1"/>
        <v>115</v>
      </c>
      <c r="Q22" s="19">
        <v>208.9</v>
      </c>
      <c r="R22" s="35">
        <v>164</v>
      </c>
      <c r="S22" s="19">
        <v>202.5</v>
      </c>
      <c r="T22" s="33">
        <v>213</v>
      </c>
      <c r="U22" s="19">
        <v>208</v>
      </c>
    </row>
    <row r="23" spans="1:21" ht="15.75" x14ac:dyDescent="0.25">
      <c r="A23" s="22">
        <v>18</v>
      </c>
      <c r="B23" s="19">
        <v>210</v>
      </c>
      <c r="C23" s="22">
        <v>67</v>
      </c>
      <c r="D23" s="19">
        <v>205.4</v>
      </c>
      <c r="E23" s="22">
        <f t="shared" si="0"/>
        <v>116</v>
      </c>
      <c r="F23" s="19">
        <v>204.8</v>
      </c>
      <c r="G23" s="35">
        <v>165</v>
      </c>
      <c r="H23" s="19">
        <v>202.4</v>
      </c>
      <c r="I23" s="33">
        <v>214</v>
      </c>
      <c r="J23" s="19">
        <v>206.6</v>
      </c>
      <c r="L23" s="22">
        <v>18</v>
      </c>
      <c r="M23" s="19">
        <v>210</v>
      </c>
      <c r="N23" s="22">
        <v>67</v>
      </c>
      <c r="O23" s="19">
        <v>205.4</v>
      </c>
      <c r="P23" s="22">
        <f t="shared" si="1"/>
        <v>116</v>
      </c>
      <c r="Q23" s="19">
        <v>204.8</v>
      </c>
      <c r="R23" s="35">
        <v>165</v>
      </c>
      <c r="S23" s="19">
        <v>202.4</v>
      </c>
      <c r="T23" s="33">
        <v>214</v>
      </c>
      <c r="U23" s="19">
        <v>206.6</v>
      </c>
    </row>
    <row r="24" spans="1:21" ht="15.75" x14ac:dyDescent="0.25">
      <c r="A24" s="22">
        <v>19</v>
      </c>
      <c r="B24" s="19">
        <v>207.6</v>
      </c>
      <c r="C24" s="22">
        <v>68</v>
      </c>
      <c r="D24" s="19">
        <v>203.8</v>
      </c>
      <c r="E24" s="22">
        <f t="shared" si="0"/>
        <v>117</v>
      </c>
      <c r="F24" s="19">
        <v>205.9</v>
      </c>
      <c r="G24" s="35">
        <v>166</v>
      </c>
      <c r="H24" s="19">
        <v>201.9</v>
      </c>
      <c r="I24" s="33">
        <v>215</v>
      </c>
      <c r="J24" s="19">
        <v>210.3</v>
      </c>
      <c r="L24" s="22">
        <v>19</v>
      </c>
      <c r="M24" s="19">
        <v>207.6</v>
      </c>
      <c r="N24" s="22">
        <v>68</v>
      </c>
      <c r="O24" s="19">
        <v>203.8</v>
      </c>
      <c r="P24" s="22">
        <f t="shared" si="1"/>
        <v>117</v>
      </c>
      <c r="Q24" s="19">
        <v>205.9</v>
      </c>
      <c r="R24" s="35">
        <v>166</v>
      </c>
      <c r="S24" s="19">
        <v>201.9</v>
      </c>
      <c r="T24" s="33">
        <v>215</v>
      </c>
      <c r="U24" s="19">
        <v>210.3</v>
      </c>
    </row>
    <row r="25" spans="1:21" ht="15.75" x14ac:dyDescent="0.25">
      <c r="A25" s="22">
        <v>20</v>
      </c>
      <c r="B25" s="19">
        <v>202.5</v>
      </c>
      <c r="C25" s="22">
        <v>69</v>
      </c>
      <c r="D25" s="19">
        <v>208.8</v>
      </c>
      <c r="E25" s="22">
        <f t="shared" si="0"/>
        <v>118</v>
      </c>
      <c r="F25" s="19">
        <v>198.4</v>
      </c>
      <c r="G25" s="35">
        <v>167</v>
      </c>
      <c r="H25" s="19">
        <v>196.4</v>
      </c>
      <c r="I25" s="33">
        <v>216</v>
      </c>
      <c r="J25" s="19">
        <v>204.5</v>
      </c>
      <c r="L25" s="22">
        <v>20</v>
      </c>
      <c r="M25" s="19">
        <v>202.5</v>
      </c>
      <c r="N25" s="22">
        <v>69</v>
      </c>
      <c r="O25" s="19">
        <v>208.8</v>
      </c>
      <c r="P25" s="22">
        <f t="shared" si="1"/>
        <v>118</v>
      </c>
      <c r="Q25" s="19">
        <v>198.4</v>
      </c>
      <c r="R25" s="35">
        <v>167</v>
      </c>
      <c r="S25" s="19">
        <v>196.4</v>
      </c>
      <c r="T25" s="33">
        <v>216</v>
      </c>
      <c r="U25" s="19">
        <v>204.5</v>
      </c>
    </row>
    <row r="26" spans="1:21" ht="15.75" x14ac:dyDescent="0.25">
      <c r="A26" s="22">
        <v>21</v>
      </c>
      <c r="B26" s="19">
        <v>204.8</v>
      </c>
      <c r="C26" s="22">
        <v>70</v>
      </c>
      <c r="D26" s="19">
        <v>197.9</v>
      </c>
      <c r="E26" s="22">
        <f t="shared" si="0"/>
        <v>119</v>
      </c>
      <c r="F26" s="19">
        <v>202.4</v>
      </c>
      <c r="G26" s="35">
        <v>168</v>
      </c>
      <c r="H26" s="19">
        <v>200.9</v>
      </c>
      <c r="I26" s="33">
        <v>217</v>
      </c>
      <c r="J26" s="19">
        <v>204.7</v>
      </c>
      <c r="L26" s="22">
        <v>21</v>
      </c>
      <c r="M26" s="19">
        <v>204.8</v>
      </c>
      <c r="N26" s="22">
        <v>70</v>
      </c>
      <c r="O26" s="19">
        <v>197.9</v>
      </c>
      <c r="P26" s="22">
        <f t="shared" si="1"/>
        <v>119</v>
      </c>
      <c r="Q26" s="19">
        <v>202.4</v>
      </c>
      <c r="R26" s="35">
        <v>168</v>
      </c>
      <c r="S26" s="19">
        <v>200.9</v>
      </c>
      <c r="T26" s="33">
        <v>217</v>
      </c>
      <c r="U26" s="19">
        <v>204.7</v>
      </c>
    </row>
    <row r="27" spans="1:21" ht="15.75" x14ac:dyDescent="0.25">
      <c r="A27" s="22">
        <v>22</v>
      </c>
      <c r="B27" s="19">
        <v>201.4</v>
      </c>
      <c r="C27" s="22">
        <v>71</v>
      </c>
      <c r="D27" s="19">
        <v>202.6</v>
      </c>
      <c r="E27" s="22">
        <f t="shared" si="0"/>
        <v>120</v>
      </c>
      <c r="F27" s="19">
        <v>198.5</v>
      </c>
      <c r="G27" s="35">
        <v>169</v>
      </c>
      <c r="H27" s="19">
        <v>200.6</v>
      </c>
      <c r="I27" s="33">
        <v>218</v>
      </c>
      <c r="J27" s="19">
        <v>207</v>
      </c>
      <c r="L27" s="22">
        <v>22</v>
      </c>
      <c r="M27" s="19">
        <v>201.4</v>
      </c>
      <c r="N27" s="22">
        <v>71</v>
      </c>
      <c r="O27" s="19">
        <v>202.6</v>
      </c>
      <c r="P27" s="22">
        <f t="shared" si="1"/>
        <v>120</v>
      </c>
      <c r="Q27" s="19">
        <v>198.5</v>
      </c>
      <c r="R27" s="35">
        <v>169</v>
      </c>
      <c r="S27" s="19">
        <v>200.6</v>
      </c>
      <c r="T27" s="33">
        <v>218</v>
      </c>
      <c r="U27" s="19">
        <v>207</v>
      </c>
    </row>
    <row r="28" spans="1:21" ht="15.75" x14ac:dyDescent="0.25">
      <c r="A28" s="22">
        <v>23</v>
      </c>
      <c r="B28" s="19">
        <v>200.1</v>
      </c>
      <c r="C28" s="22">
        <v>72</v>
      </c>
      <c r="D28" s="19">
        <v>201.2</v>
      </c>
      <c r="E28" s="22">
        <f t="shared" si="0"/>
        <v>121</v>
      </c>
      <c r="F28" s="19">
        <v>200.9</v>
      </c>
      <c r="G28" s="35">
        <v>170</v>
      </c>
      <c r="H28" s="19">
        <v>202.5</v>
      </c>
      <c r="I28" s="33">
        <v>219</v>
      </c>
      <c r="J28" s="19">
        <v>203.8</v>
      </c>
      <c r="L28" s="22">
        <v>23</v>
      </c>
      <c r="M28" s="19">
        <v>200.1</v>
      </c>
      <c r="N28" s="22">
        <v>72</v>
      </c>
      <c r="O28" s="19">
        <v>201.2</v>
      </c>
      <c r="P28" s="22">
        <f t="shared" si="1"/>
        <v>121</v>
      </c>
      <c r="Q28" s="19">
        <v>200.9</v>
      </c>
      <c r="R28" s="35">
        <v>170</v>
      </c>
      <c r="S28" s="19">
        <v>202.5</v>
      </c>
      <c r="T28" s="33">
        <v>219</v>
      </c>
      <c r="U28" s="19">
        <v>203.8</v>
      </c>
    </row>
    <row r="29" spans="1:21" ht="15.75" x14ac:dyDescent="0.25">
      <c r="A29" s="22">
        <v>24</v>
      </c>
      <c r="B29" s="19">
        <v>195.8</v>
      </c>
      <c r="C29" s="22">
        <v>73</v>
      </c>
      <c r="D29" s="19">
        <v>201.5</v>
      </c>
      <c r="E29" s="22">
        <f t="shared" si="0"/>
        <v>122</v>
      </c>
      <c r="F29" s="19">
        <v>205.8</v>
      </c>
      <c r="G29" s="35">
        <v>171</v>
      </c>
      <c r="H29" s="19">
        <v>200.5</v>
      </c>
      <c r="I29" s="33">
        <v>220</v>
      </c>
      <c r="J29" s="19">
        <v>197.2</v>
      </c>
      <c r="L29" s="22">
        <v>24</v>
      </c>
      <c r="M29" s="19">
        <v>195.8</v>
      </c>
      <c r="N29" s="22">
        <v>73</v>
      </c>
      <c r="O29" s="19">
        <v>201.5</v>
      </c>
      <c r="P29" s="22">
        <f t="shared" si="1"/>
        <v>122</v>
      </c>
      <c r="Q29" s="19">
        <v>205.8</v>
      </c>
      <c r="R29" s="35">
        <v>171</v>
      </c>
      <c r="S29" s="19">
        <v>200.5</v>
      </c>
      <c r="T29" s="33">
        <v>220</v>
      </c>
      <c r="U29" s="19">
        <v>197.2</v>
      </c>
    </row>
    <row r="30" spans="1:21" ht="15.75" x14ac:dyDescent="0.25">
      <c r="A30" s="22">
        <v>25</v>
      </c>
      <c r="B30" s="19">
        <v>198.4</v>
      </c>
      <c r="C30" s="22">
        <v>74</v>
      </c>
      <c r="D30" s="19">
        <v>206.7</v>
      </c>
      <c r="E30" s="22">
        <f t="shared" si="0"/>
        <v>123</v>
      </c>
      <c r="F30" s="19">
        <v>204</v>
      </c>
      <c r="G30" s="35">
        <v>172</v>
      </c>
      <c r="H30" s="19">
        <v>199.9</v>
      </c>
      <c r="I30" s="20"/>
      <c r="J30" s="36"/>
      <c r="L30" s="22">
        <v>25</v>
      </c>
      <c r="M30" s="19">
        <v>198.4</v>
      </c>
      <c r="N30" s="22">
        <v>74</v>
      </c>
      <c r="O30" s="19">
        <v>206.7</v>
      </c>
      <c r="P30" s="22">
        <f t="shared" si="1"/>
        <v>123</v>
      </c>
      <c r="Q30" s="19">
        <v>204</v>
      </c>
      <c r="R30" s="35">
        <v>172</v>
      </c>
      <c r="S30" s="19">
        <v>199.9</v>
      </c>
      <c r="T30" s="20"/>
      <c r="U30" s="36"/>
    </row>
    <row r="31" spans="1:21" ht="15.75" x14ac:dyDescent="0.25">
      <c r="A31" s="22">
        <v>26</v>
      </c>
      <c r="B31" s="19">
        <v>198.7</v>
      </c>
      <c r="C31" s="22">
        <v>75</v>
      </c>
      <c r="D31" s="19">
        <v>205.1</v>
      </c>
      <c r="E31" s="22">
        <f t="shared" si="0"/>
        <v>124</v>
      </c>
      <c r="F31" s="19">
        <v>206.7</v>
      </c>
      <c r="G31" s="35">
        <v>173</v>
      </c>
      <c r="H31" s="19">
        <v>202.1</v>
      </c>
      <c r="I31" s="20"/>
      <c r="J31" s="36"/>
      <c r="L31" s="22">
        <v>26</v>
      </c>
      <c r="M31" s="19">
        <v>198.7</v>
      </c>
      <c r="N31" s="22">
        <v>75</v>
      </c>
      <c r="O31" s="19">
        <v>205.1</v>
      </c>
      <c r="P31" s="22">
        <f t="shared" si="1"/>
        <v>124</v>
      </c>
      <c r="Q31" s="19">
        <v>206.7</v>
      </c>
      <c r="R31" s="35">
        <v>173</v>
      </c>
      <c r="S31" s="19">
        <v>202.1</v>
      </c>
      <c r="T31" s="20"/>
      <c r="U31" s="36"/>
    </row>
    <row r="32" spans="1:21" ht="15.75" x14ac:dyDescent="0.25">
      <c r="A32" s="22">
        <v>27</v>
      </c>
      <c r="B32" s="19">
        <v>193.6</v>
      </c>
      <c r="C32" s="22">
        <v>76</v>
      </c>
      <c r="D32" s="19">
        <v>203.2</v>
      </c>
      <c r="E32" s="22">
        <f t="shared" si="0"/>
        <v>125</v>
      </c>
      <c r="F32" s="19">
        <v>205.3</v>
      </c>
      <c r="G32" s="33">
        <v>174</v>
      </c>
      <c r="H32" s="19">
        <v>197.8</v>
      </c>
      <c r="I32" s="21"/>
      <c r="J32" s="36"/>
      <c r="L32" s="22">
        <v>27</v>
      </c>
      <c r="M32" s="19">
        <v>193.6</v>
      </c>
      <c r="N32" s="22">
        <v>76</v>
      </c>
      <c r="O32" s="19">
        <v>203.2</v>
      </c>
      <c r="P32" s="22">
        <f t="shared" si="1"/>
        <v>125</v>
      </c>
      <c r="Q32" s="19">
        <v>205.3</v>
      </c>
      <c r="R32" s="33">
        <v>174</v>
      </c>
      <c r="S32" s="19">
        <v>197.8</v>
      </c>
      <c r="T32" s="21"/>
      <c r="U32" s="36"/>
    </row>
    <row r="33" spans="1:21" ht="15.75" x14ac:dyDescent="0.25">
      <c r="A33" s="22">
        <v>28</v>
      </c>
      <c r="B33" s="19">
        <v>194.1</v>
      </c>
      <c r="C33" s="22">
        <v>77</v>
      </c>
      <c r="D33" s="19">
        <v>206.4</v>
      </c>
      <c r="E33" s="22">
        <f t="shared" si="0"/>
        <v>126</v>
      </c>
      <c r="F33" s="19">
        <v>206.9</v>
      </c>
      <c r="G33" s="33">
        <v>175</v>
      </c>
      <c r="H33" s="19">
        <v>203.5</v>
      </c>
      <c r="I33" s="20"/>
      <c r="J33" s="36"/>
      <c r="L33" s="22">
        <v>28</v>
      </c>
      <c r="M33" s="19">
        <v>194.1</v>
      </c>
      <c r="N33" s="22">
        <v>77</v>
      </c>
      <c r="O33" s="19">
        <v>206.4</v>
      </c>
      <c r="P33" s="22">
        <f t="shared" si="1"/>
        <v>126</v>
      </c>
      <c r="Q33" s="19">
        <v>206.9</v>
      </c>
      <c r="R33" s="33">
        <v>175</v>
      </c>
      <c r="S33" s="19">
        <v>203.5</v>
      </c>
      <c r="T33" s="20"/>
      <c r="U33" s="36"/>
    </row>
    <row r="34" spans="1:21" ht="15.75" x14ac:dyDescent="0.25">
      <c r="A34" s="22">
        <v>29</v>
      </c>
      <c r="B34" s="19">
        <v>198.1</v>
      </c>
      <c r="C34" s="22">
        <v>78</v>
      </c>
      <c r="D34" s="19">
        <v>209.1</v>
      </c>
      <c r="E34" s="22">
        <f t="shared" si="0"/>
        <v>127</v>
      </c>
      <c r="F34" s="19">
        <v>206.2</v>
      </c>
      <c r="G34" s="33">
        <v>176</v>
      </c>
      <c r="H34" s="19">
        <v>197.7</v>
      </c>
      <c r="I34" s="20"/>
      <c r="J34" s="36"/>
      <c r="L34" s="22">
        <v>29</v>
      </c>
      <c r="M34" s="19">
        <v>198.1</v>
      </c>
      <c r="N34" s="22">
        <v>78</v>
      </c>
      <c r="O34" s="19">
        <v>209.1</v>
      </c>
      <c r="P34" s="22">
        <f t="shared" si="1"/>
        <v>127</v>
      </c>
      <c r="Q34" s="19">
        <v>206.2</v>
      </c>
      <c r="R34" s="33">
        <v>176</v>
      </c>
      <c r="S34" s="19">
        <v>197.7</v>
      </c>
      <c r="T34" s="20"/>
      <c r="U34" s="36"/>
    </row>
    <row r="35" spans="1:21" ht="15.75" x14ac:dyDescent="0.25">
      <c r="A35" s="22">
        <v>30</v>
      </c>
      <c r="B35" s="19">
        <v>197.3</v>
      </c>
      <c r="C35" s="22">
        <v>79</v>
      </c>
      <c r="D35" s="19">
        <v>200.8</v>
      </c>
      <c r="E35" s="22">
        <f t="shared" si="0"/>
        <v>128</v>
      </c>
      <c r="F35" s="19">
        <v>205.4</v>
      </c>
      <c r="G35" s="33">
        <v>177</v>
      </c>
      <c r="H35" s="19">
        <v>205.5</v>
      </c>
      <c r="I35" s="21"/>
      <c r="J35" s="36"/>
      <c r="L35" s="22">
        <v>30</v>
      </c>
      <c r="M35" s="19">
        <v>197.3</v>
      </c>
      <c r="N35" s="22">
        <v>79</v>
      </c>
      <c r="O35" s="19">
        <v>200.8</v>
      </c>
      <c r="P35" s="22">
        <f t="shared" si="1"/>
        <v>128</v>
      </c>
      <c r="Q35" s="19">
        <v>205.4</v>
      </c>
      <c r="R35" s="33">
        <v>177</v>
      </c>
      <c r="S35" s="19">
        <v>205.5</v>
      </c>
      <c r="T35" s="21"/>
      <c r="U35" s="36"/>
    </row>
    <row r="36" spans="1:21" ht="15.75" x14ac:dyDescent="0.25">
      <c r="A36" s="22">
        <v>31</v>
      </c>
      <c r="B36" s="19">
        <v>200.9</v>
      </c>
      <c r="C36" s="22">
        <v>80</v>
      </c>
      <c r="D36" s="19">
        <v>202.5</v>
      </c>
      <c r="E36" s="22">
        <f t="shared" si="0"/>
        <v>129</v>
      </c>
      <c r="F36" s="19">
        <v>203.7</v>
      </c>
      <c r="G36" s="33">
        <v>178</v>
      </c>
      <c r="H36" s="19">
        <v>203</v>
      </c>
      <c r="I36" s="20"/>
      <c r="J36" s="36"/>
      <c r="L36" s="22">
        <v>31</v>
      </c>
      <c r="M36" s="19">
        <v>200.9</v>
      </c>
      <c r="N36" s="22">
        <v>80</v>
      </c>
      <c r="O36" s="19">
        <v>202.5</v>
      </c>
      <c r="P36" s="22">
        <f t="shared" si="1"/>
        <v>129</v>
      </c>
      <c r="Q36" s="19">
        <v>203.7</v>
      </c>
      <c r="R36" s="33">
        <v>178</v>
      </c>
      <c r="S36" s="19">
        <v>203</v>
      </c>
      <c r="T36" s="20"/>
      <c r="U36" s="36"/>
    </row>
    <row r="37" spans="1:21" ht="15.75" x14ac:dyDescent="0.25">
      <c r="A37" s="22">
        <v>32</v>
      </c>
      <c r="B37" s="19">
        <v>194.5</v>
      </c>
      <c r="C37" s="22">
        <v>81</v>
      </c>
      <c r="D37" s="19">
        <v>208.3</v>
      </c>
      <c r="E37" s="22">
        <f t="shared" si="0"/>
        <v>130</v>
      </c>
      <c r="F37" s="19">
        <v>202.9</v>
      </c>
      <c r="G37" s="33">
        <v>179</v>
      </c>
      <c r="H37" s="19">
        <v>206.1</v>
      </c>
      <c r="I37" s="20"/>
      <c r="J37" s="36"/>
      <c r="L37" s="22">
        <v>32</v>
      </c>
      <c r="M37" s="19">
        <v>194.5</v>
      </c>
      <c r="N37" s="22">
        <v>81</v>
      </c>
      <c r="O37" s="19">
        <v>208.3</v>
      </c>
      <c r="P37" s="22">
        <f t="shared" si="1"/>
        <v>130</v>
      </c>
      <c r="Q37" s="19">
        <v>202.9</v>
      </c>
      <c r="R37" s="33">
        <v>179</v>
      </c>
      <c r="S37" s="19">
        <v>206.1</v>
      </c>
      <c r="T37" s="20"/>
      <c r="U37" s="36"/>
    </row>
    <row r="38" spans="1:21" ht="15.75" x14ac:dyDescent="0.25">
      <c r="A38" s="22">
        <v>33</v>
      </c>
      <c r="B38" s="19">
        <v>212.3</v>
      </c>
      <c r="C38" s="22">
        <v>82</v>
      </c>
      <c r="D38" s="19">
        <v>217</v>
      </c>
      <c r="E38" s="22">
        <f t="shared" si="0"/>
        <v>131</v>
      </c>
      <c r="F38" s="19">
        <v>218.2</v>
      </c>
      <c r="G38" s="33">
        <v>180</v>
      </c>
      <c r="H38" s="19">
        <v>207</v>
      </c>
      <c r="I38" s="21"/>
      <c r="J38" s="36"/>
      <c r="L38" s="22">
        <v>33</v>
      </c>
      <c r="M38" s="19">
        <v>212.3</v>
      </c>
      <c r="N38" s="22">
        <v>82</v>
      </c>
      <c r="O38" s="19">
        <v>217</v>
      </c>
      <c r="P38" s="22">
        <f t="shared" si="1"/>
        <v>131</v>
      </c>
      <c r="Q38" s="19">
        <v>218.2</v>
      </c>
      <c r="R38" s="33">
        <v>180</v>
      </c>
      <c r="S38" s="19">
        <v>207</v>
      </c>
      <c r="T38" s="21"/>
      <c r="U38" s="36"/>
    </row>
    <row r="39" spans="1:21" ht="15.75" x14ac:dyDescent="0.25">
      <c r="A39" s="22">
        <v>34</v>
      </c>
      <c r="B39" s="19">
        <v>208.9</v>
      </c>
      <c r="C39" s="22">
        <v>83</v>
      </c>
      <c r="D39" s="19">
        <v>213</v>
      </c>
      <c r="E39" s="22">
        <f t="shared" si="0"/>
        <v>132</v>
      </c>
      <c r="F39" s="19">
        <v>209.3</v>
      </c>
      <c r="G39" s="33">
        <v>181</v>
      </c>
      <c r="H39" s="19">
        <v>204.7</v>
      </c>
      <c r="I39" s="21"/>
      <c r="J39" s="36"/>
      <c r="L39" s="22">
        <v>34</v>
      </c>
      <c r="M39" s="19">
        <v>208.9</v>
      </c>
      <c r="N39" s="22">
        <v>83</v>
      </c>
      <c r="O39" s="19">
        <v>213</v>
      </c>
      <c r="P39" s="22">
        <f t="shared" si="1"/>
        <v>132</v>
      </c>
      <c r="Q39" s="19">
        <v>209.3</v>
      </c>
      <c r="R39" s="33">
        <v>181</v>
      </c>
      <c r="S39" s="19">
        <v>204.7</v>
      </c>
      <c r="T39" s="21"/>
      <c r="U39" s="36"/>
    </row>
    <row r="40" spans="1:21" ht="15.75" x14ac:dyDescent="0.25">
      <c r="A40" s="22">
        <v>35</v>
      </c>
      <c r="B40" s="19">
        <v>201.7</v>
      </c>
      <c r="C40" s="22">
        <v>84</v>
      </c>
      <c r="D40" s="19">
        <v>216</v>
      </c>
      <c r="E40" s="22">
        <f t="shared" si="0"/>
        <v>133</v>
      </c>
      <c r="F40" s="19">
        <v>201.5</v>
      </c>
      <c r="G40" s="33">
        <v>182</v>
      </c>
      <c r="H40" s="19">
        <v>206.1</v>
      </c>
      <c r="I40" s="20"/>
      <c r="J40" s="36"/>
      <c r="L40" s="22">
        <v>35</v>
      </c>
      <c r="M40" s="19">
        <v>201.7</v>
      </c>
      <c r="N40" s="22">
        <v>84</v>
      </c>
      <c r="O40" s="19">
        <v>216</v>
      </c>
      <c r="P40" s="22">
        <f t="shared" si="1"/>
        <v>133</v>
      </c>
      <c r="Q40" s="19">
        <v>201.5</v>
      </c>
      <c r="R40" s="33">
        <v>182</v>
      </c>
      <c r="S40" s="19">
        <v>206.1</v>
      </c>
      <c r="T40" s="20"/>
      <c r="U40" s="36"/>
    </row>
    <row r="41" spans="1:21" ht="15.75" x14ac:dyDescent="0.25">
      <c r="A41" s="22">
        <v>36</v>
      </c>
      <c r="B41" s="19">
        <v>206.8</v>
      </c>
      <c r="C41" s="22">
        <v>85</v>
      </c>
      <c r="D41" s="19">
        <v>205.8</v>
      </c>
      <c r="E41" s="22">
        <f t="shared" si="0"/>
        <v>134</v>
      </c>
      <c r="F41" s="19">
        <v>203.2</v>
      </c>
      <c r="G41" s="33">
        <v>183</v>
      </c>
      <c r="H41" s="19">
        <v>204</v>
      </c>
      <c r="I41" s="20"/>
      <c r="J41" s="36"/>
      <c r="L41" s="22">
        <v>36</v>
      </c>
      <c r="M41" s="19">
        <v>206.8</v>
      </c>
      <c r="N41" s="22">
        <v>85</v>
      </c>
      <c r="O41" s="19">
        <v>205.8</v>
      </c>
      <c r="P41" s="22">
        <f t="shared" si="1"/>
        <v>134</v>
      </c>
      <c r="Q41" s="19">
        <v>203.2</v>
      </c>
      <c r="R41" s="33">
        <v>183</v>
      </c>
      <c r="S41" s="19">
        <v>204</v>
      </c>
      <c r="T41" s="20"/>
      <c r="U41" s="36"/>
    </row>
    <row r="42" spans="1:21" ht="15.75" x14ac:dyDescent="0.25">
      <c r="A42" s="22">
        <v>37</v>
      </c>
      <c r="B42" s="19">
        <v>206.2</v>
      </c>
      <c r="C42" s="22">
        <v>86</v>
      </c>
      <c r="D42" s="19">
        <v>207.2</v>
      </c>
      <c r="E42" s="22">
        <f t="shared" si="0"/>
        <v>135</v>
      </c>
      <c r="F42" s="19">
        <v>207.9</v>
      </c>
      <c r="G42" s="33">
        <v>184</v>
      </c>
      <c r="H42" s="19">
        <v>199.1</v>
      </c>
      <c r="I42" s="21"/>
      <c r="J42" s="36"/>
      <c r="L42" s="22">
        <v>37</v>
      </c>
      <c r="M42" s="19">
        <v>206.2</v>
      </c>
      <c r="N42" s="22">
        <v>86</v>
      </c>
      <c r="O42" s="19">
        <v>207.2</v>
      </c>
      <c r="P42" s="22">
        <f t="shared" si="1"/>
        <v>135</v>
      </c>
      <c r="Q42" s="19">
        <v>207.9</v>
      </c>
      <c r="R42" s="33">
        <v>184</v>
      </c>
      <c r="S42" s="19">
        <v>199.1</v>
      </c>
      <c r="T42" s="21"/>
      <c r="U42" s="36"/>
    </row>
    <row r="43" spans="1:21" ht="15.75" x14ac:dyDescent="0.25">
      <c r="A43" s="22">
        <v>38</v>
      </c>
      <c r="B43" s="19">
        <v>203.1</v>
      </c>
      <c r="C43" s="22">
        <v>87</v>
      </c>
      <c r="D43" s="19">
        <v>203.1</v>
      </c>
      <c r="E43" s="22">
        <f t="shared" si="0"/>
        <v>136</v>
      </c>
      <c r="F43" s="19">
        <v>208.5</v>
      </c>
      <c r="G43" s="33">
        <v>185</v>
      </c>
      <c r="H43" s="19">
        <v>200.2</v>
      </c>
      <c r="I43" s="20"/>
      <c r="J43" s="36"/>
      <c r="L43" s="22">
        <v>38</v>
      </c>
      <c r="M43" s="19">
        <v>203.1</v>
      </c>
      <c r="N43" s="22">
        <v>87</v>
      </c>
      <c r="O43" s="19">
        <v>203.1</v>
      </c>
      <c r="P43" s="22">
        <f t="shared" si="1"/>
        <v>136</v>
      </c>
      <c r="Q43" s="19">
        <v>208.5</v>
      </c>
      <c r="R43" s="33">
        <v>185</v>
      </c>
      <c r="S43" s="19">
        <v>200.2</v>
      </c>
      <c r="T43" s="20"/>
      <c r="U43" s="36"/>
    </row>
    <row r="44" spans="1:21" ht="15.75" x14ac:dyDescent="0.25">
      <c r="A44" s="22">
        <v>39</v>
      </c>
      <c r="B44" s="19">
        <v>206.7</v>
      </c>
      <c r="C44" s="22">
        <v>88</v>
      </c>
      <c r="D44" s="19">
        <v>207.8</v>
      </c>
      <c r="E44" s="22">
        <f t="shared" si="0"/>
        <v>137</v>
      </c>
      <c r="F44" s="19">
        <v>202.5</v>
      </c>
      <c r="G44" s="33">
        <v>186</v>
      </c>
      <c r="H44" s="19">
        <v>198.8</v>
      </c>
      <c r="I44" s="20"/>
      <c r="J44" s="36"/>
      <c r="L44" s="22">
        <v>39</v>
      </c>
      <c r="M44" s="19">
        <v>206.7</v>
      </c>
      <c r="N44" s="22">
        <v>88</v>
      </c>
      <c r="O44" s="19">
        <v>207.8</v>
      </c>
      <c r="P44" s="22">
        <f t="shared" si="1"/>
        <v>137</v>
      </c>
      <c r="Q44" s="19">
        <v>202.5</v>
      </c>
      <c r="R44" s="33">
        <v>186</v>
      </c>
      <c r="S44" s="19">
        <v>198.8</v>
      </c>
      <c r="T44" s="20"/>
      <c r="U44" s="36"/>
    </row>
    <row r="45" spans="1:21" ht="15.75" x14ac:dyDescent="0.25">
      <c r="A45" s="22">
        <v>40</v>
      </c>
      <c r="B45" s="19">
        <v>202.3</v>
      </c>
      <c r="C45" s="22">
        <v>89</v>
      </c>
      <c r="D45" s="19">
        <v>207.3</v>
      </c>
      <c r="E45" s="22">
        <f t="shared" si="0"/>
        <v>138</v>
      </c>
      <c r="F45" s="19">
        <v>204.4</v>
      </c>
      <c r="G45" s="33">
        <v>187</v>
      </c>
      <c r="H45" s="19">
        <v>196</v>
      </c>
      <c r="I45" s="21"/>
      <c r="J45" s="36"/>
      <c r="L45" s="22">
        <v>40</v>
      </c>
      <c r="M45" s="19">
        <v>202.3</v>
      </c>
      <c r="N45" s="22">
        <v>89</v>
      </c>
      <c r="O45" s="19">
        <v>207.3</v>
      </c>
      <c r="P45" s="22">
        <f t="shared" si="1"/>
        <v>138</v>
      </c>
      <c r="Q45" s="19">
        <v>204.4</v>
      </c>
      <c r="R45" s="33">
        <v>187</v>
      </c>
      <c r="S45" s="19">
        <v>196</v>
      </c>
      <c r="T45" s="21"/>
      <c r="U45" s="36"/>
    </row>
    <row r="46" spans="1:21" ht="15.75" x14ac:dyDescent="0.25">
      <c r="A46" s="22">
        <v>41</v>
      </c>
      <c r="B46" s="19">
        <v>206.7</v>
      </c>
      <c r="C46" s="22">
        <v>90</v>
      </c>
      <c r="D46" s="19">
        <v>203.2</v>
      </c>
      <c r="E46" s="22">
        <f t="shared" si="0"/>
        <v>139</v>
      </c>
      <c r="F46" s="19">
        <v>201.5</v>
      </c>
      <c r="G46" s="33">
        <v>188</v>
      </c>
      <c r="H46" s="19">
        <v>200.9</v>
      </c>
      <c r="I46" s="20"/>
      <c r="J46" s="36"/>
      <c r="L46" s="22">
        <v>41</v>
      </c>
      <c r="M46" s="19">
        <v>206.7</v>
      </c>
      <c r="N46" s="22">
        <v>90</v>
      </c>
      <c r="O46" s="19">
        <v>203.2</v>
      </c>
      <c r="P46" s="22">
        <f t="shared" si="1"/>
        <v>139</v>
      </c>
      <c r="Q46" s="19">
        <v>201.5</v>
      </c>
      <c r="R46" s="33">
        <v>188</v>
      </c>
      <c r="S46" s="19">
        <v>200.9</v>
      </c>
      <c r="T46" s="20"/>
      <c r="U46" s="36"/>
    </row>
    <row r="47" spans="1:21" ht="15.75" x14ac:dyDescent="0.25">
      <c r="A47" s="22">
        <v>42</v>
      </c>
      <c r="B47" s="19">
        <v>205.7</v>
      </c>
      <c r="C47" s="22">
        <v>91</v>
      </c>
      <c r="D47" s="19">
        <v>206.4</v>
      </c>
      <c r="E47" s="22">
        <f t="shared" si="0"/>
        <v>140</v>
      </c>
      <c r="F47" s="19">
        <v>213.8</v>
      </c>
      <c r="G47" s="33">
        <v>189</v>
      </c>
      <c r="H47" s="19">
        <v>200.4</v>
      </c>
      <c r="I47" s="20"/>
      <c r="J47" s="36"/>
      <c r="L47" s="22">
        <v>42</v>
      </c>
      <c r="M47" s="19">
        <v>205.7</v>
      </c>
      <c r="N47" s="22">
        <v>91</v>
      </c>
      <c r="O47" s="19">
        <v>206.4</v>
      </c>
      <c r="P47" s="22">
        <f t="shared" si="1"/>
        <v>140</v>
      </c>
      <c r="Q47" s="19">
        <v>213.8</v>
      </c>
      <c r="R47" s="33">
        <v>189</v>
      </c>
      <c r="S47" s="19">
        <v>200.4</v>
      </c>
      <c r="T47" s="20"/>
      <c r="U47" s="36"/>
    </row>
    <row r="48" spans="1:21" ht="15.75" x14ac:dyDescent="0.25">
      <c r="A48" s="22">
        <v>43</v>
      </c>
      <c r="B48" s="19">
        <v>198.3</v>
      </c>
      <c r="C48" s="22">
        <v>92</v>
      </c>
      <c r="D48" s="19">
        <v>203</v>
      </c>
      <c r="E48" s="22">
        <f t="shared" si="0"/>
        <v>141</v>
      </c>
      <c r="F48" s="19">
        <v>205.5</v>
      </c>
      <c r="G48" s="33">
        <v>190</v>
      </c>
      <c r="H48" s="19">
        <v>187.4</v>
      </c>
      <c r="I48" s="21"/>
      <c r="J48" s="36"/>
      <c r="L48" s="22">
        <v>43</v>
      </c>
      <c r="M48" s="19">
        <v>198.3</v>
      </c>
      <c r="N48" s="22">
        <v>92</v>
      </c>
      <c r="O48" s="19">
        <v>203</v>
      </c>
      <c r="P48" s="22">
        <f t="shared" si="1"/>
        <v>141</v>
      </c>
      <c r="Q48" s="19">
        <v>205.5</v>
      </c>
      <c r="R48" s="33">
        <v>190</v>
      </c>
      <c r="S48" s="19">
        <v>187.4</v>
      </c>
      <c r="T48" s="21"/>
      <c r="U48" s="36"/>
    </row>
    <row r="49" spans="1:21" ht="15.75" x14ac:dyDescent="0.25">
      <c r="A49" s="22">
        <v>44</v>
      </c>
      <c r="B49" s="19">
        <v>204.7</v>
      </c>
      <c r="C49" s="22">
        <v>93</v>
      </c>
      <c r="D49" s="19">
        <v>201.1</v>
      </c>
      <c r="E49" s="22">
        <f t="shared" si="0"/>
        <v>142</v>
      </c>
      <c r="F49" s="19">
        <v>202.2</v>
      </c>
      <c r="G49" s="33">
        <v>191</v>
      </c>
      <c r="H49" s="19">
        <v>198.8</v>
      </c>
      <c r="I49" s="21"/>
      <c r="J49" s="36"/>
      <c r="L49" s="22">
        <v>44</v>
      </c>
      <c r="M49" s="19">
        <v>204.7</v>
      </c>
      <c r="N49" s="22">
        <v>93</v>
      </c>
      <c r="O49" s="19">
        <v>201.1</v>
      </c>
      <c r="P49" s="22">
        <f t="shared" si="1"/>
        <v>142</v>
      </c>
      <c r="Q49" s="19">
        <v>202.2</v>
      </c>
      <c r="R49" s="33">
        <v>191</v>
      </c>
      <c r="S49" s="19">
        <v>198.8</v>
      </c>
      <c r="T49" s="21"/>
      <c r="U49" s="36"/>
    </row>
    <row r="50" spans="1:21" ht="15.75" x14ac:dyDescent="0.25">
      <c r="A50" s="22">
        <v>45</v>
      </c>
      <c r="B50" s="19">
        <v>205.6</v>
      </c>
      <c r="C50" s="22">
        <v>94</v>
      </c>
      <c r="D50" s="19">
        <v>206.2</v>
      </c>
      <c r="E50" s="22">
        <f t="shared" si="0"/>
        <v>143</v>
      </c>
      <c r="F50" s="19">
        <v>199.8</v>
      </c>
      <c r="G50" s="33">
        <v>192</v>
      </c>
      <c r="H50" s="19">
        <v>199.7</v>
      </c>
      <c r="I50" s="20"/>
      <c r="J50" s="36"/>
      <c r="L50" s="22">
        <v>45</v>
      </c>
      <c r="M50" s="19">
        <v>205.6</v>
      </c>
      <c r="N50" s="22">
        <v>94</v>
      </c>
      <c r="O50" s="19">
        <v>206.2</v>
      </c>
      <c r="P50" s="22">
        <f t="shared" si="1"/>
        <v>143</v>
      </c>
      <c r="Q50" s="19">
        <v>199.8</v>
      </c>
      <c r="R50" s="33">
        <v>192</v>
      </c>
      <c r="S50" s="19">
        <v>199.7</v>
      </c>
      <c r="T50" s="20"/>
      <c r="U50" s="36"/>
    </row>
    <row r="51" spans="1:21" ht="15.75" x14ac:dyDescent="0.25">
      <c r="A51" s="22">
        <v>46</v>
      </c>
      <c r="B51" s="19">
        <v>205.9</v>
      </c>
      <c r="C51" s="22">
        <v>95</v>
      </c>
      <c r="D51" s="19">
        <v>197.7</v>
      </c>
      <c r="E51" s="22">
        <f t="shared" si="0"/>
        <v>144</v>
      </c>
      <c r="F51" s="19">
        <v>201.4</v>
      </c>
      <c r="G51" s="33">
        <v>193</v>
      </c>
      <c r="H51" s="19">
        <v>204.8</v>
      </c>
      <c r="I51" s="20"/>
      <c r="J51" s="36"/>
      <c r="L51" s="22">
        <v>46</v>
      </c>
      <c r="M51" s="19">
        <v>205.9</v>
      </c>
      <c r="N51" s="22">
        <v>95</v>
      </c>
      <c r="O51" s="19">
        <v>197.7</v>
      </c>
      <c r="P51" s="22">
        <f t="shared" si="1"/>
        <v>144</v>
      </c>
      <c r="Q51" s="19">
        <v>201.4</v>
      </c>
      <c r="R51" s="33">
        <v>193</v>
      </c>
      <c r="S51" s="19">
        <v>204.8</v>
      </c>
      <c r="T51" s="20"/>
      <c r="U51" s="36"/>
    </row>
    <row r="52" spans="1:21" ht="15.75" x14ac:dyDescent="0.25">
      <c r="A52" s="22">
        <v>47</v>
      </c>
      <c r="B52" s="19">
        <v>203.7</v>
      </c>
      <c r="C52" s="22">
        <v>96</v>
      </c>
      <c r="D52" s="19">
        <v>204.7</v>
      </c>
      <c r="E52" s="22">
        <f t="shared" si="0"/>
        <v>145</v>
      </c>
      <c r="F52" s="19">
        <v>204.5</v>
      </c>
      <c r="G52" s="33">
        <v>194</v>
      </c>
      <c r="H52" s="19">
        <v>204</v>
      </c>
      <c r="I52" s="21"/>
      <c r="J52" s="36"/>
      <c r="L52" s="22">
        <v>47</v>
      </c>
      <c r="M52" s="19">
        <v>203.7</v>
      </c>
      <c r="N52" s="22">
        <v>96</v>
      </c>
      <c r="O52" s="19">
        <v>204.7</v>
      </c>
      <c r="P52" s="22">
        <f t="shared" si="1"/>
        <v>145</v>
      </c>
      <c r="Q52" s="19">
        <v>204.5</v>
      </c>
      <c r="R52" s="33">
        <v>194</v>
      </c>
      <c r="S52" s="19">
        <v>204</v>
      </c>
      <c r="T52" s="21"/>
      <c r="U52" s="36"/>
    </row>
    <row r="53" spans="1:21" ht="15.75" x14ac:dyDescent="0.25">
      <c r="A53" s="22">
        <v>48</v>
      </c>
      <c r="B53" s="19">
        <v>204.3</v>
      </c>
      <c r="C53" s="22">
        <v>97</v>
      </c>
      <c r="D53" s="19">
        <v>196.6</v>
      </c>
      <c r="E53" s="22">
        <f t="shared" si="0"/>
        <v>146</v>
      </c>
      <c r="F53" s="19">
        <v>202.6</v>
      </c>
      <c r="G53" s="33">
        <v>195</v>
      </c>
      <c r="H53" s="19">
        <v>197.2</v>
      </c>
      <c r="I53" s="20"/>
      <c r="J53" s="36"/>
      <c r="L53" s="22">
        <v>48</v>
      </c>
      <c r="M53" s="19">
        <v>204.3</v>
      </c>
      <c r="N53" s="22">
        <v>97</v>
      </c>
      <c r="O53" s="19">
        <v>196.6</v>
      </c>
      <c r="P53" s="22">
        <f t="shared" si="1"/>
        <v>146</v>
      </c>
      <c r="Q53" s="19">
        <v>202.6</v>
      </c>
      <c r="R53" s="33">
        <v>195</v>
      </c>
      <c r="S53" s="19">
        <v>197.2</v>
      </c>
      <c r="T53" s="20"/>
      <c r="U53" s="36"/>
    </row>
    <row r="54" spans="1:21" ht="15.75" x14ac:dyDescent="0.25">
      <c r="A54" s="37">
        <v>49</v>
      </c>
      <c r="B54" s="19">
        <v>206.3</v>
      </c>
      <c r="C54" s="37">
        <v>98</v>
      </c>
      <c r="D54" s="19">
        <v>197.5</v>
      </c>
      <c r="E54" s="22">
        <f t="shared" si="0"/>
        <v>147</v>
      </c>
      <c r="F54" s="19">
        <v>201.9</v>
      </c>
      <c r="G54" s="38">
        <v>196</v>
      </c>
      <c r="H54" s="19">
        <v>200.9</v>
      </c>
      <c r="I54" s="39"/>
      <c r="J54" s="40"/>
      <c r="L54" s="37">
        <v>49</v>
      </c>
      <c r="M54" s="19">
        <v>206.3</v>
      </c>
      <c r="N54" s="37">
        <v>98</v>
      </c>
      <c r="O54" s="19">
        <v>197.5</v>
      </c>
      <c r="P54" s="22">
        <f t="shared" si="1"/>
        <v>147</v>
      </c>
      <c r="Q54" s="19">
        <v>201.9</v>
      </c>
      <c r="R54" s="38">
        <v>196</v>
      </c>
      <c r="S54" s="19">
        <v>200.9</v>
      </c>
      <c r="T54" s="39"/>
      <c r="U54" s="40"/>
    </row>
    <row r="55" spans="1:21" ht="15.75" x14ac:dyDescent="0.25">
      <c r="A55" s="41"/>
      <c r="B55" s="23">
        <f>SUM(B6:B54)</f>
        <v>9958.5</v>
      </c>
      <c r="C55" s="23"/>
      <c r="D55" s="23">
        <f>SUM(D6:D54)</f>
        <v>10107.200000000004</v>
      </c>
      <c r="E55" s="23"/>
      <c r="F55" s="23">
        <f>SUM(F6:F54)</f>
        <v>10049.799999999997</v>
      </c>
      <c r="G55" s="23"/>
      <c r="H55" s="23">
        <f>SUM(H6:H54)</f>
        <v>9876.8000000000011</v>
      </c>
      <c r="I55" s="41"/>
      <c r="J55" s="41">
        <f>SUM(J6:J54)</f>
        <v>4891.3999999999996</v>
      </c>
      <c r="L55" s="41"/>
      <c r="M55" s="23">
        <f>SUM(M6:M54)</f>
        <v>9958.5</v>
      </c>
      <c r="N55" s="23"/>
      <c r="O55" s="23">
        <f>SUM(O6:O54)</f>
        <v>10107.200000000004</v>
      </c>
      <c r="P55" s="23"/>
      <c r="Q55" s="23">
        <f>SUM(Q6:Q54)</f>
        <v>10049.799999999997</v>
      </c>
      <c r="R55" s="23"/>
      <c r="S55" s="23">
        <f>SUM(S6:S54)</f>
        <v>9876.8000000000011</v>
      </c>
      <c r="T55" s="41"/>
      <c r="U55" s="41">
        <f>SUM(U6:U54)</f>
        <v>4891.3999999999996</v>
      </c>
    </row>
    <row r="56" spans="1:21" ht="15.75" x14ac:dyDescent="0.25">
      <c r="A56" s="42" t="s">
        <v>5</v>
      </c>
      <c r="B56" s="43">
        <f>COUNT(B6:B54,D6:D54,F6:F54,H6:H54,J6:J54)</f>
        <v>220</v>
      </c>
      <c r="C56" s="13" t="s">
        <v>6</v>
      </c>
      <c r="D56" s="44"/>
      <c r="E56" s="153">
        <f>B55+D55+F55+H55+J55</f>
        <v>44883.700000000004</v>
      </c>
      <c r="F56" s="24" t="s">
        <v>7</v>
      </c>
      <c r="G56" s="1">
        <f>B56*2.2</f>
        <v>484.00000000000006</v>
      </c>
      <c r="H56" s="13" t="s">
        <v>8</v>
      </c>
      <c r="I56" s="44"/>
      <c r="J56" s="153">
        <f>E56-G56</f>
        <v>44399.700000000004</v>
      </c>
      <c r="L56" s="42" t="s">
        <v>5</v>
      </c>
      <c r="M56" s="43">
        <f>COUNT(M6:M54,O6:O54,Q6:Q54,S6:S54,U6:U54)</f>
        <v>220</v>
      </c>
      <c r="N56" s="13" t="s">
        <v>6</v>
      </c>
      <c r="O56" s="44"/>
      <c r="P56" s="149">
        <f>M55+O55+Q55+S55+U55</f>
        <v>44883.700000000004</v>
      </c>
      <c r="Q56" s="24" t="s">
        <v>7</v>
      </c>
      <c r="R56" s="1">
        <f>M56*2.2</f>
        <v>484.00000000000006</v>
      </c>
      <c r="S56" s="13" t="s">
        <v>8</v>
      </c>
      <c r="T56" s="44"/>
      <c r="U56" s="149">
        <f>P56-R56</f>
        <v>44399.700000000004</v>
      </c>
    </row>
    <row r="57" spans="1:21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  <c r="L57" s="42" t="s">
        <v>9</v>
      </c>
      <c r="M57" s="25"/>
      <c r="N57" s="46"/>
      <c r="O57" s="44"/>
      <c r="P57" s="47"/>
      <c r="Q57" s="25"/>
      <c r="R57" s="48"/>
      <c r="S57" s="46"/>
      <c r="T57" s="44"/>
      <c r="U57" s="49"/>
    </row>
    <row r="59" spans="1:21" x14ac:dyDescent="0.25">
      <c r="F59" s="112" t="s">
        <v>61</v>
      </c>
      <c r="G59" s="112">
        <v>2.2000000000000002</v>
      </c>
      <c r="Q59" s="112" t="s">
        <v>61</v>
      </c>
      <c r="R59" s="112">
        <v>2.2000000000000002</v>
      </c>
    </row>
  </sheetData>
  <protectedRanges>
    <protectedRange password="CCE1" sqref="C6:C54 G6:G54 E6:E54 I6:I29 N6:N54 R6:R54 P6:P54 T6:T29" name="Диапазон1_3_1_7_2_1_1_1_1_1_1_1"/>
  </protectedRanges>
  <mergeCells count="4">
    <mergeCell ref="A1:J1"/>
    <mergeCell ref="I4:J4"/>
    <mergeCell ref="L1:U1"/>
    <mergeCell ref="T4:U4"/>
  </mergeCells>
  <pageMargins left="0.7" right="0.7" top="0.75" bottom="0.75" header="0.3" footer="0.3"/>
  <pageSetup paperSize="9" scale="83" orientation="portrait" verticalDpi="0" r:id="rId1"/>
  <rowBreaks count="1" manualBreakCount="1">
    <brk id="57" max="16383" man="1"/>
  </rowBreaks>
  <colBreaks count="1" manualBreakCount="1">
    <brk id="10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9"/>
  <sheetViews>
    <sheetView topLeftCell="A45" zoomScale="90" zoomScaleNormal="90" workbookViewId="0">
      <selection activeCell="AF6" sqref="AF6:AF29"/>
    </sheetView>
  </sheetViews>
  <sheetFormatPr defaultRowHeight="15" x14ac:dyDescent="0.25"/>
  <cols>
    <col min="5" max="5" width="14.28515625" bestFit="1" customWidth="1"/>
    <col min="10" max="10" width="14.28515625" bestFit="1" customWidth="1"/>
    <col min="11" max="11" width="2.140625" customWidth="1"/>
    <col min="22" max="22" width="2" customWidth="1"/>
  </cols>
  <sheetData>
    <row r="1" spans="1:32" ht="18.75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L1" s="204" t="s">
        <v>0</v>
      </c>
      <c r="M1" s="204"/>
      <c r="N1" s="204"/>
      <c r="O1" s="204"/>
      <c r="P1" s="204"/>
      <c r="Q1" s="204"/>
      <c r="R1" s="204"/>
      <c r="S1" s="204"/>
      <c r="T1" s="204"/>
      <c r="U1" s="204"/>
      <c r="W1" s="204" t="s">
        <v>0</v>
      </c>
      <c r="X1" s="204"/>
      <c r="Y1" s="204"/>
      <c r="Z1" s="204"/>
      <c r="AA1" s="204"/>
      <c r="AB1" s="204"/>
      <c r="AC1" s="204"/>
      <c r="AD1" s="204"/>
      <c r="AE1" s="204"/>
      <c r="AF1" s="204"/>
    </row>
    <row r="2" spans="1:32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  <c r="L2" s="13" t="s">
        <v>1</v>
      </c>
      <c r="M2" s="13"/>
      <c r="N2" s="13"/>
      <c r="O2" s="13"/>
      <c r="P2" s="13"/>
      <c r="Q2" s="13"/>
      <c r="R2" s="27"/>
      <c r="S2" s="13"/>
      <c r="T2" s="13"/>
      <c r="U2" s="13"/>
      <c r="W2" s="13" t="s">
        <v>1</v>
      </c>
      <c r="X2" s="13"/>
      <c r="Y2" s="13"/>
      <c r="Z2" s="13"/>
      <c r="AA2" s="13"/>
      <c r="AB2" s="13"/>
      <c r="AC2" s="27"/>
      <c r="AD2" s="13"/>
      <c r="AE2" s="13"/>
      <c r="AF2" s="13"/>
    </row>
    <row r="3" spans="1:32" ht="15.75" x14ac:dyDescent="0.25">
      <c r="A3" s="25" t="s">
        <v>2</v>
      </c>
      <c r="B3" s="27">
        <v>219</v>
      </c>
      <c r="C3" s="14"/>
      <c r="D3" s="15"/>
      <c r="E3" s="16"/>
      <c r="F3" s="16"/>
      <c r="G3" s="16"/>
      <c r="H3" s="16"/>
      <c r="I3" s="16" t="s">
        <v>33</v>
      </c>
      <c r="J3" s="16"/>
      <c r="L3" s="25" t="s">
        <v>2</v>
      </c>
      <c r="M3" s="27">
        <v>219</v>
      </c>
      <c r="N3" s="14"/>
      <c r="O3" s="15"/>
      <c r="P3" s="16"/>
      <c r="Q3" s="16"/>
      <c r="R3" s="16"/>
      <c r="S3" s="16"/>
      <c r="T3" s="16" t="s">
        <v>33</v>
      </c>
      <c r="U3" s="16"/>
      <c r="W3" s="25" t="s">
        <v>2</v>
      </c>
      <c r="X3" s="27">
        <v>219</v>
      </c>
      <c r="Y3" s="14"/>
      <c r="Z3" s="15"/>
      <c r="AA3" s="16"/>
      <c r="AB3" s="16"/>
      <c r="AC3" s="16"/>
      <c r="AD3" s="16"/>
      <c r="AE3" s="16" t="s">
        <v>33</v>
      </c>
      <c r="AF3" s="16"/>
    </row>
    <row r="4" spans="1:32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  <c r="L4" s="17"/>
      <c r="M4" s="17"/>
      <c r="N4" s="17"/>
      <c r="O4" s="17"/>
      <c r="P4" s="17"/>
      <c r="Q4" s="17"/>
      <c r="R4" s="17"/>
      <c r="S4" s="28"/>
      <c r="T4" s="205" t="s">
        <v>48</v>
      </c>
      <c r="U4" s="206"/>
      <c r="W4" s="17"/>
      <c r="X4" s="17"/>
      <c r="Y4" s="17"/>
      <c r="Z4" s="17"/>
      <c r="AA4" s="17"/>
      <c r="AB4" s="17"/>
      <c r="AC4" s="17"/>
      <c r="AD4" s="28"/>
      <c r="AE4" s="205" t="s">
        <v>50</v>
      </c>
      <c r="AF4" s="206"/>
    </row>
    <row r="5" spans="1:32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  <c r="L5" s="29" t="s">
        <v>3</v>
      </c>
      <c r="M5" s="18" t="s">
        <v>4</v>
      </c>
      <c r="N5" s="29" t="s">
        <v>3</v>
      </c>
      <c r="O5" s="18" t="s">
        <v>4</v>
      </c>
      <c r="P5" s="29" t="s">
        <v>3</v>
      </c>
      <c r="Q5" s="18" t="s">
        <v>4</v>
      </c>
      <c r="R5" s="29" t="s">
        <v>3</v>
      </c>
      <c r="S5" s="30" t="s">
        <v>4</v>
      </c>
      <c r="T5" s="31" t="s">
        <v>3</v>
      </c>
      <c r="U5" s="32" t="s">
        <v>4</v>
      </c>
      <c r="W5" s="29" t="s">
        <v>3</v>
      </c>
      <c r="X5" s="18" t="s">
        <v>4</v>
      </c>
      <c r="Y5" s="29" t="s">
        <v>3</v>
      </c>
      <c r="Z5" s="18" t="s">
        <v>4</v>
      </c>
      <c r="AA5" s="29" t="s">
        <v>3</v>
      </c>
      <c r="AB5" s="18" t="s">
        <v>4</v>
      </c>
      <c r="AC5" s="29" t="s">
        <v>3</v>
      </c>
      <c r="AD5" s="30" t="s">
        <v>4</v>
      </c>
      <c r="AE5" s="31" t="s">
        <v>3</v>
      </c>
      <c r="AF5" s="32" t="s">
        <v>4</v>
      </c>
    </row>
    <row r="6" spans="1:32" ht="15.75" x14ac:dyDescent="0.25">
      <c r="A6" s="22">
        <v>1</v>
      </c>
      <c r="B6" s="19">
        <v>187.6</v>
      </c>
      <c r="C6" s="22">
        <v>50</v>
      </c>
      <c r="D6" s="19">
        <v>198.9</v>
      </c>
      <c r="E6" s="22">
        <v>99</v>
      </c>
      <c r="F6" s="19">
        <v>206.5</v>
      </c>
      <c r="G6" s="33">
        <v>148</v>
      </c>
      <c r="H6" s="19">
        <v>210</v>
      </c>
      <c r="I6" s="34">
        <v>197</v>
      </c>
      <c r="J6" s="19">
        <v>197.9</v>
      </c>
      <c r="L6" s="22">
        <v>1</v>
      </c>
      <c r="M6" s="19">
        <v>187.6</v>
      </c>
      <c r="N6" s="22">
        <v>50</v>
      </c>
      <c r="O6" s="19">
        <v>198.9</v>
      </c>
      <c r="P6" s="22">
        <v>99</v>
      </c>
      <c r="Q6" s="19"/>
      <c r="R6" s="33">
        <v>148</v>
      </c>
      <c r="S6" s="19"/>
      <c r="T6" s="34">
        <v>197</v>
      </c>
      <c r="U6" s="19"/>
      <c r="W6" s="22">
        <v>1</v>
      </c>
      <c r="X6" s="19"/>
      <c r="Y6" s="22">
        <v>50</v>
      </c>
      <c r="Z6" s="19"/>
      <c r="AA6" s="22">
        <v>99</v>
      </c>
      <c r="AB6" s="19">
        <v>206.5</v>
      </c>
      <c r="AC6" s="33">
        <v>148</v>
      </c>
      <c r="AD6" s="19">
        <v>210</v>
      </c>
      <c r="AE6" s="34">
        <v>197</v>
      </c>
      <c r="AF6" s="19">
        <v>197.9</v>
      </c>
    </row>
    <row r="7" spans="1:32" ht="15.75" x14ac:dyDescent="0.25">
      <c r="A7" s="22">
        <v>2</v>
      </c>
      <c r="B7" s="19">
        <v>198.5</v>
      </c>
      <c r="C7" s="22">
        <v>51</v>
      </c>
      <c r="D7" s="19">
        <v>198.8</v>
      </c>
      <c r="E7" s="22">
        <v>100</v>
      </c>
      <c r="F7" s="19">
        <v>205.5</v>
      </c>
      <c r="G7" s="33">
        <v>149</v>
      </c>
      <c r="H7" s="19">
        <v>204.5</v>
      </c>
      <c r="I7" s="33">
        <v>198</v>
      </c>
      <c r="J7" s="19">
        <v>197.5</v>
      </c>
      <c r="L7" s="22">
        <v>2</v>
      </c>
      <c r="M7" s="19">
        <v>198.5</v>
      </c>
      <c r="N7" s="22">
        <v>51</v>
      </c>
      <c r="O7" s="19">
        <v>198.8</v>
      </c>
      <c r="P7" s="22">
        <v>100</v>
      </c>
      <c r="Q7" s="19"/>
      <c r="R7" s="33">
        <v>149</v>
      </c>
      <c r="S7" s="19"/>
      <c r="T7" s="33">
        <v>198</v>
      </c>
      <c r="U7" s="19"/>
      <c r="W7" s="22">
        <v>2</v>
      </c>
      <c r="X7" s="19"/>
      <c r="Y7" s="22">
        <v>51</v>
      </c>
      <c r="Z7" s="19"/>
      <c r="AA7" s="22">
        <v>100</v>
      </c>
      <c r="AB7" s="19">
        <v>205.5</v>
      </c>
      <c r="AC7" s="33">
        <v>149</v>
      </c>
      <c r="AD7" s="19">
        <v>204.5</v>
      </c>
      <c r="AE7" s="33">
        <v>198</v>
      </c>
      <c r="AF7" s="19">
        <v>197.5</v>
      </c>
    </row>
    <row r="8" spans="1:32" ht="15.75" x14ac:dyDescent="0.25">
      <c r="A8" s="22">
        <v>3</v>
      </c>
      <c r="B8" s="19">
        <v>193.2</v>
      </c>
      <c r="C8" s="22">
        <v>52</v>
      </c>
      <c r="D8" s="19">
        <v>196.5</v>
      </c>
      <c r="E8" s="22">
        <f t="shared" ref="E8:E54" si="0">+E7+1</f>
        <v>101</v>
      </c>
      <c r="F8" s="19">
        <v>204.7</v>
      </c>
      <c r="G8" s="33">
        <v>150</v>
      </c>
      <c r="H8" s="19">
        <v>201.3</v>
      </c>
      <c r="I8" s="33">
        <v>199</v>
      </c>
      <c r="J8" s="19">
        <v>206</v>
      </c>
      <c r="L8" s="22">
        <v>3</v>
      </c>
      <c r="M8" s="19">
        <v>193.2</v>
      </c>
      <c r="N8" s="22">
        <v>52</v>
      </c>
      <c r="O8" s="19">
        <v>196.5</v>
      </c>
      <c r="P8" s="22">
        <f t="shared" ref="P8:P54" si="1">+P7+1</f>
        <v>101</v>
      </c>
      <c r="Q8" s="19"/>
      <c r="R8" s="33">
        <v>150</v>
      </c>
      <c r="S8" s="19"/>
      <c r="T8" s="33">
        <v>199</v>
      </c>
      <c r="U8" s="19"/>
      <c r="W8" s="22">
        <v>3</v>
      </c>
      <c r="X8" s="19"/>
      <c r="Y8" s="22">
        <v>52</v>
      </c>
      <c r="Z8" s="19"/>
      <c r="AA8" s="22">
        <f t="shared" ref="AA8:AA54" si="2">+AA7+1</f>
        <v>101</v>
      </c>
      <c r="AB8" s="19">
        <v>204.7</v>
      </c>
      <c r="AC8" s="33">
        <v>150</v>
      </c>
      <c r="AD8" s="19">
        <v>201.3</v>
      </c>
      <c r="AE8" s="33">
        <v>199</v>
      </c>
      <c r="AF8" s="19">
        <v>206</v>
      </c>
    </row>
    <row r="9" spans="1:32" ht="15.75" x14ac:dyDescent="0.25">
      <c r="A9" s="22">
        <v>4</v>
      </c>
      <c r="B9" s="19">
        <v>194.8</v>
      </c>
      <c r="C9" s="22">
        <v>53</v>
      </c>
      <c r="D9" s="19">
        <v>197.1</v>
      </c>
      <c r="E9" s="22">
        <f t="shared" si="0"/>
        <v>102</v>
      </c>
      <c r="F9" s="19">
        <v>202.5</v>
      </c>
      <c r="G9" s="33">
        <v>151</v>
      </c>
      <c r="H9" s="19">
        <v>198.9</v>
      </c>
      <c r="I9" s="33">
        <v>200</v>
      </c>
      <c r="J9" s="19">
        <v>209.6</v>
      </c>
      <c r="L9" s="22">
        <v>4</v>
      </c>
      <c r="M9" s="19">
        <v>194.8</v>
      </c>
      <c r="N9" s="22">
        <v>53</v>
      </c>
      <c r="O9" s="19">
        <v>197.1</v>
      </c>
      <c r="P9" s="22">
        <f t="shared" si="1"/>
        <v>102</v>
      </c>
      <c r="Q9" s="19"/>
      <c r="R9" s="33">
        <v>151</v>
      </c>
      <c r="S9" s="19"/>
      <c r="T9" s="33">
        <v>200</v>
      </c>
      <c r="U9" s="19"/>
      <c r="W9" s="22">
        <v>4</v>
      </c>
      <c r="X9" s="19"/>
      <c r="Y9" s="22">
        <v>53</v>
      </c>
      <c r="Z9" s="19"/>
      <c r="AA9" s="22">
        <f t="shared" si="2"/>
        <v>102</v>
      </c>
      <c r="AB9" s="19">
        <v>202.5</v>
      </c>
      <c r="AC9" s="33">
        <v>151</v>
      </c>
      <c r="AD9" s="19">
        <v>198.9</v>
      </c>
      <c r="AE9" s="33">
        <v>200</v>
      </c>
      <c r="AF9" s="19">
        <v>209.6</v>
      </c>
    </row>
    <row r="10" spans="1:32" ht="15.75" x14ac:dyDescent="0.25">
      <c r="A10" s="22">
        <v>5</v>
      </c>
      <c r="B10" s="19">
        <v>196.7</v>
      </c>
      <c r="C10" s="22">
        <v>54</v>
      </c>
      <c r="D10" s="19">
        <v>197.5</v>
      </c>
      <c r="E10" s="22">
        <f t="shared" si="0"/>
        <v>103</v>
      </c>
      <c r="F10" s="19">
        <v>203.7</v>
      </c>
      <c r="G10" s="33">
        <v>152</v>
      </c>
      <c r="H10" s="19">
        <v>199.5</v>
      </c>
      <c r="I10" s="33">
        <v>201</v>
      </c>
      <c r="J10" s="19">
        <v>202.3</v>
      </c>
      <c r="L10" s="22">
        <v>5</v>
      </c>
      <c r="M10" s="19">
        <v>196.7</v>
      </c>
      <c r="N10" s="22">
        <v>54</v>
      </c>
      <c r="O10" s="19">
        <v>197.5</v>
      </c>
      <c r="P10" s="22">
        <f t="shared" si="1"/>
        <v>103</v>
      </c>
      <c r="Q10" s="19"/>
      <c r="R10" s="33">
        <v>152</v>
      </c>
      <c r="S10" s="19"/>
      <c r="T10" s="33">
        <v>201</v>
      </c>
      <c r="U10" s="19"/>
      <c r="W10" s="22">
        <v>5</v>
      </c>
      <c r="X10" s="19"/>
      <c r="Y10" s="22">
        <v>54</v>
      </c>
      <c r="Z10" s="19"/>
      <c r="AA10" s="22">
        <f t="shared" si="2"/>
        <v>103</v>
      </c>
      <c r="AB10" s="19">
        <v>203.7</v>
      </c>
      <c r="AC10" s="33">
        <v>152</v>
      </c>
      <c r="AD10" s="19">
        <v>199.5</v>
      </c>
      <c r="AE10" s="33">
        <v>201</v>
      </c>
      <c r="AF10" s="19">
        <v>202.3</v>
      </c>
    </row>
    <row r="11" spans="1:32" ht="15.75" x14ac:dyDescent="0.25">
      <c r="A11" s="22">
        <v>6</v>
      </c>
      <c r="B11" s="19">
        <v>197.9</v>
      </c>
      <c r="C11" s="22">
        <v>55</v>
      </c>
      <c r="D11" s="19">
        <v>199.9</v>
      </c>
      <c r="E11" s="22">
        <f t="shared" si="0"/>
        <v>104</v>
      </c>
      <c r="F11" s="19">
        <v>198.7</v>
      </c>
      <c r="G11" s="33">
        <v>153</v>
      </c>
      <c r="H11" s="19">
        <v>204.5</v>
      </c>
      <c r="I11" s="33">
        <v>202</v>
      </c>
      <c r="J11" s="19">
        <v>207.5</v>
      </c>
      <c r="L11" s="22">
        <v>6</v>
      </c>
      <c r="M11" s="19">
        <v>197.9</v>
      </c>
      <c r="N11" s="22">
        <v>55</v>
      </c>
      <c r="O11" s="19">
        <v>199.9</v>
      </c>
      <c r="P11" s="22">
        <f t="shared" si="1"/>
        <v>104</v>
      </c>
      <c r="Q11" s="19"/>
      <c r="R11" s="33">
        <v>153</v>
      </c>
      <c r="S11" s="19"/>
      <c r="T11" s="33">
        <v>202</v>
      </c>
      <c r="U11" s="19"/>
      <c r="W11" s="22">
        <v>6</v>
      </c>
      <c r="X11" s="19"/>
      <c r="Y11" s="22">
        <v>55</v>
      </c>
      <c r="Z11" s="19"/>
      <c r="AA11" s="22">
        <f t="shared" si="2"/>
        <v>104</v>
      </c>
      <c r="AB11" s="19">
        <v>198.7</v>
      </c>
      <c r="AC11" s="33">
        <v>153</v>
      </c>
      <c r="AD11" s="19">
        <v>204.5</v>
      </c>
      <c r="AE11" s="33">
        <v>202</v>
      </c>
      <c r="AF11" s="19">
        <v>207.5</v>
      </c>
    </row>
    <row r="12" spans="1:32" ht="15.75" x14ac:dyDescent="0.25">
      <c r="A12" s="22">
        <v>7</v>
      </c>
      <c r="B12" s="19">
        <v>196.9</v>
      </c>
      <c r="C12" s="22">
        <v>56</v>
      </c>
      <c r="D12" s="19">
        <v>195.8</v>
      </c>
      <c r="E12" s="22">
        <f t="shared" si="0"/>
        <v>105</v>
      </c>
      <c r="F12" s="19">
        <v>194.2</v>
      </c>
      <c r="G12" s="33">
        <v>154</v>
      </c>
      <c r="H12" s="19">
        <v>200.5</v>
      </c>
      <c r="I12" s="33">
        <v>203</v>
      </c>
      <c r="J12" s="19">
        <v>207.5</v>
      </c>
      <c r="L12" s="22">
        <v>7</v>
      </c>
      <c r="M12" s="19">
        <v>196.9</v>
      </c>
      <c r="N12" s="22">
        <v>56</v>
      </c>
      <c r="O12" s="19">
        <v>195.8</v>
      </c>
      <c r="P12" s="22">
        <f t="shared" si="1"/>
        <v>105</v>
      </c>
      <c r="Q12" s="19"/>
      <c r="R12" s="33">
        <v>154</v>
      </c>
      <c r="S12" s="19"/>
      <c r="T12" s="33">
        <v>203</v>
      </c>
      <c r="U12" s="19"/>
      <c r="W12" s="22">
        <v>7</v>
      </c>
      <c r="X12" s="19"/>
      <c r="Y12" s="22">
        <v>56</v>
      </c>
      <c r="Z12" s="19"/>
      <c r="AA12" s="22">
        <f t="shared" si="2"/>
        <v>105</v>
      </c>
      <c r="AB12" s="19">
        <v>194.2</v>
      </c>
      <c r="AC12" s="33">
        <v>154</v>
      </c>
      <c r="AD12" s="19">
        <v>200.5</v>
      </c>
      <c r="AE12" s="33">
        <v>203</v>
      </c>
      <c r="AF12" s="19">
        <v>207.5</v>
      </c>
    </row>
    <row r="13" spans="1:32" ht="15.75" x14ac:dyDescent="0.25">
      <c r="A13" s="22">
        <v>8</v>
      </c>
      <c r="B13" s="19">
        <v>187.1</v>
      </c>
      <c r="C13" s="22">
        <v>57</v>
      </c>
      <c r="D13" s="19">
        <v>197.1</v>
      </c>
      <c r="E13" s="22">
        <f t="shared" si="0"/>
        <v>106</v>
      </c>
      <c r="F13" s="19">
        <v>203.6</v>
      </c>
      <c r="G13" s="33">
        <v>155</v>
      </c>
      <c r="H13" s="19">
        <v>208.8</v>
      </c>
      <c r="I13" s="33">
        <v>204</v>
      </c>
      <c r="J13" s="19">
        <v>194.2</v>
      </c>
      <c r="L13" s="22">
        <v>8</v>
      </c>
      <c r="M13" s="19">
        <v>187.1</v>
      </c>
      <c r="N13" s="22">
        <v>57</v>
      </c>
      <c r="O13" s="19">
        <v>197.1</v>
      </c>
      <c r="P13" s="22">
        <f t="shared" si="1"/>
        <v>106</v>
      </c>
      <c r="Q13" s="19"/>
      <c r="R13" s="33">
        <v>155</v>
      </c>
      <c r="S13" s="19"/>
      <c r="T13" s="33">
        <v>204</v>
      </c>
      <c r="U13" s="19"/>
      <c r="W13" s="22">
        <v>8</v>
      </c>
      <c r="X13" s="19"/>
      <c r="Y13" s="22">
        <v>57</v>
      </c>
      <c r="Z13" s="19"/>
      <c r="AA13" s="22">
        <f t="shared" si="2"/>
        <v>106</v>
      </c>
      <c r="AB13" s="19">
        <v>203.6</v>
      </c>
      <c r="AC13" s="33">
        <v>155</v>
      </c>
      <c r="AD13" s="19">
        <v>208.8</v>
      </c>
      <c r="AE13" s="33">
        <v>204</v>
      </c>
      <c r="AF13" s="19">
        <v>194.2</v>
      </c>
    </row>
    <row r="14" spans="1:32" ht="15.75" x14ac:dyDescent="0.25">
      <c r="A14" s="22">
        <v>9</v>
      </c>
      <c r="B14" s="19">
        <v>198.4</v>
      </c>
      <c r="C14" s="22">
        <v>58</v>
      </c>
      <c r="D14" s="19">
        <v>196.1</v>
      </c>
      <c r="E14" s="22">
        <f t="shared" si="0"/>
        <v>107</v>
      </c>
      <c r="F14" s="19">
        <v>202.3</v>
      </c>
      <c r="G14" s="33">
        <v>156</v>
      </c>
      <c r="H14" s="19">
        <v>201.8</v>
      </c>
      <c r="I14" s="33">
        <v>205</v>
      </c>
      <c r="J14" s="19">
        <v>204.9</v>
      </c>
      <c r="L14" s="22">
        <v>9</v>
      </c>
      <c r="M14" s="19">
        <v>198.4</v>
      </c>
      <c r="N14" s="22">
        <v>58</v>
      </c>
      <c r="O14" s="19">
        <v>196.1</v>
      </c>
      <c r="P14" s="22">
        <f t="shared" si="1"/>
        <v>107</v>
      </c>
      <c r="Q14" s="19"/>
      <c r="R14" s="33">
        <v>156</v>
      </c>
      <c r="S14" s="19"/>
      <c r="T14" s="33">
        <v>205</v>
      </c>
      <c r="U14" s="19"/>
      <c r="W14" s="22">
        <v>9</v>
      </c>
      <c r="X14" s="19"/>
      <c r="Y14" s="22">
        <v>58</v>
      </c>
      <c r="Z14" s="19"/>
      <c r="AA14" s="22">
        <f t="shared" si="2"/>
        <v>107</v>
      </c>
      <c r="AB14" s="19">
        <v>202.3</v>
      </c>
      <c r="AC14" s="33">
        <v>156</v>
      </c>
      <c r="AD14" s="19">
        <v>201.8</v>
      </c>
      <c r="AE14" s="33">
        <v>205</v>
      </c>
      <c r="AF14" s="19">
        <v>204.9</v>
      </c>
    </row>
    <row r="15" spans="1:32" ht="15.75" x14ac:dyDescent="0.25">
      <c r="A15" s="22">
        <v>10</v>
      </c>
      <c r="B15" s="19">
        <v>193.1</v>
      </c>
      <c r="C15" s="22">
        <v>59</v>
      </c>
      <c r="D15" s="19">
        <v>197.9</v>
      </c>
      <c r="E15" s="22">
        <f t="shared" si="0"/>
        <v>108</v>
      </c>
      <c r="F15" s="19">
        <v>208.5</v>
      </c>
      <c r="G15" s="33">
        <v>157</v>
      </c>
      <c r="H15" s="19">
        <v>202.3</v>
      </c>
      <c r="I15" s="33">
        <v>206</v>
      </c>
      <c r="J15" s="19">
        <v>197</v>
      </c>
      <c r="L15" s="22">
        <v>10</v>
      </c>
      <c r="M15" s="19">
        <v>193.1</v>
      </c>
      <c r="N15" s="22">
        <v>59</v>
      </c>
      <c r="O15" s="19">
        <v>197.9</v>
      </c>
      <c r="P15" s="22">
        <f t="shared" si="1"/>
        <v>108</v>
      </c>
      <c r="Q15" s="19"/>
      <c r="R15" s="33">
        <v>157</v>
      </c>
      <c r="S15" s="19"/>
      <c r="T15" s="33">
        <v>206</v>
      </c>
      <c r="U15" s="19"/>
      <c r="W15" s="22">
        <v>10</v>
      </c>
      <c r="X15" s="19"/>
      <c r="Y15" s="22">
        <v>59</v>
      </c>
      <c r="Z15" s="19"/>
      <c r="AA15" s="22">
        <f t="shared" si="2"/>
        <v>108</v>
      </c>
      <c r="AB15" s="19">
        <v>208.5</v>
      </c>
      <c r="AC15" s="33">
        <v>157</v>
      </c>
      <c r="AD15" s="19">
        <v>202.3</v>
      </c>
      <c r="AE15" s="33">
        <v>206</v>
      </c>
      <c r="AF15" s="19">
        <v>197</v>
      </c>
    </row>
    <row r="16" spans="1:32" ht="15.75" x14ac:dyDescent="0.25">
      <c r="A16" s="22">
        <v>11</v>
      </c>
      <c r="B16" s="19">
        <v>203.8</v>
      </c>
      <c r="C16" s="22">
        <v>60</v>
      </c>
      <c r="D16" s="19">
        <v>199.5</v>
      </c>
      <c r="E16" s="22">
        <f t="shared" si="0"/>
        <v>109</v>
      </c>
      <c r="F16" s="19">
        <v>205.2</v>
      </c>
      <c r="G16" s="33">
        <v>158</v>
      </c>
      <c r="H16" s="19">
        <v>204.6</v>
      </c>
      <c r="I16" s="33">
        <v>207</v>
      </c>
      <c r="J16" s="19">
        <v>198.2</v>
      </c>
      <c r="L16" s="22">
        <v>11</v>
      </c>
      <c r="M16" s="19">
        <v>203.8</v>
      </c>
      <c r="N16" s="22">
        <v>60</v>
      </c>
      <c r="O16" s="19">
        <v>199.5</v>
      </c>
      <c r="P16" s="22">
        <f t="shared" si="1"/>
        <v>109</v>
      </c>
      <c r="Q16" s="19"/>
      <c r="R16" s="33">
        <v>158</v>
      </c>
      <c r="S16" s="19"/>
      <c r="T16" s="33">
        <v>207</v>
      </c>
      <c r="U16" s="19"/>
      <c r="W16" s="22">
        <v>11</v>
      </c>
      <c r="X16" s="19"/>
      <c r="Y16" s="22">
        <v>60</v>
      </c>
      <c r="Z16" s="19"/>
      <c r="AA16" s="22">
        <f t="shared" si="2"/>
        <v>109</v>
      </c>
      <c r="AB16" s="19">
        <v>205.2</v>
      </c>
      <c r="AC16" s="33">
        <v>158</v>
      </c>
      <c r="AD16" s="19">
        <v>204.6</v>
      </c>
      <c r="AE16" s="33">
        <v>207</v>
      </c>
      <c r="AF16" s="19">
        <v>198.2</v>
      </c>
    </row>
    <row r="17" spans="1:32" ht="15.75" x14ac:dyDescent="0.25">
      <c r="A17" s="22">
        <v>12</v>
      </c>
      <c r="B17" s="19">
        <v>201.2</v>
      </c>
      <c r="C17" s="22">
        <v>61</v>
      </c>
      <c r="D17" s="19">
        <v>203.9</v>
      </c>
      <c r="E17" s="22">
        <f t="shared" si="0"/>
        <v>110</v>
      </c>
      <c r="F17" s="19">
        <v>200.2</v>
      </c>
      <c r="G17" s="33">
        <v>159</v>
      </c>
      <c r="H17" s="19">
        <v>203.8</v>
      </c>
      <c r="I17" s="33">
        <v>208</v>
      </c>
      <c r="J17" s="19">
        <v>203.6</v>
      </c>
      <c r="L17" s="22">
        <v>12</v>
      </c>
      <c r="M17" s="19">
        <v>201.2</v>
      </c>
      <c r="N17" s="22">
        <v>61</v>
      </c>
      <c r="O17" s="19"/>
      <c r="P17" s="22">
        <f t="shared" si="1"/>
        <v>110</v>
      </c>
      <c r="Q17" s="19"/>
      <c r="R17" s="33">
        <v>159</v>
      </c>
      <c r="S17" s="19"/>
      <c r="T17" s="33">
        <v>208</v>
      </c>
      <c r="U17" s="19"/>
      <c r="W17" s="22">
        <v>12</v>
      </c>
      <c r="X17" s="19"/>
      <c r="Y17" s="22">
        <v>61</v>
      </c>
      <c r="Z17" s="19">
        <v>203.9</v>
      </c>
      <c r="AA17" s="22">
        <f t="shared" si="2"/>
        <v>110</v>
      </c>
      <c r="AB17" s="19">
        <v>200.2</v>
      </c>
      <c r="AC17" s="33">
        <v>159</v>
      </c>
      <c r="AD17" s="19">
        <v>203.8</v>
      </c>
      <c r="AE17" s="33">
        <v>208</v>
      </c>
      <c r="AF17" s="19">
        <v>203.6</v>
      </c>
    </row>
    <row r="18" spans="1:32" ht="15.75" x14ac:dyDescent="0.25">
      <c r="A18" s="22">
        <v>13</v>
      </c>
      <c r="B18" s="19">
        <v>207.4</v>
      </c>
      <c r="C18" s="22">
        <v>62</v>
      </c>
      <c r="D18" s="19">
        <v>196.4</v>
      </c>
      <c r="E18" s="22">
        <f t="shared" si="0"/>
        <v>111</v>
      </c>
      <c r="F18" s="19">
        <v>204.5</v>
      </c>
      <c r="G18" s="33">
        <v>160</v>
      </c>
      <c r="H18" s="19">
        <v>204.6</v>
      </c>
      <c r="I18" s="33">
        <v>209</v>
      </c>
      <c r="J18" s="19">
        <v>200.2</v>
      </c>
      <c r="L18" s="22">
        <v>13</v>
      </c>
      <c r="M18" s="19">
        <v>207.4</v>
      </c>
      <c r="N18" s="22">
        <v>62</v>
      </c>
      <c r="O18" s="19"/>
      <c r="P18" s="22">
        <f t="shared" si="1"/>
        <v>111</v>
      </c>
      <c r="Q18" s="19"/>
      <c r="R18" s="33">
        <v>160</v>
      </c>
      <c r="S18" s="19"/>
      <c r="T18" s="33">
        <v>209</v>
      </c>
      <c r="U18" s="19"/>
      <c r="W18" s="22">
        <v>13</v>
      </c>
      <c r="X18" s="19"/>
      <c r="Y18" s="22">
        <v>62</v>
      </c>
      <c r="Z18" s="19">
        <v>196.4</v>
      </c>
      <c r="AA18" s="22">
        <f t="shared" si="2"/>
        <v>111</v>
      </c>
      <c r="AB18" s="19">
        <v>204.5</v>
      </c>
      <c r="AC18" s="33">
        <v>160</v>
      </c>
      <c r="AD18" s="19">
        <v>204.6</v>
      </c>
      <c r="AE18" s="33">
        <v>209</v>
      </c>
      <c r="AF18" s="19">
        <v>200.2</v>
      </c>
    </row>
    <row r="19" spans="1:32" ht="15.75" x14ac:dyDescent="0.25">
      <c r="A19" s="22">
        <v>14</v>
      </c>
      <c r="B19" s="19">
        <v>199.6</v>
      </c>
      <c r="C19" s="22">
        <v>63</v>
      </c>
      <c r="D19" s="19">
        <v>195.2</v>
      </c>
      <c r="E19" s="22">
        <f t="shared" si="0"/>
        <v>112</v>
      </c>
      <c r="F19" s="19">
        <v>203.3</v>
      </c>
      <c r="G19" s="33">
        <v>161</v>
      </c>
      <c r="H19" s="19">
        <v>200</v>
      </c>
      <c r="I19" s="33">
        <v>210</v>
      </c>
      <c r="J19" s="19">
        <v>202.8</v>
      </c>
      <c r="L19" s="22">
        <v>14</v>
      </c>
      <c r="M19" s="19">
        <v>199.6</v>
      </c>
      <c r="N19" s="22">
        <v>63</v>
      </c>
      <c r="O19" s="19"/>
      <c r="P19" s="22">
        <f t="shared" si="1"/>
        <v>112</v>
      </c>
      <c r="Q19" s="19"/>
      <c r="R19" s="33">
        <v>161</v>
      </c>
      <c r="S19" s="19"/>
      <c r="T19" s="33">
        <v>210</v>
      </c>
      <c r="U19" s="19"/>
      <c r="W19" s="22">
        <v>14</v>
      </c>
      <c r="X19" s="19"/>
      <c r="Y19" s="22">
        <v>63</v>
      </c>
      <c r="Z19" s="19">
        <v>195.2</v>
      </c>
      <c r="AA19" s="22">
        <f t="shared" si="2"/>
        <v>112</v>
      </c>
      <c r="AB19" s="19">
        <v>203.3</v>
      </c>
      <c r="AC19" s="33">
        <v>161</v>
      </c>
      <c r="AD19" s="19">
        <v>200</v>
      </c>
      <c r="AE19" s="33">
        <v>210</v>
      </c>
      <c r="AF19" s="19">
        <v>202.8</v>
      </c>
    </row>
    <row r="20" spans="1:32" ht="15.75" x14ac:dyDescent="0.25">
      <c r="A20" s="22">
        <v>15</v>
      </c>
      <c r="B20" s="19">
        <v>200.9</v>
      </c>
      <c r="C20" s="22">
        <v>64</v>
      </c>
      <c r="D20" s="19">
        <v>200</v>
      </c>
      <c r="E20" s="22">
        <f t="shared" si="0"/>
        <v>113</v>
      </c>
      <c r="F20" s="19">
        <v>200.5</v>
      </c>
      <c r="G20" s="35">
        <v>162</v>
      </c>
      <c r="H20" s="19">
        <v>200.7</v>
      </c>
      <c r="I20" s="33">
        <v>211</v>
      </c>
      <c r="J20" s="19">
        <v>199.1</v>
      </c>
      <c r="L20" s="22">
        <v>15</v>
      </c>
      <c r="M20" s="19">
        <v>200.9</v>
      </c>
      <c r="N20" s="22">
        <v>64</v>
      </c>
      <c r="O20" s="19"/>
      <c r="P20" s="22">
        <f t="shared" si="1"/>
        <v>113</v>
      </c>
      <c r="Q20" s="19"/>
      <c r="R20" s="35">
        <v>162</v>
      </c>
      <c r="S20" s="19"/>
      <c r="T20" s="33">
        <v>211</v>
      </c>
      <c r="U20" s="19"/>
      <c r="W20" s="22">
        <v>15</v>
      </c>
      <c r="X20" s="19"/>
      <c r="Y20" s="22">
        <v>64</v>
      </c>
      <c r="Z20" s="19">
        <v>200</v>
      </c>
      <c r="AA20" s="22">
        <f t="shared" si="2"/>
        <v>113</v>
      </c>
      <c r="AB20" s="19">
        <v>200.5</v>
      </c>
      <c r="AC20" s="35">
        <v>162</v>
      </c>
      <c r="AD20" s="19">
        <v>200.7</v>
      </c>
      <c r="AE20" s="33">
        <v>211</v>
      </c>
      <c r="AF20" s="19">
        <v>199.1</v>
      </c>
    </row>
    <row r="21" spans="1:32" ht="15.75" x14ac:dyDescent="0.25">
      <c r="A21" s="22">
        <v>16</v>
      </c>
      <c r="B21" s="19">
        <v>196.7</v>
      </c>
      <c r="C21" s="22">
        <v>65</v>
      </c>
      <c r="D21" s="19">
        <v>196.6</v>
      </c>
      <c r="E21" s="22">
        <f t="shared" si="0"/>
        <v>114</v>
      </c>
      <c r="F21" s="19">
        <v>201.4</v>
      </c>
      <c r="G21" s="35">
        <v>163</v>
      </c>
      <c r="H21" s="19">
        <v>203.3</v>
      </c>
      <c r="I21" s="33">
        <v>212</v>
      </c>
      <c r="J21" s="19">
        <v>207.4</v>
      </c>
      <c r="L21" s="22">
        <v>16</v>
      </c>
      <c r="M21" s="19">
        <v>196.7</v>
      </c>
      <c r="N21" s="22">
        <v>65</v>
      </c>
      <c r="O21" s="19"/>
      <c r="P21" s="22">
        <f t="shared" si="1"/>
        <v>114</v>
      </c>
      <c r="Q21" s="19"/>
      <c r="R21" s="35">
        <v>163</v>
      </c>
      <c r="S21" s="19"/>
      <c r="T21" s="33">
        <v>212</v>
      </c>
      <c r="U21" s="19"/>
      <c r="W21" s="22">
        <v>16</v>
      </c>
      <c r="X21" s="19"/>
      <c r="Y21" s="22">
        <v>65</v>
      </c>
      <c r="Z21" s="19">
        <v>196.6</v>
      </c>
      <c r="AA21" s="22">
        <f t="shared" si="2"/>
        <v>114</v>
      </c>
      <c r="AB21" s="19">
        <v>201.4</v>
      </c>
      <c r="AC21" s="35">
        <v>163</v>
      </c>
      <c r="AD21" s="19">
        <v>203.3</v>
      </c>
      <c r="AE21" s="33">
        <v>212</v>
      </c>
      <c r="AF21" s="19">
        <v>207.4</v>
      </c>
    </row>
    <row r="22" spans="1:32" ht="15.75" x14ac:dyDescent="0.25">
      <c r="A22" s="22">
        <v>17</v>
      </c>
      <c r="B22" s="19">
        <v>197.8</v>
      </c>
      <c r="C22" s="22">
        <v>66</v>
      </c>
      <c r="D22" s="19">
        <v>194.2</v>
      </c>
      <c r="E22" s="22">
        <f t="shared" si="0"/>
        <v>115</v>
      </c>
      <c r="F22" s="19">
        <v>197.9</v>
      </c>
      <c r="G22" s="35">
        <v>164</v>
      </c>
      <c r="H22" s="19">
        <v>202.3</v>
      </c>
      <c r="I22" s="33">
        <v>213</v>
      </c>
      <c r="J22" s="19">
        <v>204.9</v>
      </c>
      <c r="L22" s="22">
        <v>17</v>
      </c>
      <c r="M22" s="19">
        <v>197.8</v>
      </c>
      <c r="N22" s="22">
        <v>66</v>
      </c>
      <c r="O22" s="19"/>
      <c r="P22" s="22">
        <f t="shared" si="1"/>
        <v>115</v>
      </c>
      <c r="Q22" s="19"/>
      <c r="R22" s="35">
        <v>164</v>
      </c>
      <c r="S22" s="19"/>
      <c r="T22" s="33">
        <v>213</v>
      </c>
      <c r="U22" s="19"/>
      <c r="W22" s="22">
        <v>17</v>
      </c>
      <c r="X22" s="19"/>
      <c r="Y22" s="22">
        <v>66</v>
      </c>
      <c r="Z22" s="19">
        <v>194.2</v>
      </c>
      <c r="AA22" s="22">
        <f t="shared" si="2"/>
        <v>115</v>
      </c>
      <c r="AB22" s="19">
        <v>197.9</v>
      </c>
      <c r="AC22" s="35">
        <v>164</v>
      </c>
      <c r="AD22" s="19">
        <v>202.3</v>
      </c>
      <c r="AE22" s="33">
        <v>213</v>
      </c>
      <c r="AF22" s="19">
        <v>204.9</v>
      </c>
    </row>
    <row r="23" spans="1:32" ht="15.75" x14ac:dyDescent="0.25">
      <c r="A23" s="22">
        <v>18</v>
      </c>
      <c r="B23" s="19">
        <v>200.2</v>
      </c>
      <c r="C23" s="22">
        <v>67</v>
      </c>
      <c r="D23" s="19">
        <v>198.2</v>
      </c>
      <c r="E23" s="22">
        <f t="shared" si="0"/>
        <v>116</v>
      </c>
      <c r="F23" s="19">
        <v>203.7</v>
      </c>
      <c r="G23" s="35">
        <v>165</v>
      </c>
      <c r="H23" s="19">
        <v>201.7</v>
      </c>
      <c r="I23" s="33">
        <v>214</v>
      </c>
      <c r="J23" s="19">
        <v>203.4</v>
      </c>
      <c r="L23" s="22">
        <v>18</v>
      </c>
      <c r="M23" s="19">
        <v>200.2</v>
      </c>
      <c r="N23" s="22">
        <v>67</v>
      </c>
      <c r="O23" s="19"/>
      <c r="P23" s="22">
        <f t="shared" si="1"/>
        <v>116</v>
      </c>
      <c r="Q23" s="19"/>
      <c r="R23" s="35">
        <v>165</v>
      </c>
      <c r="S23" s="19"/>
      <c r="T23" s="33">
        <v>214</v>
      </c>
      <c r="U23" s="19"/>
      <c r="W23" s="22">
        <v>18</v>
      </c>
      <c r="X23" s="19"/>
      <c r="Y23" s="22">
        <v>67</v>
      </c>
      <c r="Z23" s="19">
        <v>198.2</v>
      </c>
      <c r="AA23" s="22">
        <f t="shared" si="2"/>
        <v>116</v>
      </c>
      <c r="AB23" s="19">
        <v>203.7</v>
      </c>
      <c r="AC23" s="35">
        <v>165</v>
      </c>
      <c r="AD23" s="19">
        <v>201.7</v>
      </c>
      <c r="AE23" s="33">
        <v>214</v>
      </c>
      <c r="AF23" s="19">
        <v>203.4</v>
      </c>
    </row>
    <row r="24" spans="1:32" ht="15.75" x14ac:dyDescent="0.25">
      <c r="A24" s="22">
        <v>19</v>
      </c>
      <c r="B24" s="19">
        <v>197</v>
      </c>
      <c r="C24" s="22">
        <v>68</v>
      </c>
      <c r="D24" s="19">
        <v>200.2</v>
      </c>
      <c r="E24" s="22">
        <f t="shared" si="0"/>
        <v>117</v>
      </c>
      <c r="F24" s="19">
        <v>197.2</v>
      </c>
      <c r="G24" s="35">
        <v>166</v>
      </c>
      <c r="H24" s="19">
        <v>200.8</v>
      </c>
      <c r="I24" s="33">
        <v>215</v>
      </c>
      <c r="J24" s="19">
        <v>197</v>
      </c>
      <c r="L24" s="22">
        <v>19</v>
      </c>
      <c r="M24" s="19">
        <v>197</v>
      </c>
      <c r="N24" s="22">
        <v>68</v>
      </c>
      <c r="O24" s="19"/>
      <c r="P24" s="22">
        <f t="shared" si="1"/>
        <v>117</v>
      </c>
      <c r="Q24" s="19"/>
      <c r="R24" s="35">
        <v>166</v>
      </c>
      <c r="S24" s="19"/>
      <c r="T24" s="33">
        <v>215</v>
      </c>
      <c r="U24" s="19"/>
      <c r="W24" s="22">
        <v>19</v>
      </c>
      <c r="X24" s="19"/>
      <c r="Y24" s="22">
        <v>68</v>
      </c>
      <c r="Z24" s="19">
        <v>200.2</v>
      </c>
      <c r="AA24" s="22">
        <f t="shared" si="2"/>
        <v>117</v>
      </c>
      <c r="AB24" s="19">
        <v>197.2</v>
      </c>
      <c r="AC24" s="35">
        <v>166</v>
      </c>
      <c r="AD24" s="19">
        <v>200.8</v>
      </c>
      <c r="AE24" s="33">
        <v>215</v>
      </c>
      <c r="AF24" s="19">
        <v>197</v>
      </c>
    </row>
    <row r="25" spans="1:32" ht="15.75" x14ac:dyDescent="0.25">
      <c r="A25" s="22">
        <v>20</v>
      </c>
      <c r="B25" s="19">
        <v>205.1</v>
      </c>
      <c r="C25" s="22">
        <v>69</v>
      </c>
      <c r="D25" s="19">
        <v>199.3</v>
      </c>
      <c r="E25" s="22">
        <f t="shared" si="0"/>
        <v>118</v>
      </c>
      <c r="F25" s="19">
        <v>201.5</v>
      </c>
      <c r="G25" s="35">
        <v>167</v>
      </c>
      <c r="H25" s="19">
        <v>196.1</v>
      </c>
      <c r="I25" s="33">
        <v>216</v>
      </c>
      <c r="J25" s="19">
        <v>202.4</v>
      </c>
      <c r="L25" s="22">
        <v>20</v>
      </c>
      <c r="M25" s="19">
        <v>205.1</v>
      </c>
      <c r="N25" s="22">
        <v>69</v>
      </c>
      <c r="O25" s="19"/>
      <c r="P25" s="22">
        <f t="shared" si="1"/>
        <v>118</v>
      </c>
      <c r="Q25" s="19"/>
      <c r="R25" s="35">
        <v>167</v>
      </c>
      <c r="S25" s="19"/>
      <c r="T25" s="33">
        <v>216</v>
      </c>
      <c r="U25" s="19"/>
      <c r="W25" s="22">
        <v>20</v>
      </c>
      <c r="X25" s="19"/>
      <c r="Y25" s="22">
        <v>69</v>
      </c>
      <c r="Z25" s="19">
        <v>199.3</v>
      </c>
      <c r="AA25" s="22">
        <f t="shared" si="2"/>
        <v>118</v>
      </c>
      <c r="AB25" s="19">
        <v>201.5</v>
      </c>
      <c r="AC25" s="35">
        <v>167</v>
      </c>
      <c r="AD25" s="19">
        <v>196.1</v>
      </c>
      <c r="AE25" s="33">
        <v>216</v>
      </c>
      <c r="AF25" s="19">
        <v>202.4</v>
      </c>
    </row>
    <row r="26" spans="1:32" ht="15.75" x14ac:dyDescent="0.25">
      <c r="A26" s="22">
        <v>21</v>
      </c>
      <c r="B26" s="19">
        <v>199.3</v>
      </c>
      <c r="C26" s="22">
        <v>70</v>
      </c>
      <c r="D26" s="19">
        <v>207.9</v>
      </c>
      <c r="E26" s="22">
        <f t="shared" si="0"/>
        <v>119</v>
      </c>
      <c r="F26" s="19">
        <v>201.4</v>
      </c>
      <c r="G26" s="35">
        <v>168</v>
      </c>
      <c r="H26" s="19">
        <v>199.7</v>
      </c>
      <c r="I26" s="33">
        <v>217</v>
      </c>
      <c r="J26" s="19">
        <v>208.1</v>
      </c>
      <c r="L26" s="22">
        <v>21</v>
      </c>
      <c r="M26" s="19">
        <v>199.3</v>
      </c>
      <c r="N26" s="22">
        <v>70</v>
      </c>
      <c r="O26" s="19"/>
      <c r="P26" s="22">
        <f t="shared" si="1"/>
        <v>119</v>
      </c>
      <c r="Q26" s="19"/>
      <c r="R26" s="35">
        <v>168</v>
      </c>
      <c r="S26" s="19"/>
      <c r="T26" s="33">
        <v>217</v>
      </c>
      <c r="U26" s="19"/>
      <c r="W26" s="22">
        <v>21</v>
      </c>
      <c r="X26" s="19"/>
      <c r="Y26" s="22">
        <v>70</v>
      </c>
      <c r="Z26" s="19">
        <v>207.9</v>
      </c>
      <c r="AA26" s="22">
        <f t="shared" si="2"/>
        <v>119</v>
      </c>
      <c r="AB26" s="19">
        <v>201.4</v>
      </c>
      <c r="AC26" s="35">
        <v>168</v>
      </c>
      <c r="AD26" s="19">
        <v>199.7</v>
      </c>
      <c r="AE26" s="33">
        <v>217</v>
      </c>
      <c r="AF26" s="19">
        <v>208.1</v>
      </c>
    </row>
    <row r="27" spans="1:32" ht="15.75" x14ac:dyDescent="0.25">
      <c r="A27" s="22">
        <v>22</v>
      </c>
      <c r="B27" s="19">
        <v>197.7</v>
      </c>
      <c r="C27" s="22">
        <v>71</v>
      </c>
      <c r="D27" s="19">
        <v>201</v>
      </c>
      <c r="E27" s="22">
        <f t="shared" si="0"/>
        <v>120</v>
      </c>
      <c r="F27" s="19">
        <v>202.6</v>
      </c>
      <c r="G27" s="35">
        <v>169</v>
      </c>
      <c r="H27" s="19">
        <v>202.6</v>
      </c>
      <c r="I27" s="33">
        <v>218</v>
      </c>
      <c r="J27" s="19">
        <v>195.8</v>
      </c>
      <c r="L27" s="22">
        <v>22</v>
      </c>
      <c r="M27" s="19">
        <v>197.7</v>
      </c>
      <c r="N27" s="22">
        <v>71</v>
      </c>
      <c r="O27" s="19"/>
      <c r="P27" s="22">
        <f t="shared" si="1"/>
        <v>120</v>
      </c>
      <c r="Q27" s="19"/>
      <c r="R27" s="35">
        <v>169</v>
      </c>
      <c r="S27" s="19"/>
      <c r="T27" s="33">
        <v>218</v>
      </c>
      <c r="U27" s="19"/>
      <c r="W27" s="22">
        <v>22</v>
      </c>
      <c r="X27" s="19"/>
      <c r="Y27" s="22">
        <v>71</v>
      </c>
      <c r="Z27" s="19">
        <v>201</v>
      </c>
      <c r="AA27" s="22">
        <f t="shared" si="2"/>
        <v>120</v>
      </c>
      <c r="AB27" s="19">
        <v>202.6</v>
      </c>
      <c r="AC27" s="35">
        <v>169</v>
      </c>
      <c r="AD27" s="19">
        <v>202.6</v>
      </c>
      <c r="AE27" s="33">
        <v>218</v>
      </c>
      <c r="AF27" s="19">
        <v>195.8</v>
      </c>
    </row>
    <row r="28" spans="1:32" ht="15.75" x14ac:dyDescent="0.25">
      <c r="A28" s="22">
        <v>23</v>
      </c>
      <c r="B28" s="19">
        <v>195.7</v>
      </c>
      <c r="C28" s="22">
        <v>72</v>
      </c>
      <c r="D28" s="19">
        <v>197.4</v>
      </c>
      <c r="E28" s="22">
        <f t="shared" si="0"/>
        <v>121</v>
      </c>
      <c r="F28" s="19">
        <v>199.7</v>
      </c>
      <c r="G28" s="35">
        <v>170</v>
      </c>
      <c r="H28" s="19">
        <v>196.9</v>
      </c>
      <c r="I28" s="33">
        <v>219</v>
      </c>
      <c r="J28" s="19">
        <v>199.5</v>
      </c>
      <c r="L28" s="22">
        <v>23</v>
      </c>
      <c r="M28" s="19">
        <v>195.7</v>
      </c>
      <c r="N28" s="22">
        <v>72</v>
      </c>
      <c r="O28" s="19"/>
      <c r="P28" s="22">
        <f t="shared" si="1"/>
        <v>121</v>
      </c>
      <c r="Q28" s="19"/>
      <c r="R28" s="35">
        <v>170</v>
      </c>
      <c r="S28" s="19"/>
      <c r="T28" s="33">
        <v>219</v>
      </c>
      <c r="U28" s="19"/>
      <c r="W28" s="22">
        <v>23</v>
      </c>
      <c r="X28" s="19"/>
      <c r="Y28" s="22">
        <v>72</v>
      </c>
      <c r="Z28" s="19">
        <v>197.4</v>
      </c>
      <c r="AA28" s="22">
        <f t="shared" si="2"/>
        <v>121</v>
      </c>
      <c r="AB28" s="19">
        <v>199.7</v>
      </c>
      <c r="AC28" s="35">
        <v>170</v>
      </c>
      <c r="AD28" s="19">
        <v>196.9</v>
      </c>
      <c r="AE28" s="33">
        <v>219</v>
      </c>
      <c r="AF28" s="19">
        <v>199.5</v>
      </c>
    </row>
    <row r="29" spans="1:32" ht="15.75" x14ac:dyDescent="0.25">
      <c r="A29" s="22">
        <v>24</v>
      </c>
      <c r="B29" s="19">
        <v>202.5</v>
      </c>
      <c r="C29" s="22">
        <v>73</v>
      </c>
      <c r="D29" s="19">
        <v>211.5</v>
      </c>
      <c r="E29" s="22">
        <f t="shared" si="0"/>
        <v>122</v>
      </c>
      <c r="F29" s="19">
        <v>205.4</v>
      </c>
      <c r="G29" s="35">
        <v>171</v>
      </c>
      <c r="H29" s="19">
        <v>201.6</v>
      </c>
      <c r="I29" s="33">
        <v>220</v>
      </c>
      <c r="J29" s="19">
        <v>205.1</v>
      </c>
      <c r="L29" s="22">
        <v>24</v>
      </c>
      <c r="M29" s="19">
        <v>202.5</v>
      </c>
      <c r="N29" s="22">
        <v>73</v>
      </c>
      <c r="O29" s="19"/>
      <c r="P29" s="22">
        <f t="shared" si="1"/>
        <v>122</v>
      </c>
      <c r="Q29" s="19"/>
      <c r="R29" s="35">
        <v>171</v>
      </c>
      <c r="S29" s="19"/>
      <c r="T29" s="33">
        <v>220</v>
      </c>
      <c r="U29" s="19"/>
      <c r="W29" s="22">
        <v>24</v>
      </c>
      <c r="X29" s="19"/>
      <c r="Y29" s="22">
        <v>73</v>
      </c>
      <c r="Z29" s="19">
        <v>211.5</v>
      </c>
      <c r="AA29" s="22">
        <f t="shared" si="2"/>
        <v>122</v>
      </c>
      <c r="AB29" s="19">
        <v>205.4</v>
      </c>
      <c r="AC29" s="35">
        <v>171</v>
      </c>
      <c r="AD29" s="19">
        <v>201.6</v>
      </c>
      <c r="AE29" s="33">
        <v>220</v>
      </c>
      <c r="AF29" s="19">
        <v>205.1</v>
      </c>
    </row>
    <row r="30" spans="1:32" ht="15.75" x14ac:dyDescent="0.25">
      <c r="A30" s="22">
        <v>25</v>
      </c>
      <c r="B30" s="19">
        <v>195.2</v>
      </c>
      <c r="C30" s="22">
        <v>74</v>
      </c>
      <c r="D30" s="19">
        <v>200.7</v>
      </c>
      <c r="E30" s="22">
        <f t="shared" si="0"/>
        <v>123</v>
      </c>
      <c r="F30" s="19">
        <v>205.9</v>
      </c>
      <c r="G30" s="35">
        <v>172</v>
      </c>
      <c r="H30" s="19">
        <v>203.3</v>
      </c>
      <c r="I30" s="20"/>
      <c r="J30" s="36"/>
      <c r="L30" s="22">
        <v>25</v>
      </c>
      <c r="M30" s="19">
        <v>195.2</v>
      </c>
      <c r="N30" s="22">
        <v>74</v>
      </c>
      <c r="O30" s="19"/>
      <c r="P30" s="22">
        <f t="shared" si="1"/>
        <v>123</v>
      </c>
      <c r="Q30" s="19"/>
      <c r="R30" s="35">
        <v>172</v>
      </c>
      <c r="S30" s="19"/>
      <c r="T30" s="20"/>
      <c r="U30" s="36"/>
      <c r="W30" s="22">
        <v>25</v>
      </c>
      <c r="X30" s="19"/>
      <c r="Y30" s="22">
        <v>74</v>
      </c>
      <c r="Z30" s="19">
        <v>200.7</v>
      </c>
      <c r="AA30" s="22">
        <f t="shared" si="2"/>
        <v>123</v>
      </c>
      <c r="AB30" s="19">
        <v>205.9</v>
      </c>
      <c r="AC30" s="35">
        <v>172</v>
      </c>
      <c r="AD30" s="19">
        <v>203.3</v>
      </c>
      <c r="AE30" s="20"/>
      <c r="AF30" s="36"/>
    </row>
    <row r="31" spans="1:32" ht="15.75" x14ac:dyDescent="0.25">
      <c r="A31" s="22">
        <v>26</v>
      </c>
      <c r="B31" s="19">
        <v>199.7</v>
      </c>
      <c r="C31" s="22">
        <v>75</v>
      </c>
      <c r="D31" s="19">
        <v>197.1</v>
      </c>
      <c r="E31" s="22">
        <f t="shared" si="0"/>
        <v>124</v>
      </c>
      <c r="F31" s="19">
        <v>202</v>
      </c>
      <c r="G31" s="35">
        <v>173</v>
      </c>
      <c r="H31" s="19">
        <v>200.1</v>
      </c>
      <c r="I31" s="20"/>
      <c r="J31" s="36"/>
      <c r="L31" s="22">
        <v>26</v>
      </c>
      <c r="M31" s="19">
        <v>199.7</v>
      </c>
      <c r="N31" s="22">
        <v>75</v>
      </c>
      <c r="O31" s="19"/>
      <c r="P31" s="22">
        <f t="shared" si="1"/>
        <v>124</v>
      </c>
      <c r="Q31" s="19"/>
      <c r="R31" s="35">
        <v>173</v>
      </c>
      <c r="S31" s="19"/>
      <c r="T31" s="20"/>
      <c r="U31" s="36"/>
      <c r="W31" s="22">
        <v>26</v>
      </c>
      <c r="X31" s="19"/>
      <c r="Y31" s="22">
        <v>75</v>
      </c>
      <c r="Z31" s="19">
        <v>197.1</v>
      </c>
      <c r="AA31" s="22">
        <f t="shared" si="2"/>
        <v>124</v>
      </c>
      <c r="AB31" s="19">
        <v>202</v>
      </c>
      <c r="AC31" s="35">
        <v>173</v>
      </c>
      <c r="AD31" s="19">
        <v>200.1</v>
      </c>
      <c r="AE31" s="20"/>
      <c r="AF31" s="36"/>
    </row>
    <row r="32" spans="1:32" ht="15.75" x14ac:dyDescent="0.25">
      <c r="A32" s="22">
        <v>27</v>
      </c>
      <c r="B32" s="19">
        <v>194.3</v>
      </c>
      <c r="C32" s="22">
        <v>76</v>
      </c>
      <c r="D32" s="19">
        <v>199.8</v>
      </c>
      <c r="E32" s="22">
        <f t="shared" si="0"/>
        <v>125</v>
      </c>
      <c r="F32" s="19">
        <v>201</v>
      </c>
      <c r="G32" s="33">
        <v>174</v>
      </c>
      <c r="H32" s="19">
        <v>201.7</v>
      </c>
      <c r="I32" s="21"/>
      <c r="J32" s="36"/>
      <c r="L32" s="22">
        <v>27</v>
      </c>
      <c r="M32" s="19">
        <v>194.3</v>
      </c>
      <c r="N32" s="22">
        <v>76</v>
      </c>
      <c r="O32" s="19"/>
      <c r="P32" s="22">
        <f t="shared" si="1"/>
        <v>125</v>
      </c>
      <c r="Q32" s="19"/>
      <c r="R32" s="33">
        <v>174</v>
      </c>
      <c r="S32" s="19"/>
      <c r="T32" s="21"/>
      <c r="U32" s="36"/>
      <c r="W32" s="22">
        <v>27</v>
      </c>
      <c r="X32" s="19"/>
      <c r="Y32" s="22">
        <v>76</v>
      </c>
      <c r="Z32" s="19">
        <v>199.8</v>
      </c>
      <c r="AA32" s="22">
        <f t="shared" si="2"/>
        <v>125</v>
      </c>
      <c r="AB32" s="19">
        <v>201</v>
      </c>
      <c r="AC32" s="33">
        <v>174</v>
      </c>
      <c r="AD32" s="19">
        <v>201.7</v>
      </c>
      <c r="AE32" s="21"/>
      <c r="AF32" s="36"/>
    </row>
    <row r="33" spans="1:32" ht="15.75" x14ac:dyDescent="0.25">
      <c r="A33" s="22">
        <v>28</v>
      </c>
      <c r="B33" s="19">
        <v>193.4</v>
      </c>
      <c r="C33" s="22">
        <v>77</v>
      </c>
      <c r="D33" s="19">
        <v>199.7</v>
      </c>
      <c r="E33" s="22">
        <f t="shared" si="0"/>
        <v>126</v>
      </c>
      <c r="F33" s="19">
        <v>203.9</v>
      </c>
      <c r="G33" s="33">
        <v>175</v>
      </c>
      <c r="H33" s="19">
        <v>199</v>
      </c>
      <c r="I33" s="20"/>
      <c r="J33" s="36"/>
      <c r="L33" s="22">
        <v>28</v>
      </c>
      <c r="M33" s="19">
        <v>193.4</v>
      </c>
      <c r="N33" s="22">
        <v>77</v>
      </c>
      <c r="O33" s="19"/>
      <c r="P33" s="22">
        <f t="shared" si="1"/>
        <v>126</v>
      </c>
      <c r="Q33" s="19"/>
      <c r="R33" s="33">
        <v>175</v>
      </c>
      <c r="S33" s="19"/>
      <c r="T33" s="20"/>
      <c r="U33" s="36"/>
      <c r="W33" s="22">
        <v>28</v>
      </c>
      <c r="X33" s="19"/>
      <c r="Y33" s="22">
        <v>77</v>
      </c>
      <c r="Z33" s="19">
        <v>199.7</v>
      </c>
      <c r="AA33" s="22">
        <f t="shared" si="2"/>
        <v>126</v>
      </c>
      <c r="AB33" s="19">
        <v>203.9</v>
      </c>
      <c r="AC33" s="33">
        <v>175</v>
      </c>
      <c r="AD33" s="19">
        <v>199</v>
      </c>
      <c r="AE33" s="20"/>
      <c r="AF33" s="36"/>
    </row>
    <row r="34" spans="1:32" ht="15.75" x14ac:dyDescent="0.25">
      <c r="A34" s="22">
        <v>29</v>
      </c>
      <c r="B34" s="19">
        <v>193.2</v>
      </c>
      <c r="C34" s="22">
        <v>78</v>
      </c>
      <c r="D34" s="19">
        <v>199.2</v>
      </c>
      <c r="E34" s="22">
        <f t="shared" si="0"/>
        <v>127</v>
      </c>
      <c r="F34" s="19">
        <v>209</v>
      </c>
      <c r="G34" s="33">
        <v>176</v>
      </c>
      <c r="H34" s="19">
        <v>200.8</v>
      </c>
      <c r="I34" s="20"/>
      <c r="J34" s="36"/>
      <c r="L34" s="22">
        <v>29</v>
      </c>
      <c r="M34" s="19">
        <v>193.2</v>
      </c>
      <c r="N34" s="22">
        <v>78</v>
      </c>
      <c r="O34" s="19"/>
      <c r="P34" s="22">
        <f t="shared" si="1"/>
        <v>127</v>
      </c>
      <c r="Q34" s="19"/>
      <c r="R34" s="33">
        <v>176</v>
      </c>
      <c r="S34" s="19"/>
      <c r="T34" s="20"/>
      <c r="U34" s="36"/>
      <c r="W34" s="22">
        <v>29</v>
      </c>
      <c r="X34" s="19"/>
      <c r="Y34" s="22">
        <v>78</v>
      </c>
      <c r="Z34" s="19">
        <v>199.2</v>
      </c>
      <c r="AA34" s="22">
        <f t="shared" si="2"/>
        <v>127</v>
      </c>
      <c r="AB34" s="19">
        <v>209</v>
      </c>
      <c r="AC34" s="33">
        <v>176</v>
      </c>
      <c r="AD34" s="19">
        <v>200.8</v>
      </c>
      <c r="AE34" s="20"/>
      <c r="AF34" s="36"/>
    </row>
    <row r="35" spans="1:32" ht="15.75" x14ac:dyDescent="0.25">
      <c r="A35" s="22">
        <v>30</v>
      </c>
      <c r="B35" s="19">
        <v>193.7</v>
      </c>
      <c r="C35" s="22">
        <v>79</v>
      </c>
      <c r="D35" s="19">
        <v>205.1</v>
      </c>
      <c r="E35" s="22">
        <f t="shared" si="0"/>
        <v>128</v>
      </c>
      <c r="F35" s="19">
        <v>202.9</v>
      </c>
      <c r="G35" s="33">
        <v>177</v>
      </c>
      <c r="H35" s="19">
        <v>202.7</v>
      </c>
      <c r="I35" s="21"/>
      <c r="J35" s="36"/>
      <c r="L35" s="22">
        <v>30</v>
      </c>
      <c r="M35" s="19">
        <v>193.7</v>
      </c>
      <c r="N35" s="22">
        <v>79</v>
      </c>
      <c r="O35" s="19"/>
      <c r="P35" s="22">
        <f t="shared" si="1"/>
        <v>128</v>
      </c>
      <c r="Q35" s="19"/>
      <c r="R35" s="33">
        <v>177</v>
      </c>
      <c r="S35" s="19"/>
      <c r="T35" s="21"/>
      <c r="U35" s="36"/>
      <c r="W35" s="22">
        <v>30</v>
      </c>
      <c r="X35" s="19"/>
      <c r="Y35" s="22">
        <v>79</v>
      </c>
      <c r="Z35" s="19">
        <v>205.1</v>
      </c>
      <c r="AA35" s="22">
        <f t="shared" si="2"/>
        <v>128</v>
      </c>
      <c r="AB35" s="19">
        <v>202.9</v>
      </c>
      <c r="AC35" s="33">
        <v>177</v>
      </c>
      <c r="AD35" s="19">
        <v>202.7</v>
      </c>
      <c r="AE35" s="21"/>
      <c r="AF35" s="36"/>
    </row>
    <row r="36" spans="1:32" ht="15.75" x14ac:dyDescent="0.25">
      <c r="A36" s="22">
        <v>31</v>
      </c>
      <c r="B36" s="19">
        <v>199.1</v>
      </c>
      <c r="C36" s="22">
        <v>80</v>
      </c>
      <c r="D36" s="19">
        <v>202</v>
      </c>
      <c r="E36" s="22">
        <f t="shared" si="0"/>
        <v>129</v>
      </c>
      <c r="F36" s="19">
        <v>198.3</v>
      </c>
      <c r="G36" s="33">
        <v>178</v>
      </c>
      <c r="H36" s="19">
        <v>202.7</v>
      </c>
      <c r="I36" s="20"/>
      <c r="J36" s="36"/>
      <c r="L36" s="22">
        <v>31</v>
      </c>
      <c r="M36" s="19">
        <v>199.1</v>
      </c>
      <c r="N36" s="22">
        <v>80</v>
      </c>
      <c r="O36" s="19"/>
      <c r="P36" s="22">
        <f t="shared" si="1"/>
        <v>129</v>
      </c>
      <c r="Q36" s="19"/>
      <c r="R36" s="33">
        <v>178</v>
      </c>
      <c r="S36" s="19"/>
      <c r="T36" s="20"/>
      <c r="U36" s="36"/>
      <c r="W36" s="22">
        <v>31</v>
      </c>
      <c r="X36" s="19"/>
      <c r="Y36" s="22">
        <v>80</v>
      </c>
      <c r="Z36" s="19">
        <v>202</v>
      </c>
      <c r="AA36" s="22">
        <f t="shared" si="2"/>
        <v>129</v>
      </c>
      <c r="AB36" s="19">
        <v>198.3</v>
      </c>
      <c r="AC36" s="33">
        <v>178</v>
      </c>
      <c r="AD36" s="19">
        <v>202.7</v>
      </c>
      <c r="AE36" s="20"/>
      <c r="AF36" s="36"/>
    </row>
    <row r="37" spans="1:32" ht="15.75" x14ac:dyDescent="0.25">
      <c r="A37" s="22">
        <v>32</v>
      </c>
      <c r="B37" s="19">
        <v>193.6</v>
      </c>
      <c r="C37" s="22">
        <v>81</v>
      </c>
      <c r="D37" s="19">
        <v>208.5</v>
      </c>
      <c r="E37" s="22">
        <f t="shared" si="0"/>
        <v>130</v>
      </c>
      <c r="F37" s="19">
        <v>199.9</v>
      </c>
      <c r="G37" s="33">
        <v>179</v>
      </c>
      <c r="H37" s="19">
        <v>199.5</v>
      </c>
      <c r="I37" s="20"/>
      <c r="J37" s="36"/>
      <c r="L37" s="22">
        <v>32</v>
      </c>
      <c r="M37" s="19">
        <v>193.6</v>
      </c>
      <c r="N37" s="22">
        <v>81</v>
      </c>
      <c r="O37" s="19"/>
      <c r="P37" s="22">
        <f t="shared" si="1"/>
        <v>130</v>
      </c>
      <c r="Q37" s="19"/>
      <c r="R37" s="33">
        <v>179</v>
      </c>
      <c r="S37" s="19"/>
      <c r="T37" s="20"/>
      <c r="U37" s="36"/>
      <c r="W37" s="22">
        <v>32</v>
      </c>
      <c r="X37" s="19"/>
      <c r="Y37" s="22">
        <v>81</v>
      </c>
      <c r="Z37" s="19">
        <v>208.5</v>
      </c>
      <c r="AA37" s="22">
        <f t="shared" si="2"/>
        <v>130</v>
      </c>
      <c r="AB37" s="19">
        <v>199.9</v>
      </c>
      <c r="AC37" s="33">
        <v>179</v>
      </c>
      <c r="AD37" s="19">
        <v>199.5</v>
      </c>
      <c r="AE37" s="20"/>
      <c r="AF37" s="36"/>
    </row>
    <row r="38" spans="1:32" ht="15.75" x14ac:dyDescent="0.25">
      <c r="A38" s="22">
        <v>33</v>
      </c>
      <c r="B38" s="19">
        <v>193.7</v>
      </c>
      <c r="C38" s="22">
        <v>82</v>
      </c>
      <c r="D38" s="19">
        <v>197.8</v>
      </c>
      <c r="E38" s="22">
        <f t="shared" si="0"/>
        <v>131</v>
      </c>
      <c r="F38" s="19">
        <v>217</v>
      </c>
      <c r="G38" s="33">
        <v>180</v>
      </c>
      <c r="H38" s="19">
        <v>196.9</v>
      </c>
      <c r="I38" s="21"/>
      <c r="J38" s="36"/>
      <c r="L38" s="22">
        <v>33</v>
      </c>
      <c r="M38" s="19">
        <v>193.7</v>
      </c>
      <c r="N38" s="22">
        <v>82</v>
      </c>
      <c r="O38" s="19"/>
      <c r="P38" s="22">
        <f t="shared" si="1"/>
        <v>131</v>
      </c>
      <c r="Q38" s="19"/>
      <c r="R38" s="33">
        <v>180</v>
      </c>
      <c r="S38" s="19"/>
      <c r="T38" s="21"/>
      <c r="U38" s="36"/>
      <c r="W38" s="22">
        <v>33</v>
      </c>
      <c r="X38" s="19"/>
      <c r="Y38" s="22">
        <v>82</v>
      </c>
      <c r="Z38" s="19">
        <v>197.8</v>
      </c>
      <c r="AA38" s="22">
        <f t="shared" si="2"/>
        <v>131</v>
      </c>
      <c r="AB38" s="19">
        <v>217</v>
      </c>
      <c r="AC38" s="33">
        <v>180</v>
      </c>
      <c r="AD38" s="19">
        <v>196.9</v>
      </c>
      <c r="AE38" s="21"/>
      <c r="AF38" s="36"/>
    </row>
    <row r="39" spans="1:32" ht="15.75" x14ac:dyDescent="0.25">
      <c r="A39" s="22">
        <v>34</v>
      </c>
      <c r="B39" s="19">
        <v>192.8</v>
      </c>
      <c r="C39" s="22">
        <v>83</v>
      </c>
      <c r="D39" s="19">
        <v>200</v>
      </c>
      <c r="E39" s="22">
        <f t="shared" si="0"/>
        <v>132</v>
      </c>
      <c r="F39" s="19">
        <v>199.7</v>
      </c>
      <c r="G39" s="33">
        <v>181</v>
      </c>
      <c r="H39" s="19">
        <v>204.9</v>
      </c>
      <c r="I39" s="21"/>
      <c r="J39" s="36"/>
      <c r="L39" s="22">
        <v>34</v>
      </c>
      <c r="M39" s="19">
        <v>192.8</v>
      </c>
      <c r="N39" s="22">
        <v>83</v>
      </c>
      <c r="O39" s="19"/>
      <c r="P39" s="22">
        <f t="shared" si="1"/>
        <v>132</v>
      </c>
      <c r="Q39" s="19"/>
      <c r="R39" s="33">
        <v>181</v>
      </c>
      <c r="S39" s="19"/>
      <c r="T39" s="21"/>
      <c r="U39" s="36"/>
      <c r="W39" s="22">
        <v>34</v>
      </c>
      <c r="X39" s="19"/>
      <c r="Y39" s="22">
        <v>83</v>
      </c>
      <c r="Z39" s="19">
        <v>200</v>
      </c>
      <c r="AA39" s="22">
        <f t="shared" si="2"/>
        <v>132</v>
      </c>
      <c r="AB39" s="19">
        <v>199.7</v>
      </c>
      <c r="AC39" s="33">
        <v>181</v>
      </c>
      <c r="AD39" s="19">
        <v>204.9</v>
      </c>
      <c r="AE39" s="21"/>
      <c r="AF39" s="36"/>
    </row>
    <row r="40" spans="1:32" ht="15.75" x14ac:dyDescent="0.25">
      <c r="A40" s="22">
        <v>35</v>
      </c>
      <c r="B40" s="19">
        <v>195.4</v>
      </c>
      <c r="C40" s="22">
        <v>84</v>
      </c>
      <c r="D40" s="19">
        <v>200.8</v>
      </c>
      <c r="E40" s="22">
        <f t="shared" si="0"/>
        <v>133</v>
      </c>
      <c r="F40" s="19">
        <v>199.2</v>
      </c>
      <c r="G40" s="33">
        <v>182</v>
      </c>
      <c r="H40" s="19">
        <v>201.7</v>
      </c>
      <c r="I40" s="20"/>
      <c r="J40" s="36"/>
      <c r="L40" s="22">
        <v>35</v>
      </c>
      <c r="M40" s="19">
        <v>195.4</v>
      </c>
      <c r="N40" s="22">
        <v>84</v>
      </c>
      <c r="O40" s="19"/>
      <c r="P40" s="22">
        <f t="shared" si="1"/>
        <v>133</v>
      </c>
      <c r="Q40" s="19"/>
      <c r="R40" s="33">
        <v>182</v>
      </c>
      <c r="S40" s="19"/>
      <c r="T40" s="20"/>
      <c r="U40" s="36"/>
      <c r="W40" s="22">
        <v>35</v>
      </c>
      <c r="X40" s="19"/>
      <c r="Y40" s="22">
        <v>84</v>
      </c>
      <c r="Z40" s="19">
        <v>200.8</v>
      </c>
      <c r="AA40" s="22">
        <f t="shared" si="2"/>
        <v>133</v>
      </c>
      <c r="AB40" s="19">
        <v>199.2</v>
      </c>
      <c r="AC40" s="33">
        <v>182</v>
      </c>
      <c r="AD40" s="19">
        <v>201.7</v>
      </c>
      <c r="AE40" s="20"/>
      <c r="AF40" s="36"/>
    </row>
    <row r="41" spans="1:32" ht="15.75" x14ac:dyDescent="0.25">
      <c r="A41" s="22">
        <v>36</v>
      </c>
      <c r="B41" s="19">
        <v>195.1</v>
      </c>
      <c r="C41" s="22">
        <v>85</v>
      </c>
      <c r="D41" s="19">
        <v>199.1</v>
      </c>
      <c r="E41" s="22">
        <f t="shared" si="0"/>
        <v>134</v>
      </c>
      <c r="F41" s="19">
        <v>205</v>
      </c>
      <c r="G41" s="33">
        <v>183</v>
      </c>
      <c r="H41" s="19">
        <v>201.7</v>
      </c>
      <c r="I41" s="20"/>
      <c r="J41" s="36"/>
      <c r="L41" s="22">
        <v>36</v>
      </c>
      <c r="M41" s="19">
        <v>195.1</v>
      </c>
      <c r="N41" s="22">
        <v>85</v>
      </c>
      <c r="O41" s="19"/>
      <c r="P41" s="22">
        <f t="shared" si="1"/>
        <v>134</v>
      </c>
      <c r="Q41" s="19"/>
      <c r="R41" s="33">
        <v>183</v>
      </c>
      <c r="S41" s="19"/>
      <c r="T41" s="20"/>
      <c r="U41" s="36"/>
      <c r="W41" s="22">
        <v>36</v>
      </c>
      <c r="X41" s="19"/>
      <c r="Y41" s="22">
        <v>85</v>
      </c>
      <c r="Z41" s="19">
        <v>199.1</v>
      </c>
      <c r="AA41" s="22">
        <f t="shared" si="2"/>
        <v>134</v>
      </c>
      <c r="AB41" s="19">
        <v>205</v>
      </c>
      <c r="AC41" s="33">
        <v>183</v>
      </c>
      <c r="AD41" s="19">
        <v>201.7</v>
      </c>
      <c r="AE41" s="20"/>
      <c r="AF41" s="36"/>
    </row>
    <row r="42" spans="1:32" ht="15.75" x14ac:dyDescent="0.25">
      <c r="A42" s="22">
        <v>37</v>
      </c>
      <c r="B42" s="19">
        <v>193</v>
      </c>
      <c r="C42" s="22">
        <v>86</v>
      </c>
      <c r="D42" s="19">
        <v>206.3</v>
      </c>
      <c r="E42" s="22">
        <f t="shared" si="0"/>
        <v>135</v>
      </c>
      <c r="F42" s="19">
        <v>200.1</v>
      </c>
      <c r="G42" s="33">
        <v>184</v>
      </c>
      <c r="H42" s="19">
        <v>199.6</v>
      </c>
      <c r="I42" s="21"/>
      <c r="J42" s="36"/>
      <c r="L42" s="22">
        <v>37</v>
      </c>
      <c r="M42" s="19">
        <v>193</v>
      </c>
      <c r="N42" s="22">
        <v>86</v>
      </c>
      <c r="O42" s="19"/>
      <c r="P42" s="22">
        <f t="shared" si="1"/>
        <v>135</v>
      </c>
      <c r="Q42" s="19"/>
      <c r="R42" s="33">
        <v>184</v>
      </c>
      <c r="S42" s="19"/>
      <c r="T42" s="21"/>
      <c r="U42" s="36"/>
      <c r="W42" s="22">
        <v>37</v>
      </c>
      <c r="X42" s="19"/>
      <c r="Y42" s="22">
        <v>86</v>
      </c>
      <c r="Z42" s="19">
        <v>206.3</v>
      </c>
      <c r="AA42" s="22">
        <f t="shared" si="2"/>
        <v>135</v>
      </c>
      <c r="AB42" s="19">
        <v>200.1</v>
      </c>
      <c r="AC42" s="33">
        <v>184</v>
      </c>
      <c r="AD42" s="19">
        <v>199.6</v>
      </c>
      <c r="AE42" s="21"/>
      <c r="AF42" s="36"/>
    </row>
    <row r="43" spans="1:32" ht="15.75" x14ac:dyDescent="0.25">
      <c r="A43" s="22">
        <v>38</v>
      </c>
      <c r="B43" s="19">
        <v>191</v>
      </c>
      <c r="C43" s="22">
        <v>87</v>
      </c>
      <c r="D43" s="19">
        <v>201</v>
      </c>
      <c r="E43" s="22">
        <f t="shared" si="0"/>
        <v>136</v>
      </c>
      <c r="F43" s="19">
        <v>200.4</v>
      </c>
      <c r="G43" s="33">
        <v>185</v>
      </c>
      <c r="H43" s="19">
        <v>196.7</v>
      </c>
      <c r="I43" s="20"/>
      <c r="J43" s="36"/>
      <c r="L43" s="22">
        <v>38</v>
      </c>
      <c r="M43" s="19">
        <v>191</v>
      </c>
      <c r="N43" s="22">
        <v>87</v>
      </c>
      <c r="O43" s="19"/>
      <c r="P43" s="22">
        <f t="shared" si="1"/>
        <v>136</v>
      </c>
      <c r="Q43" s="19"/>
      <c r="R43" s="33">
        <v>185</v>
      </c>
      <c r="S43" s="19"/>
      <c r="T43" s="20"/>
      <c r="U43" s="36"/>
      <c r="W43" s="22">
        <v>38</v>
      </c>
      <c r="X43" s="19"/>
      <c r="Y43" s="22">
        <v>87</v>
      </c>
      <c r="Z43" s="19">
        <v>201</v>
      </c>
      <c r="AA43" s="22">
        <f t="shared" si="2"/>
        <v>136</v>
      </c>
      <c r="AB43" s="19">
        <v>200.4</v>
      </c>
      <c r="AC43" s="33">
        <v>185</v>
      </c>
      <c r="AD43" s="19">
        <v>196.7</v>
      </c>
      <c r="AE43" s="20"/>
      <c r="AF43" s="36"/>
    </row>
    <row r="44" spans="1:32" ht="15.75" x14ac:dyDescent="0.25">
      <c r="A44" s="22">
        <v>39</v>
      </c>
      <c r="B44" s="19">
        <v>194.1</v>
      </c>
      <c r="C44" s="22">
        <v>88</v>
      </c>
      <c r="D44" s="19">
        <v>196.8</v>
      </c>
      <c r="E44" s="22">
        <f t="shared" si="0"/>
        <v>137</v>
      </c>
      <c r="F44" s="19">
        <v>201.1</v>
      </c>
      <c r="G44" s="33">
        <v>186</v>
      </c>
      <c r="H44" s="19">
        <v>196</v>
      </c>
      <c r="I44" s="20"/>
      <c r="J44" s="36"/>
      <c r="L44" s="22">
        <v>39</v>
      </c>
      <c r="M44" s="19">
        <v>194.1</v>
      </c>
      <c r="N44" s="22">
        <v>88</v>
      </c>
      <c r="O44" s="19"/>
      <c r="P44" s="22">
        <f t="shared" si="1"/>
        <v>137</v>
      </c>
      <c r="Q44" s="19"/>
      <c r="R44" s="33">
        <v>186</v>
      </c>
      <c r="S44" s="19"/>
      <c r="T44" s="20"/>
      <c r="U44" s="36"/>
      <c r="W44" s="22">
        <v>39</v>
      </c>
      <c r="X44" s="19"/>
      <c r="Y44" s="22">
        <v>88</v>
      </c>
      <c r="Z44" s="19">
        <v>196.8</v>
      </c>
      <c r="AA44" s="22">
        <f t="shared" si="2"/>
        <v>137</v>
      </c>
      <c r="AB44" s="19">
        <v>201.1</v>
      </c>
      <c r="AC44" s="33">
        <v>186</v>
      </c>
      <c r="AD44" s="19">
        <v>196</v>
      </c>
      <c r="AE44" s="20"/>
      <c r="AF44" s="36"/>
    </row>
    <row r="45" spans="1:32" ht="15.75" x14ac:dyDescent="0.25">
      <c r="A45" s="22">
        <v>40</v>
      </c>
      <c r="B45" s="19">
        <v>193.1</v>
      </c>
      <c r="C45" s="22">
        <v>89</v>
      </c>
      <c r="D45" s="19">
        <v>196.7</v>
      </c>
      <c r="E45" s="22">
        <f t="shared" si="0"/>
        <v>138</v>
      </c>
      <c r="F45" s="19">
        <v>206.3</v>
      </c>
      <c r="G45" s="33">
        <v>187</v>
      </c>
      <c r="H45" s="19">
        <v>204.8</v>
      </c>
      <c r="I45" s="21"/>
      <c r="J45" s="36"/>
      <c r="L45" s="22">
        <v>40</v>
      </c>
      <c r="M45" s="19">
        <v>193.1</v>
      </c>
      <c r="N45" s="22">
        <v>89</v>
      </c>
      <c r="O45" s="19"/>
      <c r="P45" s="22">
        <f t="shared" si="1"/>
        <v>138</v>
      </c>
      <c r="Q45" s="19"/>
      <c r="R45" s="33">
        <v>187</v>
      </c>
      <c r="S45" s="19"/>
      <c r="T45" s="21"/>
      <c r="U45" s="36"/>
      <c r="W45" s="22">
        <v>40</v>
      </c>
      <c r="X45" s="19"/>
      <c r="Y45" s="22">
        <v>89</v>
      </c>
      <c r="Z45" s="19">
        <v>196.7</v>
      </c>
      <c r="AA45" s="22">
        <f t="shared" si="2"/>
        <v>138</v>
      </c>
      <c r="AB45" s="19">
        <v>206.3</v>
      </c>
      <c r="AC45" s="33">
        <v>187</v>
      </c>
      <c r="AD45" s="19">
        <v>204.8</v>
      </c>
      <c r="AE45" s="21"/>
      <c r="AF45" s="36"/>
    </row>
    <row r="46" spans="1:32" ht="15.75" x14ac:dyDescent="0.25">
      <c r="A46" s="22">
        <v>41</v>
      </c>
      <c r="B46" s="19">
        <v>196.9</v>
      </c>
      <c r="C46" s="22">
        <v>90</v>
      </c>
      <c r="D46" s="19">
        <v>201.7</v>
      </c>
      <c r="E46" s="22">
        <f t="shared" si="0"/>
        <v>139</v>
      </c>
      <c r="F46" s="19">
        <v>192.3</v>
      </c>
      <c r="G46" s="33">
        <v>188</v>
      </c>
      <c r="H46" s="19">
        <v>198</v>
      </c>
      <c r="I46" s="20"/>
      <c r="J46" s="36"/>
      <c r="L46" s="22">
        <v>41</v>
      </c>
      <c r="M46" s="19">
        <v>196.9</v>
      </c>
      <c r="N46" s="22">
        <v>90</v>
      </c>
      <c r="O46" s="19"/>
      <c r="P46" s="22">
        <f t="shared" si="1"/>
        <v>139</v>
      </c>
      <c r="Q46" s="19"/>
      <c r="R46" s="33">
        <v>188</v>
      </c>
      <c r="S46" s="19"/>
      <c r="T46" s="20"/>
      <c r="U46" s="36"/>
      <c r="W46" s="22">
        <v>41</v>
      </c>
      <c r="X46" s="19"/>
      <c r="Y46" s="22">
        <v>90</v>
      </c>
      <c r="Z46" s="19">
        <v>201.7</v>
      </c>
      <c r="AA46" s="22">
        <f t="shared" si="2"/>
        <v>139</v>
      </c>
      <c r="AB46" s="19">
        <v>192.3</v>
      </c>
      <c r="AC46" s="33">
        <v>188</v>
      </c>
      <c r="AD46" s="19">
        <v>198</v>
      </c>
      <c r="AE46" s="20"/>
      <c r="AF46" s="36"/>
    </row>
    <row r="47" spans="1:32" ht="15.75" x14ac:dyDescent="0.25">
      <c r="A47" s="22">
        <v>42</v>
      </c>
      <c r="B47" s="19">
        <v>196.7</v>
      </c>
      <c r="C47" s="22">
        <v>91</v>
      </c>
      <c r="D47" s="19">
        <v>203.7</v>
      </c>
      <c r="E47" s="22">
        <f t="shared" si="0"/>
        <v>140</v>
      </c>
      <c r="F47" s="19">
        <v>194.9</v>
      </c>
      <c r="G47" s="33">
        <v>189</v>
      </c>
      <c r="H47" s="19">
        <v>205.6</v>
      </c>
      <c r="I47" s="20"/>
      <c r="J47" s="36"/>
      <c r="L47" s="22">
        <v>42</v>
      </c>
      <c r="M47" s="19">
        <v>196.7</v>
      </c>
      <c r="N47" s="22">
        <v>91</v>
      </c>
      <c r="O47" s="19"/>
      <c r="P47" s="22">
        <f t="shared" si="1"/>
        <v>140</v>
      </c>
      <c r="Q47" s="19"/>
      <c r="R47" s="33">
        <v>189</v>
      </c>
      <c r="S47" s="19"/>
      <c r="T47" s="20"/>
      <c r="U47" s="36"/>
      <c r="W47" s="22">
        <v>42</v>
      </c>
      <c r="X47" s="19"/>
      <c r="Y47" s="22">
        <v>91</v>
      </c>
      <c r="Z47" s="19">
        <v>203.7</v>
      </c>
      <c r="AA47" s="22">
        <f t="shared" si="2"/>
        <v>140</v>
      </c>
      <c r="AB47" s="19">
        <v>194.9</v>
      </c>
      <c r="AC47" s="33">
        <v>189</v>
      </c>
      <c r="AD47" s="19">
        <v>205.6</v>
      </c>
      <c r="AE47" s="20"/>
      <c r="AF47" s="36"/>
    </row>
    <row r="48" spans="1:32" ht="15.75" x14ac:dyDescent="0.25">
      <c r="A48" s="22">
        <v>43</v>
      </c>
      <c r="B48" s="19">
        <v>196</v>
      </c>
      <c r="C48" s="22">
        <v>92</v>
      </c>
      <c r="D48" s="19">
        <v>196.6</v>
      </c>
      <c r="E48" s="22">
        <f t="shared" si="0"/>
        <v>141</v>
      </c>
      <c r="F48" s="19">
        <v>200</v>
      </c>
      <c r="G48" s="33">
        <v>190</v>
      </c>
      <c r="H48" s="19">
        <v>199</v>
      </c>
      <c r="I48" s="21"/>
      <c r="J48" s="36"/>
      <c r="L48" s="22">
        <v>43</v>
      </c>
      <c r="M48" s="19">
        <v>196</v>
      </c>
      <c r="N48" s="22">
        <v>92</v>
      </c>
      <c r="O48" s="19"/>
      <c r="P48" s="22">
        <f t="shared" si="1"/>
        <v>141</v>
      </c>
      <c r="Q48" s="19"/>
      <c r="R48" s="33">
        <v>190</v>
      </c>
      <c r="S48" s="19"/>
      <c r="T48" s="21"/>
      <c r="U48" s="36"/>
      <c r="W48" s="22">
        <v>43</v>
      </c>
      <c r="X48" s="19"/>
      <c r="Y48" s="22">
        <v>92</v>
      </c>
      <c r="Z48" s="19">
        <v>196.6</v>
      </c>
      <c r="AA48" s="22">
        <f t="shared" si="2"/>
        <v>141</v>
      </c>
      <c r="AB48" s="19">
        <v>200</v>
      </c>
      <c r="AC48" s="33">
        <v>190</v>
      </c>
      <c r="AD48" s="19">
        <v>199</v>
      </c>
      <c r="AE48" s="21"/>
      <c r="AF48" s="36"/>
    </row>
    <row r="49" spans="1:32" ht="15.75" x14ac:dyDescent="0.25">
      <c r="A49" s="22">
        <v>44</v>
      </c>
      <c r="B49" s="19">
        <v>192.8</v>
      </c>
      <c r="C49" s="22">
        <v>93</v>
      </c>
      <c r="D49" s="19">
        <v>203.5</v>
      </c>
      <c r="E49" s="22">
        <f t="shared" si="0"/>
        <v>142</v>
      </c>
      <c r="F49" s="19">
        <v>203.6</v>
      </c>
      <c r="G49" s="33">
        <v>191</v>
      </c>
      <c r="H49" s="19">
        <v>199.4</v>
      </c>
      <c r="I49" s="21"/>
      <c r="J49" s="36"/>
      <c r="L49" s="22">
        <v>44</v>
      </c>
      <c r="M49" s="19">
        <v>192.8</v>
      </c>
      <c r="N49" s="22">
        <v>93</v>
      </c>
      <c r="O49" s="19"/>
      <c r="P49" s="22">
        <f t="shared" si="1"/>
        <v>142</v>
      </c>
      <c r="Q49" s="19"/>
      <c r="R49" s="33">
        <v>191</v>
      </c>
      <c r="S49" s="19"/>
      <c r="T49" s="21"/>
      <c r="U49" s="36"/>
      <c r="W49" s="22">
        <v>44</v>
      </c>
      <c r="X49" s="19"/>
      <c r="Y49" s="22">
        <v>93</v>
      </c>
      <c r="Z49" s="19">
        <v>203.5</v>
      </c>
      <c r="AA49" s="22">
        <f t="shared" si="2"/>
        <v>142</v>
      </c>
      <c r="AB49" s="19">
        <v>203.6</v>
      </c>
      <c r="AC49" s="33">
        <v>191</v>
      </c>
      <c r="AD49" s="19">
        <v>199.4</v>
      </c>
      <c r="AE49" s="21"/>
      <c r="AF49" s="36"/>
    </row>
    <row r="50" spans="1:32" ht="15.75" x14ac:dyDescent="0.25">
      <c r="A50" s="22">
        <v>45</v>
      </c>
      <c r="B50" s="19">
        <v>193.5</v>
      </c>
      <c r="C50" s="22">
        <v>94</v>
      </c>
      <c r="D50" s="19">
        <v>205.6</v>
      </c>
      <c r="E50" s="22">
        <f t="shared" si="0"/>
        <v>143</v>
      </c>
      <c r="F50" s="19">
        <v>200.4</v>
      </c>
      <c r="G50" s="33">
        <v>192</v>
      </c>
      <c r="H50" s="19">
        <v>205.3</v>
      </c>
      <c r="I50" s="20"/>
      <c r="J50" s="36"/>
      <c r="L50" s="22">
        <v>45</v>
      </c>
      <c r="M50" s="19">
        <v>193.5</v>
      </c>
      <c r="N50" s="22">
        <v>94</v>
      </c>
      <c r="O50" s="19"/>
      <c r="P50" s="22">
        <f t="shared" si="1"/>
        <v>143</v>
      </c>
      <c r="Q50" s="19"/>
      <c r="R50" s="33">
        <v>192</v>
      </c>
      <c r="S50" s="19"/>
      <c r="T50" s="20"/>
      <c r="U50" s="36"/>
      <c r="W50" s="22">
        <v>45</v>
      </c>
      <c r="X50" s="19"/>
      <c r="Y50" s="22">
        <v>94</v>
      </c>
      <c r="Z50" s="19">
        <v>205.6</v>
      </c>
      <c r="AA50" s="22">
        <f t="shared" si="2"/>
        <v>143</v>
      </c>
      <c r="AB50" s="19">
        <v>200.4</v>
      </c>
      <c r="AC50" s="33">
        <v>192</v>
      </c>
      <c r="AD50" s="19">
        <v>205.3</v>
      </c>
      <c r="AE50" s="20"/>
      <c r="AF50" s="36"/>
    </row>
    <row r="51" spans="1:32" ht="15.75" x14ac:dyDescent="0.25">
      <c r="A51" s="22">
        <v>46</v>
      </c>
      <c r="B51" s="19">
        <v>198.3</v>
      </c>
      <c r="C51" s="22">
        <v>95</v>
      </c>
      <c r="D51" s="19">
        <v>198.2</v>
      </c>
      <c r="E51" s="22">
        <f t="shared" si="0"/>
        <v>144</v>
      </c>
      <c r="F51" s="19">
        <v>204.8</v>
      </c>
      <c r="G51" s="33">
        <v>193</v>
      </c>
      <c r="H51" s="19">
        <v>204.4</v>
      </c>
      <c r="I51" s="20"/>
      <c r="J51" s="36"/>
      <c r="L51" s="22">
        <v>46</v>
      </c>
      <c r="M51" s="19">
        <v>198.3</v>
      </c>
      <c r="N51" s="22">
        <v>95</v>
      </c>
      <c r="O51" s="19"/>
      <c r="P51" s="22">
        <f t="shared" si="1"/>
        <v>144</v>
      </c>
      <c r="Q51" s="19"/>
      <c r="R51" s="33">
        <v>193</v>
      </c>
      <c r="S51" s="19"/>
      <c r="T51" s="20"/>
      <c r="U51" s="36"/>
      <c r="W51" s="22">
        <v>46</v>
      </c>
      <c r="X51" s="19"/>
      <c r="Y51" s="22">
        <v>95</v>
      </c>
      <c r="Z51" s="19">
        <v>198.2</v>
      </c>
      <c r="AA51" s="22">
        <f t="shared" si="2"/>
        <v>144</v>
      </c>
      <c r="AB51" s="19">
        <v>204.8</v>
      </c>
      <c r="AC51" s="33">
        <v>193</v>
      </c>
      <c r="AD51" s="19">
        <v>204.4</v>
      </c>
      <c r="AE51" s="20"/>
      <c r="AF51" s="36"/>
    </row>
    <row r="52" spans="1:32" ht="15.75" x14ac:dyDescent="0.25">
      <c r="A52" s="22">
        <v>47</v>
      </c>
      <c r="B52" s="19">
        <v>201.1</v>
      </c>
      <c r="C52" s="22">
        <v>96</v>
      </c>
      <c r="D52" s="19">
        <v>201.6</v>
      </c>
      <c r="E52" s="22">
        <f t="shared" si="0"/>
        <v>145</v>
      </c>
      <c r="F52" s="19">
        <v>202.7</v>
      </c>
      <c r="G52" s="33">
        <v>194</v>
      </c>
      <c r="H52" s="19">
        <v>202.9</v>
      </c>
      <c r="I52" s="21"/>
      <c r="J52" s="36"/>
      <c r="L52" s="22">
        <v>47</v>
      </c>
      <c r="M52" s="19">
        <v>201.1</v>
      </c>
      <c r="N52" s="22">
        <v>96</v>
      </c>
      <c r="O52" s="19"/>
      <c r="P52" s="22">
        <f t="shared" si="1"/>
        <v>145</v>
      </c>
      <c r="Q52" s="19"/>
      <c r="R52" s="33">
        <v>194</v>
      </c>
      <c r="S52" s="19"/>
      <c r="T52" s="21"/>
      <c r="U52" s="36"/>
      <c r="W52" s="22">
        <v>47</v>
      </c>
      <c r="X52" s="19"/>
      <c r="Y52" s="22">
        <v>96</v>
      </c>
      <c r="Z52" s="19">
        <v>201.6</v>
      </c>
      <c r="AA52" s="22">
        <f t="shared" si="2"/>
        <v>145</v>
      </c>
      <c r="AB52" s="19">
        <v>202.7</v>
      </c>
      <c r="AC52" s="33">
        <v>194</v>
      </c>
      <c r="AD52" s="19">
        <v>202.9</v>
      </c>
      <c r="AE52" s="21"/>
      <c r="AF52" s="36"/>
    </row>
    <row r="53" spans="1:32" ht="15.75" x14ac:dyDescent="0.25">
      <c r="A53" s="22">
        <v>48</v>
      </c>
      <c r="B53" s="19">
        <v>203.9</v>
      </c>
      <c r="C53" s="22">
        <v>97</v>
      </c>
      <c r="D53" s="19">
        <v>204.7</v>
      </c>
      <c r="E53" s="22">
        <f t="shared" si="0"/>
        <v>146</v>
      </c>
      <c r="F53" s="19">
        <v>206.4</v>
      </c>
      <c r="G53" s="33">
        <v>195</v>
      </c>
      <c r="H53" s="19">
        <v>200.6</v>
      </c>
      <c r="I53" s="20"/>
      <c r="J53" s="36"/>
      <c r="L53" s="22">
        <v>48</v>
      </c>
      <c r="M53" s="19">
        <v>203.9</v>
      </c>
      <c r="N53" s="22">
        <v>97</v>
      </c>
      <c r="O53" s="19"/>
      <c r="P53" s="22">
        <f t="shared" si="1"/>
        <v>146</v>
      </c>
      <c r="Q53" s="19"/>
      <c r="R53" s="33">
        <v>195</v>
      </c>
      <c r="S53" s="19"/>
      <c r="T53" s="20"/>
      <c r="U53" s="36"/>
      <c r="W53" s="22">
        <v>48</v>
      </c>
      <c r="X53" s="19"/>
      <c r="Y53" s="22">
        <v>97</v>
      </c>
      <c r="Z53" s="19">
        <v>204.7</v>
      </c>
      <c r="AA53" s="22">
        <f t="shared" si="2"/>
        <v>146</v>
      </c>
      <c r="AB53" s="19">
        <v>206.4</v>
      </c>
      <c r="AC53" s="33">
        <v>195</v>
      </c>
      <c r="AD53" s="19">
        <v>200.6</v>
      </c>
      <c r="AE53" s="20"/>
      <c r="AF53" s="36"/>
    </row>
    <row r="54" spans="1:32" ht="15.75" x14ac:dyDescent="0.25">
      <c r="A54" s="37">
        <v>49</v>
      </c>
      <c r="B54" s="19">
        <v>194.2</v>
      </c>
      <c r="C54" s="37">
        <v>98</v>
      </c>
      <c r="D54" s="19">
        <v>200.1</v>
      </c>
      <c r="E54" s="22">
        <f t="shared" si="0"/>
        <v>147</v>
      </c>
      <c r="F54" s="19">
        <v>201.9</v>
      </c>
      <c r="G54" s="38">
        <v>196</v>
      </c>
      <c r="H54" s="19">
        <v>200.5</v>
      </c>
      <c r="I54" s="39"/>
      <c r="J54" s="40"/>
      <c r="L54" s="37">
        <v>49</v>
      </c>
      <c r="M54" s="19">
        <v>194.2</v>
      </c>
      <c r="N54" s="37">
        <v>98</v>
      </c>
      <c r="O54" s="19"/>
      <c r="P54" s="22">
        <f t="shared" si="1"/>
        <v>147</v>
      </c>
      <c r="Q54" s="19"/>
      <c r="R54" s="38">
        <v>196</v>
      </c>
      <c r="S54" s="19"/>
      <c r="T54" s="39"/>
      <c r="U54" s="40"/>
      <c r="W54" s="37">
        <v>49</v>
      </c>
      <c r="X54" s="19"/>
      <c r="Y54" s="37">
        <v>98</v>
      </c>
      <c r="Z54" s="19">
        <v>200.1</v>
      </c>
      <c r="AA54" s="22">
        <f t="shared" si="2"/>
        <v>147</v>
      </c>
      <c r="AB54" s="19">
        <v>201.9</v>
      </c>
      <c r="AC54" s="38">
        <v>196</v>
      </c>
      <c r="AD54" s="19">
        <v>200.5</v>
      </c>
      <c r="AE54" s="39"/>
      <c r="AF54" s="40"/>
    </row>
    <row r="55" spans="1:32" ht="15.75" x14ac:dyDescent="0.25">
      <c r="A55" s="41"/>
      <c r="B55" s="23">
        <f>SUM(B6:B54)</f>
        <v>9632.9</v>
      </c>
      <c r="C55" s="23"/>
      <c r="D55" s="23">
        <f>SUM(D6:D54)</f>
        <v>9803.2000000000025</v>
      </c>
      <c r="E55" s="23"/>
      <c r="F55" s="23">
        <f>SUM(F6:F54)</f>
        <v>9913.3999999999978</v>
      </c>
      <c r="G55" s="23"/>
      <c r="H55" s="23">
        <f>SUM(H6:H54)</f>
        <v>9878.5999999999985</v>
      </c>
      <c r="I55" s="41"/>
      <c r="J55" s="41">
        <f>SUM(J6:J54)</f>
        <v>4851.9000000000005</v>
      </c>
      <c r="L55" s="41"/>
      <c r="M55" s="23">
        <f>SUM(M6:M54)</f>
        <v>9632.9</v>
      </c>
      <c r="N55" s="23"/>
      <c r="O55" s="23">
        <f>SUM(O6:O54)</f>
        <v>2175.1</v>
      </c>
      <c r="P55" s="23"/>
      <c r="Q55" s="23">
        <f>SUM(Q6:Q54)</f>
        <v>0</v>
      </c>
      <c r="R55" s="23"/>
      <c r="S55" s="23">
        <f>SUM(S6:S54)</f>
        <v>0</v>
      </c>
      <c r="T55" s="41"/>
      <c r="U55" s="41">
        <f>SUM(U6:U54)</f>
        <v>0</v>
      </c>
      <c r="W55" s="41"/>
      <c r="X55" s="23">
        <f>SUM(X6:X54)</f>
        <v>0</v>
      </c>
      <c r="Y55" s="23"/>
      <c r="Z55" s="23">
        <f>SUM(Z6:Z54)</f>
        <v>7628.1000000000013</v>
      </c>
      <c r="AA55" s="23"/>
      <c r="AB55" s="23">
        <f>SUM(AB6:AB54)</f>
        <v>9913.3999999999978</v>
      </c>
      <c r="AC55" s="23"/>
      <c r="AD55" s="23">
        <f>SUM(AD6:AD54)</f>
        <v>9878.5999999999985</v>
      </c>
      <c r="AE55" s="41"/>
      <c r="AF55" s="41">
        <f>SUM(AF6:AF54)</f>
        <v>4851.9000000000005</v>
      </c>
    </row>
    <row r="56" spans="1:32" ht="15.75" x14ac:dyDescent="0.25">
      <c r="A56" s="42" t="s">
        <v>5</v>
      </c>
      <c r="B56" s="43">
        <f>COUNT(B6:B54,D6:D54,F6:F54,H6:H54,J6:J54)</f>
        <v>220</v>
      </c>
      <c r="C56" s="13" t="s">
        <v>6</v>
      </c>
      <c r="D56" s="44"/>
      <c r="E56" s="148">
        <f>B55+D55+F55+H55+J55</f>
        <v>44080</v>
      </c>
      <c r="F56" s="24" t="s">
        <v>7</v>
      </c>
      <c r="G56" s="1">
        <f>B56*2.2</f>
        <v>484.00000000000006</v>
      </c>
      <c r="H56" s="13" t="s">
        <v>8</v>
      </c>
      <c r="I56" s="44"/>
      <c r="J56" s="148">
        <f>E56-G56</f>
        <v>43596</v>
      </c>
      <c r="L56" s="42" t="s">
        <v>5</v>
      </c>
      <c r="M56" s="43">
        <f>COUNT(M6:M54,O6:O54,Q6:Q54,S6:S54,U6:U54)</f>
        <v>60</v>
      </c>
      <c r="N56" s="13" t="s">
        <v>6</v>
      </c>
      <c r="O56" s="44"/>
      <c r="P56" s="45">
        <f>M55+O55+Q55+S55+U55</f>
        <v>11808</v>
      </c>
      <c r="Q56" s="24" t="s">
        <v>7</v>
      </c>
      <c r="R56" s="1">
        <f>M56*2.2</f>
        <v>132</v>
      </c>
      <c r="S56" s="13" t="s">
        <v>8</v>
      </c>
      <c r="T56" s="44"/>
      <c r="U56" s="45">
        <f>P56-R56</f>
        <v>11676</v>
      </c>
      <c r="W56" s="42" t="s">
        <v>5</v>
      </c>
      <c r="X56" s="43">
        <f>COUNT(X6:X54,Z6:Z54,AB6:AB54,AD6:AD54,AF6:AF54)</f>
        <v>160</v>
      </c>
      <c r="Y56" s="13" t="s">
        <v>6</v>
      </c>
      <c r="Z56" s="44"/>
      <c r="AA56" s="45">
        <f>X55+Z55+AB55+AD55+AF55</f>
        <v>32272</v>
      </c>
      <c r="AB56" s="24" t="s">
        <v>7</v>
      </c>
      <c r="AC56" s="1">
        <f>X56*2.2</f>
        <v>352</v>
      </c>
      <c r="AD56" s="13" t="s">
        <v>8</v>
      </c>
      <c r="AE56" s="44"/>
      <c r="AF56" s="45">
        <f>AA56-AC56</f>
        <v>31920</v>
      </c>
    </row>
    <row r="57" spans="1:32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  <c r="L57" s="42" t="s">
        <v>9</v>
      </c>
      <c r="M57" s="25"/>
      <c r="N57" s="46"/>
      <c r="O57" s="44"/>
      <c r="P57" s="47"/>
      <c r="Q57" s="25"/>
      <c r="R57" s="48"/>
      <c r="S57" s="46"/>
      <c r="T57" s="44"/>
      <c r="U57" s="49"/>
      <c r="W57" s="42" t="s">
        <v>9</v>
      </c>
      <c r="X57" s="25"/>
      <c r="Y57" s="46"/>
      <c r="Z57" s="44"/>
      <c r="AA57" s="47"/>
      <c r="AB57" s="25"/>
      <c r="AC57" s="48"/>
      <c r="AD57" s="46"/>
      <c r="AE57" s="44"/>
      <c r="AF57" s="49"/>
    </row>
    <row r="58" spans="1:32" x14ac:dyDescent="0.25">
      <c r="B58">
        <f>M56+X56</f>
        <v>220</v>
      </c>
      <c r="E58" s="80">
        <f>P56+AA56</f>
        <v>44080</v>
      </c>
      <c r="J58" s="80">
        <f>U56+AF56</f>
        <v>43596</v>
      </c>
    </row>
    <row r="59" spans="1:32" x14ac:dyDescent="0.25">
      <c r="F59" s="112" t="s">
        <v>61</v>
      </c>
      <c r="G59" s="112">
        <v>2.2000000000000002</v>
      </c>
      <c r="Q59" s="112" t="s">
        <v>61</v>
      </c>
      <c r="R59" s="112">
        <v>2.2000000000000002</v>
      </c>
      <c r="AB59" s="112" t="s">
        <v>61</v>
      </c>
      <c r="AC59" s="112">
        <v>2.2000000000000002</v>
      </c>
    </row>
  </sheetData>
  <protectedRanges>
    <protectedRange password="CCE1" sqref="C6:C54 G6:G54 E6:E54 I6:I29 N6:N54 R6:R54 P6:P54 T6:T29 Y6:Y54 AC6:AC54 AA6:AA54 AE6:AE29" name="Диапазон1_3_1_7_2_1_1_1_1_1_1_1"/>
  </protectedRanges>
  <mergeCells count="6">
    <mergeCell ref="A1:J1"/>
    <mergeCell ref="I4:J4"/>
    <mergeCell ref="L1:U1"/>
    <mergeCell ref="T4:U4"/>
    <mergeCell ref="W1:AF1"/>
    <mergeCell ref="AE4:AF4"/>
  </mergeCells>
  <pageMargins left="0.7" right="0.7" top="0.75" bottom="0.75" header="0.3" footer="0.3"/>
  <pageSetup paperSize="9" scale="83" orientation="portrait" verticalDpi="0" r:id="rId1"/>
  <rowBreaks count="1" manualBreakCount="1">
    <brk id="57" max="16383" man="1"/>
  </rowBreaks>
  <colBreaks count="2" manualBreakCount="2">
    <brk id="10" max="1048575" man="1"/>
    <brk id="21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9"/>
  <sheetViews>
    <sheetView topLeftCell="A37" zoomScale="90" zoomScaleNormal="90" workbookViewId="0">
      <selection activeCell="M47" sqref="M47"/>
    </sheetView>
  </sheetViews>
  <sheetFormatPr defaultRowHeight="15" x14ac:dyDescent="0.25"/>
  <cols>
    <col min="11" max="11" width="1.7109375" customWidth="1"/>
    <col min="22" max="22" width="1.85546875" customWidth="1"/>
  </cols>
  <sheetData>
    <row r="1" spans="1:32" ht="18.75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L1" s="204" t="s">
        <v>0</v>
      </c>
      <c r="M1" s="204"/>
      <c r="N1" s="204"/>
      <c r="O1" s="204"/>
      <c r="P1" s="204"/>
      <c r="Q1" s="204"/>
      <c r="R1" s="204"/>
      <c r="S1" s="204"/>
      <c r="T1" s="204"/>
      <c r="U1" s="204"/>
      <c r="W1" s="204" t="s">
        <v>0</v>
      </c>
      <c r="X1" s="204"/>
      <c r="Y1" s="204"/>
      <c r="Z1" s="204"/>
      <c r="AA1" s="204"/>
      <c r="AB1" s="204"/>
      <c r="AC1" s="204"/>
      <c r="AD1" s="204"/>
      <c r="AE1" s="204"/>
      <c r="AF1" s="204"/>
    </row>
    <row r="2" spans="1:32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  <c r="L2" s="13" t="s">
        <v>1</v>
      </c>
      <c r="M2" s="13"/>
      <c r="N2" s="13"/>
      <c r="O2" s="13"/>
      <c r="P2" s="13"/>
      <c r="Q2" s="13"/>
      <c r="R2" s="27"/>
      <c r="S2" s="13"/>
      <c r="T2" s="13"/>
      <c r="U2" s="13"/>
      <c r="W2" s="13" t="s">
        <v>1</v>
      </c>
      <c r="X2" s="13"/>
      <c r="Y2" s="13"/>
      <c r="Z2" s="13"/>
      <c r="AA2" s="13"/>
      <c r="AB2" s="13"/>
      <c r="AC2" s="27"/>
      <c r="AD2" s="13"/>
      <c r="AE2" s="13"/>
      <c r="AF2" s="13"/>
    </row>
    <row r="3" spans="1:32" ht="15.75" x14ac:dyDescent="0.25">
      <c r="A3" s="25" t="s">
        <v>2</v>
      </c>
      <c r="B3" s="27">
        <v>218</v>
      </c>
      <c r="C3" s="14"/>
      <c r="D3" s="15"/>
      <c r="E3" s="16"/>
      <c r="F3" s="16"/>
      <c r="G3" s="16"/>
      <c r="H3" s="16"/>
      <c r="I3" s="16" t="s">
        <v>33</v>
      </c>
      <c r="J3" s="16"/>
      <c r="L3" s="25" t="s">
        <v>2</v>
      </c>
      <c r="M3" s="27">
        <v>218</v>
      </c>
      <c r="N3" s="14"/>
      <c r="O3" s="15"/>
      <c r="P3" s="16"/>
      <c r="Q3" s="16"/>
      <c r="R3" s="16"/>
      <c r="S3" s="16"/>
      <c r="T3" s="16" t="s">
        <v>33</v>
      </c>
      <c r="U3" s="16"/>
      <c r="W3" s="25" t="s">
        <v>2</v>
      </c>
      <c r="X3" s="27">
        <v>218</v>
      </c>
      <c r="Y3" s="14"/>
      <c r="Z3" s="15"/>
      <c r="AA3" s="16"/>
      <c r="AB3" s="16"/>
      <c r="AC3" s="16"/>
      <c r="AD3" s="16"/>
      <c r="AE3" s="16" t="s">
        <v>33</v>
      </c>
      <c r="AF3" s="16"/>
    </row>
    <row r="4" spans="1:32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  <c r="L4" s="17"/>
      <c r="M4" s="17"/>
      <c r="N4" s="17"/>
      <c r="O4" s="17"/>
      <c r="P4" s="17"/>
      <c r="Q4" s="17"/>
      <c r="R4" s="17"/>
      <c r="S4" s="28"/>
      <c r="T4" s="205" t="s">
        <v>48</v>
      </c>
      <c r="U4" s="206"/>
      <c r="W4" s="17"/>
      <c r="X4" s="17"/>
      <c r="Y4" s="17"/>
      <c r="Z4" s="17"/>
      <c r="AA4" s="17"/>
      <c r="AB4" s="17"/>
      <c r="AC4" s="17"/>
      <c r="AD4" s="28"/>
      <c r="AE4" s="205" t="s">
        <v>50</v>
      </c>
      <c r="AF4" s="206"/>
    </row>
    <row r="5" spans="1:32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  <c r="L5" s="29" t="s">
        <v>3</v>
      </c>
      <c r="M5" s="18" t="s">
        <v>4</v>
      </c>
      <c r="N5" s="29" t="s">
        <v>3</v>
      </c>
      <c r="O5" s="18" t="s">
        <v>4</v>
      </c>
      <c r="P5" s="29" t="s">
        <v>3</v>
      </c>
      <c r="Q5" s="18" t="s">
        <v>4</v>
      </c>
      <c r="R5" s="29" t="s">
        <v>3</v>
      </c>
      <c r="S5" s="30" t="s">
        <v>4</v>
      </c>
      <c r="T5" s="31" t="s">
        <v>3</v>
      </c>
      <c r="U5" s="32" t="s">
        <v>4</v>
      </c>
      <c r="W5" s="29" t="s">
        <v>3</v>
      </c>
      <c r="X5" s="18" t="s">
        <v>4</v>
      </c>
      <c r="Y5" s="29" t="s">
        <v>3</v>
      </c>
      <c r="Z5" s="18" t="s">
        <v>4</v>
      </c>
      <c r="AA5" s="29" t="s">
        <v>3</v>
      </c>
      <c r="AB5" s="18" t="s">
        <v>4</v>
      </c>
      <c r="AC5" s="29" t="s">
        <v>3</v>
      </c>
      <c r="AD5" s="30" t="s">
        <v>4</v>
      </c>
      <c r="AE5" s="31" t="s">
        <v>3</v>
      </c>
      <c r="AF5" s="32" t="s">
        <v>4</v>
      </c>
    </row>
    <row r="6" spans="1:32" ht="15.75" x14ac:dyDescent="0.25">
      <c r="A6" s="22">
        <v>1</v>
      </c>
      <c r="B6" s="19">
        <v>203.5</v>
      </c>
      <c r="C6" s="22">
        <v>50</v>
      </c>
      <c r="D6" s="19">
        <v>197.3</v>
      </c>
      <c r="E6" s="22">
        <v>99</v>
      </c>
      <c r="F6" s="19">
        <v>195.6</v>
      </c>
      <c r="G6" s="33">
        <v>148</v>
      </c>
      <c r="H6" s="19">
        <v>198.2</v>
      </c>
      <c r="I6" s="34">
        <v>197</v>
      </c>
      <c r="J6" s="19">
        <v>208.6</v>
      </c>
      <c r="L6" s="22">
        <v>1</v>
      </c>
      <c r="M6" s="19"/>
      <c r="N6" s="22">
        <v>50</v>
      </c>
      <c r="O6" s="19">
        <v>197.3</v>
      </c>
      <c r="P6" s="22">
        <v>99</v>
      </c>
      <c r="Q6" s="19"/>
      <c r="R6" s="33">
        <v>148</v>
      </c>
      <c r="S6" s="19"/>
      <c r="T6" s="34">
        <v>197</v>
      </c>
      <c r="U6" s="19">
        <v>208.6</v>
      </c>
      <c r="W6" s="22">
        <v>1</v>
      </c>
      <c r="X6" s="19">
        <v>203.5</v>
      </c>
      <c r="Y6" s="22">
        <v>50</v>
      </c>
      <c r="Z6" s="19"/>
      <c r="AA6" s="22">
        <v>99</v>
      </c>
      <c r="AB6" s="19">
        <v>195.6</v>
      </c>
      <c r="AC6" s="33">
        <v>148</v>
      </c>
      <c r="AD6" s="19">
        <v>198.2</v>
      </c>
      <c r="AE6" s="34">
        <v>197</v>
      </c>
      <c r="AF6" s="19"/>
    </row>
    <row r="7" spans="1:32" ht="15.75" x14ac:dyDescent="0.25">
      <c r="A7" s="22">
        <v>2</v>
      </c>
      <c r="B7" s="19">
        <v>203.9</v>
      </c>
      <c r="C7" s="22">
        <v>51</v>
      </c>
      <c r="D7" s="19">
        <v>199.3</v>
      </c>
      <c r="E7" s="22">
        <v>100</v>
      </c>
      <c r="F7" s="19">
        <v>194.4</v>
      </c>
      <c r="G7" s="33">
        <v>149</v>
      </c>
      <c r="H7" s="19">
        <v>199.3</v>
      </c>
      <c r="I7" s="33">
        <v>198</v>
      </c>
      <c r="J7" s="19">
        <v>214.5</v>
      </c>
      <c r="L7" s="22">
        <v>2</v>
      </c>
      <c r="M7" s="19"/>
      <c r="N7" s="22">
        <v>51</v>
      </c>
      <c r="O7" s="19">
        <v>199.3</v>
      </c>
      <c r="P7" s="22">
        <v>100</v>
      </c>
      <c r="Q7" s="19"/>
      <c r="R7" s="33">
        <v>149</v>
      </c>
      <c r="S7" s="19"/>
      <c r="T7" s="33">
        <v>198</v>
      </c>
      <c r="U7" s="19">
        <v>214.5</v>
      </c>
      <c r="W7" s="22">
        <v>2</v>
      </c>
      <c r="X7" s="19">
        <v>203.9</v>
      </c>
      <c r="Y7" s="22">
        <v>51</v>
      </c>
      <c r="Z7" s="19"/>
      <c r="AA7" s="22">
        <v>100</v>
      </c>
      <c r="AB7" s="19">
        <v>194.4</v>
      </c>
      <c r="AC7" s="33">
        <v>149</v>
      </c>
      <c r="AD7" s="19">
        <v>199.3</v>
      </c>
      <c r="AE7" s="33">
        <v>198</v>
      </c>
      <c r="AF7" s="19"/>
    </row>
    <row r="8" spans="1:32" ht="15.75" x14ac:dyDescent="0.25">
      <c r="A8" s="22">
        <v>3</v>
      </c>
      <c r="B8" s="19">
        <v>197.8</v>
      </c>
      <c r="C8" s="22">
        <v>52</v>
      </c>
      <c r="D8" s="19">
        <v>201.9</v>
      </c>
      <c r="E8" s="22">
        <f t="shared" ref="E8:E54" si="0">+E7+1</f>
        <v>101</v>
      </c>
      <c r="F8" s="19">
        <v>194</v>
      </c>
      <c r="G8" s="33">
        <v>150</v>
      </c>
      <c r="H8" s="19">
        <v>198</v>
      </c>
      <c r="I8" s="33">
        <v>199</v>
      </c>
      <c r="J8" s="19">
        <v>214</v>
      </c>
      <c r="L8" s="22">
        <v>3</v>
      </c>
      <c r="M8" s="19"/>
      <c r="N8" s="22">
        <v>52</v>
      </c>
      <c r="O8" s="19">
        <v>201.9</v>
      </c>
      <c r="P8" s="22">
        <f t="shared" ref="P8:P54" si="1">+P7+1</f>
        <v>101</v>
      </c>
      <c r="Q8" s="19"/>
      <c r="R8" s="33">
        <v>150</v>
      </c>
      <c r="S8" s="19"/>
      <c r="T8" s="33">
        <v>199</v>
      </c>
      <c r="U8" s="19">
        <v>214</v>
      </c>
      <c r="W8" s="22">
        <v>3</v>
      </c>
      <c r="X8" s="19">
        <v>197.8</v>
      </c>
      <c r="Y8" s="22">
        <v>52</v>
      </c>
      <c r="Z8" s="19"/>
      <c r="AA8" s="22">
        <f t="shared" ref="AA8:AA54" si="2">+AA7+1</f>
        <v>101</v>
      </c>
      <c r="AB8" s="19">
        <v>194</v>
      </c>
      <c r="AC8" s="33">
        <v>150</v>
      </c>
      <c r="AD8" s="19">
        <v>198</v>
      </c>
      <c r="AE8" s="33">
        <v>199</v>
      </c>
      <c r="AF8" s="19"/>
    </row>
    <row r="9" spans="1:32" ht="15.75" x14ac:dyDescent="0.25">
      <c r="A9" s="22">
        <v>4</v>
      </c>
      <c r="B9" s="19">
        <v>198.5</v>
      </c>
      <c r="C9" s="22">
        <v>53</v>
      </c>
      <c r="D9" s="19">
        <v>199.1</v>
      </c>
      <c r="E9" s="22">
        <f t="shared" si="0"/>
        <v>102</v>
      </c>
      <c r="F9" s="19">
        <v>194.8</v>
      </c>
      <c r="G9" s="33">
        <v>151</v>
      </c>
      <c r="H9" s="19">
        <v>200.4</v>
      </c>
      <c r="I9" s="33">
        <v>200</v>
      </c>
      <c r="J9" s="19">
        <v>216.8</v>
      </c>
      <c r="L9" s="22">
        <v>4</v>
      </c>
      <c r="M9" s="19"/>
      <c r="N9" s="22">
        <v>53</v>
      </c>
      <c r="O9" s="19">
        <v>199.1</v>
      </c>
      <c r="P9" s="22">
        <f t="shared" si="1"/>
        <v>102</v>
      </c>
      <c r="Q9" s="19"/>
      <c r="R9" s="33">
        <v>151</v>
      </c>
      <c r="S9" s="19"/>
      <c r="T9" s="33">
        <v>200</v>
      </c>
      <c r="U9" s="19">
        <v>216.8</v>
      </c>
      <c r="W9" s="22">
        <v>4</v>
      </c>
      <c r="X9" s="19">
        <v>198.5</v>
      </c>
      <c r="Y9" s="22">
        <v>53</v>
      </c>
      <c r="Z9" s="19"/>
      <c r="AA9" s="22">
        <f t="shared" si="2"/>
        <v>102</v>
      </c>
      <c r="AB9" s="19">
        <v>194.8</v>
      </c>
      <c r="AC9" s="33">
        <v>151</v>
      </c>
      <c r="AD9" s="19">
        <v>200.4</v>
      </c>
      <c r="AE9" s="33">
        <v>200</v>
      </c>
      <c r="AF9" s="19"/>
    </row>
    <row r="10" spans="1:32" ht="15.75" x14ac:dyDescent="0.25">
      <c r="A10" s="22">
        <v>5</v>
      </c>
      <c r="B10" s="19">
        <v>203.6</v>
      </c>
      <c r="C10" s="22">
        <v>54</v>
      </c>
      <c r="D10" s="19">
        <v>201.5</v>
      </c>
      <c r="E10" s="22">
        <f t="shared" si="0"/>
        <v>103</v>
      </c>
      <c r="F10" s="19">
        <v>197.6</v>
      </c>
      <c r="G10" s="33">
        <v>152</v>
      </c>
      <c r="H10" s="19">
        <v>199.2</v>
      </c>
      <c r="I10" s="33">
        <v>201</v>
      </c>
      <c r="J10" s="19">
        <v>199.6</v>
      </c>
      <c r="L10" s="22">
        <v>5</v>
      </c>
      <c r="M10" s="19"/>
      <c r="N10" s="22">
        <v>54</v>
      </c>
      <c r="O10" s="19">
        <v>201.5</v>
      </c>
      <c r="P10" s="22">
        <f t="shared" si="1"/>
        <v>103</v>
      </c>
      <c r="Q10" s="19"/>
      <c r="R10" s="33">
        <v>152</v>
      </c>
      <c r="S10" s="19"/>
      <c r="T10" s="33">
        <v>201</v>
      </c>
      <c r="U10" s="19">
        <v>199.6</v>
      </c>
      <c r="W10" s="22">
        <v>5</v>
      </c>
      <c r="X10" s="19">
        <v>203.6</v>
      </c>
      <c r="Y10" s="22">
        <v>54</v>
      </c>
      <c r="Z10" s="19"/>
      <c r="AA10" s="22">
        <f t="shared" si="2"/>
        <v>103</v>
      </c>
      <c r="AB10" s="19">
        <v>197.6</v>
      </c>
      <c r="AC10" s="33">
        <v>152</v>
      </c>
      <c r="AD10" s="19">
        <v>199.2</v>
      </c>
      <c r="AE10" s="33">
        <v>201</v>
      </c>
      <c r="AF10" s="19"/>
    </row>
    <row r="11" spans="1:32" ht="15.75" x14ac:dyDescent="0.25">
      <c r="A11" s="22">
        <v>6</v>
      </c>
      <c r="B11" s="19">
        <v>199.9</v>
      </c>
      <c r="C11" s="22">
        <v>55</v>
      </c>
      <c r="D11" s="19">
        <v>194.8</v>
      </c>
      <c r="E11" s="22">
        <f t="shared" si="0"/>
        <v>104</v>
      </c>
      <c r="F11" s="19">
        <v>200.5</v>
      </c>
      <c r="G11" s="33">
        <v>153</v>
      </c>
      <c r="H11" s="19">
        <v>202.7</v>
      </c>
      <c r="I11" s="33">
        <v>202</v>
      </c>
      <c r="J11" s="19">
        <v>196.5</v>
      </c>
      <c r="L11" s="22">
        <v>6</v>
      </c>
      <c r="M11" s="19"/>
      <c r="N11" s="22">
        <v>55</v>
      </c>
      <c r="O11" s="19">
        <v>194.8</v>
      </c>
      <c r="P11" s="22">
        <f t="shared" si="1"/>
        <v>104</v>
      </c>
      <c r="Q11" s="19"/>
      <c r="R11" s="33">
        <v>153</v>
      </c>
      <c r="S11" s="19"/>
      <c r="T11" s="33">
        <v>202</v>
      </c>
      <c r="U11" s="19">
        <v>196.5</v>
      </c>
      <c r="W11" s="22">
        <v>6</v>
      </c>
      <c r="X11" s="19">
        <v>199.9</v>
      </c>
      <c r="Y11" s="22">
        <v>55</v>
      </c>
      <c r="Z11" s="19"/>
      <c r="AA11" s="22">
        <f t="shared" si="2"/>
        <v>104</v>
      </c>
      <c r="AB11" s="19">
        <v>200.5</v>
      </c>
      <c r="AC11" s="33">
        <v>153</v>
      </c>
      <c r="AD11" s="19">
        <v>202.7</v>
      </c>
      <c r="AE11" s="33">
        <v>202</v>
      </c>
      <c r="AF11" s="19"/>
    </row>
    <row r="12" spans="1:32" ht="15.75" x14ac:dyDescent="0.25">
      <c r="A12" s="22">
        <v>7</v>
      </c>
      <c r="B12" s="19">
        <v>199.2</v>
      </c>
      <c r="C12" s="22">
        <v>56</v>
      </c>
      <c r="D12" s="19">
        <v>203.4</v>
      </c>
      <c r="E12" s="22">
        <f t="shared" si="0"/>
        <v>105</v>
      </c>
      <c r="F12" s="19">
        <v>198.3</v>
      </c>
      <c r="G12" s="33">
        <v>154</v>
      </c>
      <c r="H12" s="19">
        <v>199</v>
      </c>
      <c r="I12" s="33">
        <v>203</v>
      </c>
      <c r="J12" s="19">
        <v>209.1</v>
      </c>
      <c r="L12" s="22">
        <v>7</v>
      </c>
      <c r="M12" s="19"/>
      <c r="N12" s="22">
        <v>56</v>
      </c>
      <c r="O12" s="19">
        <v>203.4</v>
      </c>
      <c r="P12" s="22">
        <f t="shared" si="1"/>
        <v>105</v>
      </c>
      <c r="Q12" s="19"/>
      <c r="R12" s="33">
        <v>154</v>
      </c>
      <c r="S12" s="19"/>
      <c r="T12" s="33">
        <v>203</v>
      </c>
      <c r="U12" s="19">
        <v>209.1</v>
      </c>
      <c r="W12" s="22">
        <v>7</v>
      </c>
      <c r="X12" s="19">
        <v>199.2</v>
      </c>
      <c r="Y12" s="22">
        <v>56</v>
      </c>
      <c r="Z12" s="19"/>
      <c r="AA12" s="22">
        <f t="shared" si="2"/>
        <v>105</v>
      </c>
      <c r="AB12" s="19">
        <v>198.3</v>
      </c>
      <c r="AC12" s="33">
        <v>154</v>
      </c>
      <c r="AD12" s="19">
        <v>199</v>
      </c>
      <c r="AE12" s="33">
        <v>203</v>
      </c>
      <c r="AF12" s="19"/>
    </row>
    <row r="13" spans="1:32" ht="15.75" x14ac:dyDescent="0.25">
      <c r="A13" s="22">
        <v>8</v>
      </c>
      <c r="B13" s="19">
        <v>199.5</v>
      </c>
      <c r="C13" s="22">
        <v>57</v>
      </c>
      <c r="D13" s="19">
        <v>199.7</v>
      </c>
      <c r="E13" s="22">
        <f t="shared" si="0"/>
        <v>106</v>
      </c>
      <c r="F13" s="19">
        <v>193.8</v>
      </c>
      <c r="G13" s="33">
        <v>155</v>
      </c>
      <c r="H13" s="19">
        <v>198.5</v>
      </c>
      <c r="I13" s="33">
        <v>204</v>
      </c>
      <c r="J13" s="19">
        <v>196.8</v>
      </c>
      <c r="L13" s="22">
        <v>8</v>
      </c>
      <c r="M13" s="19"/>
      <c r="N13" s="22">
        <v>57</v>
      </c>
      <c r="O13" s="19">
        <v>199.7</v>
      </c>
      <c r="P13" s="22">
        <f t="shared" si="1"/>
        <v>106</v>
      </c>
      <c r="Q13" s="19"/>
      <c r="R13" s="33">
        <v>155</v>
      </c>
      <c r="S13" s="19"/>
      <c r="T13" s="33">
        <v>204</v>
      </c>
      <c r="U13" s="19">
        <v>196.8</v>
      </c>
      <c r="W13" s="22">
        <v>8</v>
      </c>
      <c r="X13" s="19">
        <v>199.5</v>
      </c>
      <c r="Y13" s="22">
        <v>57</v>
      </c>
      <c r="Z13" s="19"/>
      <c r="AA13" s="22">
        <f t="shared" si="2"/>
        <v>106</v>
      </c>
      <c r="AB13" s="19">
        <v>193.8</v>
      </c>
      <c r="AC13" s="33">
        <v>155</v>
      </c>
      <c r="AD13" s="19">
        <v>198.5</v>
      </c>
      <c r="AE13" s="33">
        <v>204</v>
      </c>
      <c r="AF13" s="19"/>
    </row>
    <row r="14" spans="1:32" ht="15.75" x14ac:dyDescent="0.25">
      <c r="A14" s="22">
        <v>9</v>
      </c>
      <c r="B14" s="19">
        <v>202.2</v>
      </c>
      <c r="C14" s="22">
        <v>58</v>
      </c>
      <c r="D14" s="19">
        <v>203.9</v>
      </c>
      <c r="E14" s="22">
        <f t="shared" si="0"/>
        <v>107</v>
      </c>
      <c r="F14" s="19">
        <v>196.2</v>
      </c>
      <c r="G14" s="33">
        <v>156</v>
      </c>
      <c r="H14" s="19">
        <v>199.1</v>
      </c>
      <c r="I14" s="33">
        <v>205</v>
      </c>
      <c r="J14" s="19">
        <v>199</v>
      </c>
      <c r="L14" s="22">
        <v>9</v>
      </c>
      <c r="M14" s="19"/>
      <c r="N14" s="22">
        <v>58</v>
      </c>
      <c r="O14" s="19">
        <v>203.9</v>
      </c>
      <c r="P14" s="22">
        <f t="shared" si="1"/>
        <v>107</v>
      </c>
      <c r="Q14" s="19"/>
      <c r="R14" s="33">
        <v>156</v>
      </c>
      <c r="S14" s="19"/>
      <c r="T14" s="33">
        <v>205</v>
      </c>
      <c r="U14" s="19">
        <v>199</v>
      </c>
      <c r="W14" s="22">
        <v>9</v>
      </c>
      <c r="X14" s="19">
        <v>202.2</v>
      </c>
      <c r="Y14" s="22">
        <v>58</v>
      </c>
      <c r="Z14" s="19"/>
      <c r="AA14" s="22">
        <f t="shared" si="2"/>
        <v>107</v>
      </c>
      <c r="AB14" s="19">
        <v>196.2</v>
      </c>
      <c r="AC14" s="33">
        <v>156</v>
      </c>
      <c r="AD14" s="19">
        <v>199.1</v>
      </c>
      <c r="AE14" s="33">
        <v>205</v>
      </c>
      <c r="AF14" s="19"/>
    </row>
    <row r="15" spans="1:32" ht="15.75" x14ac:dyDescent="0.25">
      <c r="A15" s="22">
        <v>10</v>
      </c>
      <c r="B15" s="19">
        <v>206.9</v>
      </c>
      <c r="C15" s="22">
        <v>59</v>
      </c>
      <c r="D15" s="19">
        <v>202.9</v>
      </c>
      <c r="E15" s="22">
        <f t="shared" si="0"/>
        <v>108</v>
      </c>
      <c r="F15" s="19">
        <v>189.6</v>
      </c>
      <c r="G15" s="33">
        <v>157</v>
      </c>
      <c r="H15" s="19">
        <v>201.8</v>
      </c>
      <c r="I15" s="33">
        <v>206</v>
      </c>
      <c r="J15" s="19">
        <v>199.6</v>
      </c>
      <c r="L15" s="22">
        <v>10</v>
      </c>
      <c r="M15" s="19"/>
      <c r="N15" s="22">
        <v>59</v>
      </c>
      <c r="O15" s="19">
        <v>202.9</v>
      </c>
      <c r="P15" s="22">
        <f t="shared" si="1"/>
        <v>108</v>
      </c>
      <c r="Q15" s="19"/>
      <c r="R15" s="33">
        <v>157</v>
      </c>
      <c r="S15" s="19"/>
      <c r="T15" s="33">
        <v>206</v>
      </c>
      <c r="U15" s="19">
        <v>199.6</v>
      </c>
      <c r="W15" s="22">
        <v>10</v>
      </c>
      <c r="X15" s="19">
        <v>206.9</v>
      </c>
      <c r="Y15" s="22">
        <v>59</v>
      </c>
      <c r="Z15" s="19"/>
      <c r="AA15" s="22">
        <f t="shared" si="2"/>
        <v>108</v>
      </c>
      <c r="AB15" s="19">
        <v>189.6</v>
      </c>
      <c r="AC15" s="33">
        <v>157</v>
      </c>
      <c r="AD15" s="19">
        <v>201.8</v>
      </c>
      <c r="AE15" s="33">
        <v>206</v>
      </c>
      <c r="AF15" s="19"/>
    </row>
    <row r="16" spans="1:32" ht="15.75" x14ac:dyDescent="0.25">
      <c r="A16" s="22">
        <v>11</v>
      </c>
      <c r="B16" s="19">
        <v>197.6</v>
      </c>
      <c r="C16" s="22">
        <v>60</v>
      </c>
      <c r="D16" s="19">
        <v>197.6</v>
      </c>
      <c r="E16" s="22">
        <f t="shared" si="0"/>
        <v>109</v>
      </c>
      <c r="F16" s="19">
        <v>199</v>
      </c>
      <c r="G16" s="33">
        <v>158</v>
      </c>
      <c r="H16" s="19">
        <v>204.4</v>
      </c>
      <c r="I16" s="33">
        <v>207</v>
      </c>
      <c r="J16" s="19">
        <v>203</v>
      </c>
      <c r="L16" s="22">
        <v>11</v>
      </c>
      <c r="M16" s="19"/>
      <c r="N16" s="22">
        <v>60</v>
      </c>
      <c r="O16" s="19">
        <v>197.6</v>
      </c>
      <c r="P16" s="22">
        <f t="shared" si="1"/>
        <v>109</v>
      </c>
      <c r="Q16" s="19"/>
      <c r="R16" s="33">
        <v>158</v>
      </c>
      <c r="S16" s="19"/>
      <c r="T16" s="33">
        <v>207</v>
      </c>
      <c r="U16" s="19">
        <v>203</v>
      </c>
      <c r="W16" s="22">
        <v>11</v>
      </c>
      <c r="X16" s="19">
        <v>197.6</v>
      </c>
      <c r="Y16" s="22">
        <v>60</v>
      </c>
      <c r="Z16" s="19"/>
      <c r="AA16" s="22">
        <f t="shared" si="2"/>
        <v>109</v>
      </c>
      <c r="AB16" s="19">
        <v>199</v>
      </c>
      <c r="AC16" s="33">
        <v>158</v>
      </c>
      <c r="AD16" s="19">
        <v>204.4</v>
      </c>
      <c r="AE16" s="33">
        <v>207</v>
      </c>
      <c r="AF16" s="19"/>
    </row>
    <row r="17" spans="1:32" ht="15.75" x14ac:dyDescent="0.25">
      <c r="A17" s="22">
        <v>12</v>
      </c>
      <c r="B17" s="19">
        <v>199.9</v>
      </c>
      <c r="C17" s="22">
        <v>61</v>
      </c>
      <c r="D17" s="19">
        <v>200.4</v>
      </c>
      <c r="E17" s="22">
        <f t="shared" si="0"/>
        <v>110</v>
      </c>
      <c r="F17" s="19">
        <v>200.8</v>
      </c>
      <c r="G17" s="33">
        <v>159</v>
      </c>
      <c r="H17" s="19">
        <v>202.5</v>
      </c>
      <c r="I17" s="33">
        <v>208</v>
      </c>
      <c r="J17" s="19">
        <v>197.7</v>
      </c>
      <c r="L17" s="22">
        <v>12</v>
      </c>
      <c r="M17" s="19"/>
      <c r="N17" s="22">
        <v>61</v>
      </c>
      <c r="O17" s="19">
        <v>200.4</v>
      </c>
      <c r="P17" s="22">
        <f t="shared" si="1"/>
        <v>110</v>
      </c>
      <c r="Q17" s="19"/>
      <c r="R17" s="33">
        <v>159</v>
      </c>
      <c r="S17" s="19"/>
      <c r="T17" s="33">
        <v>208</v>
      </c>
      <c r="U17" s="19">
        <v>197.7</v>
      </c>
      <c r="W17" s="22">
        <v>12</v>
      </c>
      <c r="X17" s="19">
        <v>199.9</v>
      </c>
      <c r="Y17" s="22">
        <v>61</v>
      </c>
      <c r="Z17" s="19"/>
      <c r="AA17" s="22">
        <f t="shared" si="2"/>
        <v>110</v>
      </c>
      <c r="AB17" s="19">
        <v>200.8</v>
      </c>
      <c r="AC17" s="33">
        <v>159</v>
      </c>
      <c r="AD17" s="19">
        <v>202.5</v>
      </c>
      <c r="AE17" s="33">
        <v>208</v>
      </c>
      <c r="AF17" s="19"/>
    </row>
    <row r="18" spans="1:32" ht="15.75" x14ac:dyDescent="0.25">
      <c r="A18" s="22">
        <v>13</v>
      </c>
      <c r="B18" s="19">
        <v>204.8</v>
      </c>
      <c r="C18" s="22">
        <v>62</v>
      </c>
      <c r="D18" s="19">
        <v>197.4</v>
      </c>
      <c r="E18" s="22">
        <f t="shared" si="0"/>
        <v>111</v>
      </c>
      <c r="F18" s="19">
        <v>201.9</v>
      </c>
      <c r="G18" s="33">
        <v>160</v>
      </c>
      <c r="H18" s="19">
        <v>197</v>
      </c>
      <c r="I18" s="33">
        <v>209</v>
      </c>
      <c r="J18" s="19">
        <v>204.7</v>
      </c>
      <c r="L18" s="22">
        <v>13</v>
      </c>
      <c r="M18" s="19"/>
      <c r="N18" s="22">
        <v>62</v>
      </c>
      <c r="O18" s="19">
        <v>197.4</v>
      </c>
      <c r="P18" s="22">
        <f t="shared" si="1"/>
        <v>111</v>
      </c>
      <c r="Q18" s="19"/>
      <c r="R18" s="33">
        <v>160</v>
      </c>
      <c r="S18" s="19"/>
      <c r="T18" s="33">
        <v>209</v>
      </c>
      <c r="U18" s="19">
        <v>204.7</v>
      </c>
      <c r="W18" s="22">
        <v>13</v>
      </c>
      <c r="X18" s="19">
        <v>204.8</v>
      </c>
      <c r="Y18" s="22">
        <v>62</v>
      </c>
      <c r="Z18" s="19"/>
      <c r="AA18" s="22">
        <f t="shared" si="2"/>
        <v>111</v>
      </c>
      <c r="AB18" s="19">
        <v>201.9</v>
      </c>
      <c r="AC18" s="33">
        <v>160</v>
      </c>
      <c r="AD18" s="19">
        <v>197</v>
      </c>
      <c r="AE18" s="33">
        <v>209</v>
      </c>
      <c r="AF18" s="19"/>
    </row>
    <row r="19" spans="1:32" ht="15.75" x14ac:dyDescent="0.25">
      <c r="A19" s="22">
        <v>14</v>
      </c>
      <c r="B19" s="19">
        <v>200.4</v>
      </c>
      <c r="C19" s="22">
        <v>63</v>
      </c>
      <c r="D19" s="19">
        <v>202.2</v>
      </c>
      <c r="E19" s="22">
        <f t="shared" si="0"/>
        <v>112</v>
      </c>
      <c r="F19" s="19">
        <v>190.4</v>
      </c>
      <c r="G19" s="33">
        <v>161</v>
      </c>
      <c r="H19" s="19">
        <v>205.5</v>
      </c>
      <c r="I19" s="33">
        <v>210</v>
      </c>
      <c r="J19" s="19">
        <v>198.5</v>
      </c>
      <c r="L19" s="22">
        <v>14</v>
      </c>
      <c r="M19" s="19"/>
      <c r="N19" s="22">
        <v>63</v>
      </c>
      <c r="O19" s="19">
        <v>202.2</v>
      </c>
      <c r="P19" s="22">
        <f t="shared" si="1"/>
        <v>112</v>
      </c>
      <c r="Q19" s="19"/>
      <c r="R19" s="33">
        <v>161</v>
      </c>
      <c r="S19" s="19"/>
      <c r="T19" s="33">
        <v>210</v>
      </c>
      <c r="U19" s="19">
        <v>198.5</v>
      </c>
      <c r="W19" s="22">
        <v>14</v>
      </c>
      <c r="X19" s="19">
        <v>200.4</v>
      </c>
      <c r="Y19" s="22">
        <v>63</v>
      </c>
      <c r="Z19" s="19"/>
      <c r="AA19" s="22">
        <f t="shared" si="2"/>
        <v>112</v>
      </c>
      <c r="AB19" s="19">
        <v>190.4</v>
      </c>
      <c r="AC19" s="33">
        <v>161</v>
      </c>
      <c r="AD19" s="19">
        <v>205.5</v>
      </c>
      <c r="AE19" s="33">
        <v>210</v>
      </c>
      <c r="AF19" s="19"/>
    </row>
    <row r="20" spans="1:32" ht="15.75" x14ac:dyDescent="0.25">
      <c r="A20" s="22">
        <v>15</v>
      </c>
      <c r="B20" s="19">
        <v>199.5</v>
      </c>
      <c r="C20" s="22">
        <v>64</v>
      </c>
      <c r="D20" s="19">
        <v>201</v>
      </c>
      <c r="E20" s="22">
        <f t="shared" si="0"/>
        <v>113</v>
      </c>
      <c r="F20" s="19">
        <v>192.8</v>
      </c>
      <c r="G20" s="35">
        <v>162</v>
      </c>
      <c r="H20" s="19">
        <v>198.3</v>
      </c>
      <c r="I20" s="33">
        <v>211</v>
      </c>
      <c r="J20" s="19">
        <v>186.8</v>
      </c>
      <c r="L20" s="22">
        <v>15</v>
      </c>
      <c r="M20" s="19"/>
      <c r="N20" s="22">
        <v>64</v>
      </c>
      <c r="O20" s="19">
        <v>201</v>
      </c>
      <c r="P20" s="22">
        <f t="shared" si="1"/>
        <v>113</v>
      </c>
      <c r="Q20" s="19"/>
      <c r="R20" s="35">
        <v>162</v>
      </c>
      <c r="S20" s="19"/>
      <c r="T20" s="33">
        <v>211</v>
      </c>
      <c r="U20" s="19">
        <v>186.8</v>
      </c>
      <c r="W20" s="22">
        <v>15</v>
      </c>
      <c r="X20" s="19">
        <v>199.5</v>
      </c>
      <c r="Y20" s="22">
        <v>64</v>
      </c>
      <c r="Z20" s="19"/>
      <c r="AA20" s="22">
        <f t="shared" si="2"/>
        <v>113</v>
      </c>
      <c r="AB20" s="19">
        <v>192.8</v>
      </c>
      <c r="AC20" s="35">
        <v>162</v>
      </c>
      <c r="AD20" s="19">
        <v>198.3</v>
      </c>
      <c r="AE20" s="33">
        <v>211</v>
      </c>
      <c r="AF20" s="19"/>
    </row>
    <row r="21" spans="1:32" ht="15.75" x14ac:dyDescent="0.25">
      <c r="A21" s="22">
        <v>16</v>
      </c>
      <c r="B21" s="19">
        <v>201</v>
      </c>
      <c r="C21" s="22">
        <v>65</v>
      </c>
      <c r="D21" s="19">
        <v>197.9</v>
      </c>
      <c r="E21" s="22">
        <f t="shared" si="0"/>
        <v>114</v>
      </c>
      <c r="F21" s="19">
        <v>196.9</v>
      </c>
      <c r="G21" s="35">
        <v>163</v>
      </c>
      <c r="H21" s="19">
        <v>199.4</v>
      </c>
      <c r="I21" s="33">
        <v>212</v>
      </c>
      <c r="J21" s="19">
        <v>192.2</v>
      </c>
      <c r="L21" s="22">
        <v>16</v>
      </c>
      <c r="M21" s="19"/>
      <c r="N21" s="22">
        <v>65</v>
      </c>
      <c r="O21" s="19">
        <v>197.9</v>
      </c>
      <c r="P21" s="22">
        <f t="shared" si="1"/>
        <v>114</v>
      </c>
      <c r="Q21" s="19"/>
      <c r="R21" s="35">
        <v>163</v>
      </c>
      <c r="S21" s="19"/>
      <c r="T21" s="33">
        <v>212</v>
      </c>
      <c r="U21" s="19">
        <v>192.2</v>
      </c>
      <c r="W21" s="22">
        <v>16</v>
      </c>
      <c r="X21" s="19">
        <v>201</v>
      </c>
      <c r="Y21" s="22">
        <v>65</v>
      </c>
      <c r="Z21" s="19"/>
      <c r="AA21" s="22">
        <f t="shared" si="2"/>
        <v>114</v>
      </c>
      <c r="AB21" s="19">
        <v>196.9</v>
      </c>
      <c r="AC21" s="35">
        <v>163</v>
      </c>
      <c r="AD21" s="19">
        <v>199.4</v>
      </c>
      <c r="AE21" s="33">
        <v>212</v>
      </c>
      <c r="AF21" s="19"/>
    </row>
    <row r="22" spans="1:32" ht="15.75" x14ac:dyDescent="0.25">
      <c r="A22" s="22">
        <v>17</v>
      </c>
      <c r="B22" s="19">
        <v>206.2</v>
      </c>
      <c r="C22" s="22">
        <v>66</v>
      </c>
      <c r="D22" s="19">
        <v>199.7</v>
      </c>
      <c r="E22" s="22">
        <f t="shared" si="0"/>
        <v>115</v>
      </c>
      <c r="F22" s="19">
        <v>193.8</v>
      </c>
      <c r="G22" s="35">
        <v>164</v>
      </c>
      <c r="H22" s="19">
        <v>203.5</v>
      </c>
      <c r="I22" s="33">
        <v>213</v>
      </c>
      <c r="J22" s="19">
        <v>204</v>
      </c>
      <c r="L22" s="22">
        <v>17</v>
      </c>
      <c r="M22" s="19"/>
      <c r="N22" s="22">
        <v>66</v>
      </c>
      <c r="O22" s="19">
        <v>199.7</v>
      </c>
      <c r="P22" s="22">
        <f t="shared" si="1"/>
        <v>115</v>
      </c>
      <c r="Q22" s="19"/>
      <c r="R22" s="35">
        <v>164</v>
      </c>
      <c r="S22" s="19"/>
      <c r="T22" s="33">
        <v>213</v>
      </c>
      <c r="U22" s="19">
        <v>204</v>
      </c>
      <c r="W22" s="22">
        <v>17</v>
      </c>
      <c r="X22" s="19">
        <v>206.2</v>
      </c>
      <c r="Y22" s="22">
        <v>66</v>
      </c>
      <c r="Z22" s="19"/>
      <c r="AA22" s="22">
        <f t="shared" si="2"/>
        <v>115</v>
      </c>
      <c r="AB22" s="19">
        <v>193.8</v>
      </c>
      <c r="AC22" s="35">
        <v>164</v>
      </c>
      <c r="AD22" s="19">
        <v>203.5</v>
      </c>
      <c r="AE22" s="33">
        <v>213</v>
      </c>
      <c r="AF22" s="19"/>
    </row>
    <row r="23" spans="1:32" ht="15.75" x14ac:dyDescent="0.25">
      <c r="A23" s="22">
        <v>18</v>
      </c>
      <c r="B23" s="19">
        <v>199.3</v>
      </c>
      <c r="C23" s="22">
        <v>67</v>
      </c>
      <c r="D23" s="19">
        <v>197.5</v>
      </c>
      <c r="E23" s="22">
        <f t="shared" si="0"/>
        <v>116</v>
      </c>
      <c r="F23" s="19">
        <v>190.2</v>
      </c>
      <c r="G23" s="35">
        <v>165</v>
      </c>
      <c r="H23" s="19">
        <v>202</v>
      </c>
      <c r="I23" s="33">
        <v>214</v>
      </c>
      <c r="J23" s="19">
        <v>197.7</v>
      </c>
      <c r="L23" s="22">
        <v>18</v>
      </c>
      <c r="M23" s="19"/>
      <c r="N23" s="22">
        <v>67</v>
      </c>
      <c r="O23" s="19">
        <v>197.5</v>
      </c>
      <c r="P23" s="22">
        <f t="shared" si="1"/>
        <v>116</v>
      </c>
      <c r="Q23" s="19"/>
      <c r="R23" s="35">
        <v>165</v>
      </c>
      <c r="S23" s="19"/>
      <c r="T23" s="33">
        <v>214</v>
      </c>
      <c r="U23" s="19">
        <v>197.7</v>
      </c>
      <c r="W23" s="22">
        <v>18</v>
      </c>
      <c r="X23" s="19">
        <v>199.3</v>
      </c>
      <c r="Y23" s="22">
        <v>67</v>
      </c>
      <c r="Z23" s="19"/>
      <c r="AA23" s="22">
        <f t="shared" si="2"/>
        <v>116</v>
      </c>
      <c r="AB23" s="19">
        <v>190.2</v>
      </c>
      <c r="AC23" s="35">
        <v>165</v>
      </c>
      <c r="AD23" s="19">
        <v>202</v>
      </c>
      <c r="AE23" s="33">
        <v>214</v>
      </c>
      <c r="AF23" s="19"/>
    </row>
    <row r="24" spans="1:32" ht="15.75" x14ac:dyDescent="0.25">
      <c r="A24" s="22">
        <v>19</v>
      </c>
      <c r="B24" s="19">
        <v>204.8</v>
      </c>
      <c r="C24" s="22">
        <v>68</v>
      </c>
      <c r="D24" s="19">
        <v>204.7</v>
      </c>
      <c r="E24" s="22">
        <f t="shared" si="0"/>
        <v>117</v>
      </c>
      <c r="F24" s="19">
        <v>197.3</v>
      </c>
      <c r="G24" s="35">
        <v>166</v>
      </c>
      <c r="H24" s="19">
        <v>196.7</v>
      </c>
      <c r="I24" s="33">
        <v>215</v>
      </c>
      <c r="J24" s="19">
        <v>204.5</v>
      </c>
      <c r="L24" s="22">
        <v>19</v>
      </c>
      <c r="M24" s="19"/>
      <c r="N24" s="22">
        <v>68</v>
      </c>
      <c r="O24" s="19">
        <v>204.7</v>
      </c>
      <c r="P24" s="22">
        <f t="shared" si="1"/>
        <v>117</v>
      </c>
      <c r="Q24" s="19"/>
      <c r="R24" s="35">
        <v>166</v>
      </c>
      <c r="S24" s="19"/>
      <c r="T24" s="33">
        <v>215</v>
      </c>
      <c r="U24" s="19">
        <v>204.5</v>
      </c>
      <c r="W24" s="22">
        <v>19</v>
      </c>
      <c r="X24" s="19">
        <v>204.8</v>
      </c>
      <c r="Y24" s="22">
        <v>68</v>
      </c>
      <c r="Z24" s="19"/>
      <c r="AA24" s="22">
        <f t="shared" si="2"/>
        <v>117</v>
      </c>
      <c r="AB24" s="19">
        <v>197.3</v>
      </c>
      <c r="AC24" s="35">
        <v>166</v>
      </c>
      <c r="AD24" s="19">
        <v>196.7</v>
      </c>
      <c r="AE24" s="33">
        <v>215</v>
      </c>
      <c r="AF24" s="19"/>
    </row>
    <row r="25" spans="1:32" ht="15.75" x14ac:dyDescent="0.25">
      <c r="A25" s="22">
        <v>20</v>
      </c>
      <c r="B25" s="19">
        <v>201</v>
      </c>
      <c r="C25" s="22">
        <v>69</v>
      </c>
      <c r="D25" s="19">
        <v>194.5</v>
      </c>
      <c r="E25" s="22">
        <f t="shared" si="0"/>
        <v>118</v>
      </c>
      <c r="F25" s="19">
        <v>195.3</v>
      </c>
      <c r="G25" s="35">
        <v>167</v>
      </c>
      <c r="H25" s="19">
        <v>200</v>
      </c>
      <c r="I25" s="33">
        <v>216</v>
      </c>
      <c r="J25" s="19">
        <v>197.5</v>
      </c>
      <c r="L25" s="22">
        <v>20</v>
      </c>
      <c r="M25" s="19"/>
      <c r="N25" s="22">
        <v>69</v>
      </c>
      <c r="O25" s="19">
        <v>194.5</v>
      </c>
      <c r="P25" s="22">
        <f t="shared" si="1"/>
        <v>118</v>
      </c>
      <c r="Q25" s="19"/>
      <c r="R25" s="35">
        <v>167</v>
      </c>
      <c r="S25" s="19"/>
      <c r="T25" s="33">
        <v>216</v>
      </c>
      <c r="U25" s="19">
        <v>197.5</v>
      </c>
      <c r="W25" s="22">
        <v>20</v>
      </c>
      <c r="X25" s="19">
        <v>201</v>
      </c>
      <c r="Y25" s="22">
        <v>69</v>
      </c>
      <c r="Z25" s="19"/>
      <c r="AA25" s="22">
        <f t="shared" si="2"/>
        <v>118</v>
      </c>
      <c r="AB25" s="19">
        <v>195.3</v>
      </c>
      <c r="AC25" s="35">
        <v>167</v>
      </c>
      <c r="AD25" s="19">
        <v>200</v>
      </c>
      <c r="AE25" s="33">
        <v>216</v>
      </c>
      <c r="AF25" s="19"/>
    </row>
    <row r="26" spans="1:32" ht="15.75" x14ac:dyDescent="0.25">
      <c r="A26" s="22">
        <v>21</v>
      </c>
      <c r="B26" s="19">
        <v>203.9</v>
      </c>
      <c r="C26" s="22">
        <v>70</v>
      </c>
      <c r="D26" s="19">
        <v>196.2</v>
      </c>
      <c r="E26" s="22">
        <f t="shared" si="0"/>
        <v>119</v>
      </c>
      <c r="F26" s="19">
        <v>197.9</v>
      </c>
      <c r="G26" s="35">
        <v>168</v>
      </c>
      <c r="H26" s="19">
        <v>194.3</v>
      </c>
      <c r="I26" s="33">
        <v>217</v>
      </c>
      <c r="J26" s="19">
        <v>198.9</v>
      </c>
      <c r="L26" s="22">
        <v>21</v>
      </c>
      <c r="M26" s="19"/>
      <c r="N26" s="22">
        <v>70</v>
      </c>
      <c r="O26" s="19">
        <v>196.2</v>
      </c>
      <c r="P26" s="22">
        <f t="shared" si="1"/>
        <v>119</v>
      </c>
      <c r="Q26" s="19"/>
      <c r="R26" s="35">
        <v>168</v>
      </c>
      <c r="S26" s="19"/>
      <c r="T26" s="33">
        <v>217</v>
      </c>
      <c r="U26" s="19">
        <v>198.9</v>
      </c>
      <c r="W26" s="22">
        <v>21</v>
      </c>
      <c r="X26" s="19">
        <v>203.9</v>
      </c>
      <c r="Y26" s="22">
        <v>70</v>
      </c>
      <c r="Z26" s="19"/>
      <c r="AA26" s="22">
        <f t="shared" si="2"/>
        <v>119</v>
      </c>
      <c r="AB26" s="19">
        <v>197.9</v>
      </c>
      <c r="AC26" s="35">
        <v>168</v>
      </c>
      <c r="AD26" s="19">
        <v>194.3</v>
      </c>
      <c r="AE26" s="33">
        <v>217</v>
      </c>
      <c r="AF26" s="19"/>
    </row>
    <row r="27" spans="1:32" ht="15.75" x14ac:dyDescent="0.25">
      <c r="A27" s="22">
        <v>22</v>
      </c>
      <c r="B27" s="19">
        <v>198.6</v>
      </c>
      <c r="C27" s="22">
        <v>71</v>
      </c>
      <c r="D27" s="19">
        <v>207.5</v>
      </c>
      <c r="E27" s="22">
        <f t="shared" si="0"/>
        <v>120</v>
      </c>
      <c r="F27" s="19">
        <v>196.5</v>
      </c>
      <c r="G27" s="35">
        <v>169</v>
      </c>
      <c r="H27" s="19">
        <v>205.1</v>
      </c>
      <c r="I27" s="33">
        <v>218</v>
      </c>
      <c r="J27" s="19">
        <v>203.6</v>
      </c>
      <c r="L27" s="22">
        <v>22</v>
      </c>
      <c r="M27" s="19"/>
      <c r="N27" s="22">
        <v>71</v>
      </c>
      <c r="O27" s="19">
        <v>207.5</v>
      </c>
      <c r="P27" s="22">
        <f t="shared" si="1"/>
        <v>120</v>
      </c>
      <c r="Q27" s="19"/>
      <c r="R27" s="35">
        <v>169</v>
      </c>
      <c r="S27" s="19"/>
      <c r="T27" s="33">
        <v>218</v>
      </c>
      <c r="U27" s="19">
        <v>203.6</v>
      </c>
      <c r="W27" s="22">
        <v>22</v>
      </c>
      <c r="X27" s="19">
        <v>198.6</v>
      </c>
      <c r="Y27" s="22">
        <v>71</v>
      </c>
      <c r="Z27" s="19"/>
      <c r="AA27" s="22">
        <f t="shared" si="2"/>
        <v>120</v>
      </c>
      <c r="AB27" s="19">
        <v>196.5</v>
      </c>
      <c r="AC27" s="35">
        <v>169</v>
      </c>
      <c r="AD27" s="19">
        <v>205.1</v>
      </c>
      <c r="AE27" s="33">
        <v>218</v>
      </c>
      <c r="AF27" s="19"/>
    </row>
    <row r="28" spans="1:32" ht="15.75" x14ac:dyDescent="0.25">
      <c r="A28" s="22">
        <v>23</v>
      </c>
      <c r="B28" s="19">
        <v>198.9</v>
      </c>
      <c r="C28" s="22">
        <v>72</v>
      </c>
      <c r="D28" s="19">
        <v>200.7</v>
      </c>
      <c r="E28" s="22">
        <f t="shared" si="0"/>
        <v>121</v>
      </c>
      <c r="F28" s="19">
        <v>192.7</v>
      </c>
      <c r="G28" s="35">
        <v>170</v>
      </c>
      <c r="H28" s="19">
        <v>202.9</v>
      </c>
      <c r="I28" s="33">
        <v>219</v>
      </c>
      <c r="J28" s="19">
        <v>195</v>
      </c>
      <c r="L28" s="22">
        <v>23</v>
      </c>
      <c r="M28" s="19"/>
      <c r="N28" s="22">
        <v>72</v>
      </c>
      <c r="O28" s="19">
        <v>200.7</v>
      </c>
      <c r="P28" s="22">
        <f t="shared" si="1"/>
        <v>121</v>
      </c>
      <c r="Q28" s="19"/>
      <c r="R28" s="35">
        <v>170</v>
      </c>
      <c r="S28" s="19"/>
      <c r="T28" s="33">
        <v>219</v>
      </c>
      <c r="U28" s="19">
        <v>195</v>
      </c>
      <c r="W28" s="22">
        <v>23</v>
      </c>
      <c r="X28" s="19">
        <v>198.9</v>
      </c>
      <c r="Y28" s="22">
        <v>72</v>
      </c>
      <c r="Z28" s="19"/>
      <c r="AA28" s="22">
        <f t="shared" si="2"/>
        <v>121</v>
      </c>
      <c r="AB28" s="19">
        <v>192.7</v>
      </c>
      <c r="AC28" s="35">
        <v>170</v>
      </c>
      <c r="AD28" s="19">
        <v>202.9</v>
      </c>
      <c r="AE28" s="33">
        <v>219</v>
      </c>
      <c r="AF28" s="19"/>
    </row>
    <row r="29" spans="1:32" ht="15.75" x14ac:dyDescent="0.25">
      <c r="A29" s="22">
        <v>24</v>
      </c>
      <c r="B29" s="19">
        <v>194.4</v>
      </c>
      <c r="C29" s="22">
        <v>73</v>
      </c>
      <c r="D29" s="19">
        <v>201.3</v>
      </c>
      <c r="E29" s="22">
        <f t="shared" si="0"/>
        <v>122</v>
      </c>
      <c r="F29" s="19">
        <v>189.8</v>
      </c>
      <c r="G29" s="35">
        <v>171</v>
      </c>
      <c r="H29" s="19">
        <v>199.3</v>
      </c>
      <c r="I29" s="33">
        <v>220</v>
      </c>
      <c r="J29" s="19">
        <v>194.1</v>
      </c>
      <c r="L29" s="22">
        <v>24</v>
      </c>
      <c r="M29" s="19"/>
      <c r="N29" s="22">
        <v>73</v>
      </c>
      <c r="O29" s="19">
        <v>201.3</v>
      </c>
      <c r="P29" s="22">
        <f t="shared" si="1"/>
        <v>122</v>
      </c>
      <c r="Q29" s="19"/>
      <c r="R29" s="35">
        <v>171</v>
      </c>
      <c r="S29" s="19"/>
      <c r="T29" s="33">
        <v>220</v>
      </c>
      <c r="U29" s="19">
        <v>194.1</v>
      </c>
      <c r="W29" s="22">
        <v>24</v>
      </c>
      <c r="X29" s="19">
        <v>194.4</v>
      </c>
      <c r="Y29" s="22">
        <v>73</v>
      </c>
      <c r="Z29" s="19"/>
      <c r="AA29" s="22">
        <f t="shared" si="2"/>
        <v>122</v>
      </c>
      <c r="AB29" s="19">
        <v>189.8</v>
      </c>
      <c r="AC29" s="35">
        <v>171</v>
      </c>
      <c r="AD29" s="19">
        <v>199.3</v>
      </c>
      <c r="AE29" s="33">
        <v>220</v>
      </c>
      <c r="AF29" s="19"/>
    </row>
    <row r="30" spans="1:32" ht="15.75" x14ac:dyDescent="0.25">
      <c r="A30" s="22">
        <v>25</v>
      </c>
      <c r="B30" s="19">
        <v>198.9</v>
      </c>
      <c r="C30" s="22">
        <v>74</v>
      </c>
      <c r="D30" s="19">
        <v>197.1</v>
      </c>
      <c r="E30" s="22">
        <f t="shared" si="0"/>
        <v>123</v>
      </c>
      <c r="F30" s="19">
        <v>204</v>
      </c>
      <c r="G30" s="35">
        <v>172</v>
      </c>
      <c r="H30" s="19">
        <v>199.6</v>
      </c>
      <c r="I30" s="20"/>
      <c r="J30" s="36"/>
      <c r="L30" s="22">
        <v>25</v>
      </c>
      <c r="M30" s="19"/>
      <c r="N30" s="22">
        <v>74</v>
      </c>
      <c r="O30" s="19">
        <v>197.1</v>
      </c>
      <c r="P30" s="22">
        <f t="shared" si="1"/>
        <v>123</v>
      </c>
      <c r="Q30" s="19"/>
      <c r="R30" s="35">
        <v>172</v>
      </c>
      <c r="S30" s="19"/>
      <c r="T30" s="20"/>
      <c r="U30" s="36"/>
      <c r="W30" s="22">
        <v>25</v>
      </c>
      <c r="X30" s="19">
        <v>198.9</v>
      </c>
      <c r="Y30" s="22">
        <v>74</v>
      </c>
      <c r="Z30" s="19"/>
      <c r="AA30" s="22">
        <f t="shared" si="2"/>
        <v>123</v>
      </c>
      <c r="AB30" s="19">
        <v>204</v>
      </c>
      <c r="AC30" s="35">
        <v>172</v>
      </c>
      <c r="AD30" s="19">
        <v>199.6</v>
      </c>
      <c r="AE30" s="20"/>
      <c r="AF30" s="36"/>
    </row>
    <row r="31" spans="1:32" ht="15.75" x14ac:dyDescent="0.25">
      <c r="A31" s="22">
        <v>26</v>
      </c>
      <c r="B31" s="19">
        <v>203.6</v>
      </c>
      <c r="C31" s="22">
        <v>75</v>
      </c>
      <c r="D31" s="19">
        <v>195.3</v>
      </c>
      <c r="E31" s="22">
        <f t="shared" si="0"/>
        <v>124</v>
      </c>
      <c r="F31" s="19">
        <v>196.3</v>
      </c>
      <c r="G31" s="35">
        <v>173</v>
      </c>
      <c r="H31" s="19">
        <v>193.4</v>
      </c>
      <c r="I31" s="20"/>
      <c r="J31" s="36"/>
      <c r="L31" s="22">
        <v>26</v>
      </c>
      <c r="M31" s="19">
        <v>203.6</v>
      </c>
      <c r="N31" s="22">
        <v>75</v>
      </c>
      <c r="O31" s="19">
        <v>195.3</v>
      </c>
      <c r="P31" s="22">
        <f t="shared" si="1"/>
        <v>124</v>
      </c>
      <c r="Q31" s="19"/>
      <c r="R31" s="35">
        <v>173</v>
      </c>
      <c r="S31" s="19"/>
      <c r="T31" s="20"/>
      <c r="U31" s="36"/>
      <c r="W31" s="22">
        <v>26</v>
      </c>
      <c r="X31" s="19"/>
      <c r="Y31" s="22">
        <v>75</v>
      </c>
      <c r="Z31" s="19"/>
      <c r="AA31" s="22">
        <f t="shared" si="2"/>
        <v>124</v>
      </c>
      <c r="AB31" s="19">
        <v>196.3</v>
      </c>
      <c r="AC31" s="35">
        <v>173</v>
      </c>
      <c r="AD31" s="19">
        <v>193.4</v>
      </c>
      <c r="AE31" s="20"/>
      <c r="AF31" s="36"/>
    </row>
    <row r="32" spans="1:32" ht="15.75" x14ac:dyDescent="0.25">
      <c r="A32" s="22">
        <v>27</v>
      </c>
      <c r="B32" s="19">
        <v>205.7</v>
      </c>
      <c r="C32" s="22">
        <v>76</v>
      </c>
      <c r="D32" s="19">
        <v>199</v>
      </c>
      <c r="E32" s="22">
        <f t="shared" si="0"/>
        <v>125</v>
      </c>
      <c r="F32" s="19">
        <v>196.2</v>
      </c>
      <c r="G32" s="33">
        <v>174</v>
      </c>
      <c r="H32" s="19">
        <v>204.3</v>
      </c>
      <c r="I32" s="21"/>
      <c r="J32" s="36"/>
      <c r="L32" s="22">
        <v>27</v>
      </c>
      <c r="M32" s="19">
        <v>205.7</v>
      </c>
      <c r="N32" s="22">
        <v>76</v>
      </c>
      <c r="O32" s="19">
        <v>199</v>
      </c>
      <c r="P32" s="22">
        <f t="shared" si="1"/>
        <v>125</v>
      </c>
      <c r="Q32" s="19"/>
      <c r="R32" s="33">
        <v>174</v>
      </c>
      <c r="S32" s="19"/>
      <c r="T32" s="21"/>
      <c r="U32" s="36"/>
      <c r="W32" s="22">
        <v>27</v>
      </c>
      <c r="X32" s="19"/>
      <c r="Y32" s="22">
        <v>76</v>
      </c>
      <c r="Z32" s="19"/>
      <c r="AA32" s="22">
        <f t="shared" si="2"/>
        <v>125</v>
      </c>
      <c r="AB32" s="19">
        <v>196.2</v>
      </c>
      <c r="AC32" s="33">
        <v>174</v>
      </c>
      <c r="AD32" s="19">
        <v>204.3</v>
      </c>
      <c r="AE32" s="21"/>
      <c r="AF32" s="36"/>
    </row>
    <row r="33" spans="1:32" ht="15.75" x14ac:dyDescent="0.25">
      <c r="A33" s="22">
        <v>28</v>
      </c>
      <c r="B33" s="19">
        <v>199.8</v>
      </c>
      <c r="C33" s="22">
        <v>77</v>
      </c>
      <c r="D33" s="19">
        <v>192.7</v>
      </c>
      <c r="E33" s="22">
        <f t="shared" si="0"/>
        <v>126</v>
      </c>
      <c r="F33" s="19">
        <v>195.6</v>
      </c>
      <c r="G33" s="33">
        <v>175</v>
      </c>
      <c r="H33" s="19">
        <v>198.4</v>
      </c>
      <c r="I33" s="20"/>
      <c r="J33" s="36"/>
      <c r="L33" s="22">
        <v>28</v>
      </c>
      <c r="M33" s="19">
        <v>199.8</v>
      </c>
      <c r="N33" s="22">
        <v>77</v>
      </c>
      <c r="O33" s="19">
        <v>192.7</v>
      </c>
      <c r="P33" s="22">
        <f t="shared" si="1"/>
        <v>126</v>
      </c>
      <c r="Q33" s="19"/>
      <c r="R33" s="33">
        <v>175</v>
      </c>
      <c r="S33" s="19"/>
      <c r="T33" s="20"/>
      <c r="U33" s="36"/>
      <c r="W33" s="22">
        <v>28</v>
      </c>
      <c r="X33" s="19"/>
      <c r="Y33" s="22">
        <v>77</v>
      </c>
      <c r="Z33" s="19"/>
      <c r="AA33" s="22">
        <f t="shared" si="2"/>
        <v>126</v>
      </c>
      <c r="AB33" s="19">
        <v>195.6</v>
      </c>
      <c r="AC33" s="33">
        <v>175</v>
      </c>
      <c r="AD33" s="19">
        <v>198.4</v>
      </c>
      <c r="AE33" s="20"/>
      <c r="AF33" s="36"/>
    </row>
    <row r="34" spans="1:32" ht="15.75" x14ac:dyDescent="0.25">
      <c r="A34" s="22">
        <v>29</v>
      </c>
      <c r="B34" s="19">
        <v>202.6</v>
      </c>
      <c r="C34" s="22">
        <v>78</v>
      </c>
      <c r="D34" s="19">
        <v>195.1</v>
      </c>
      <c r="E34" s="22">
        <f t="shared" si="0"/>
        <v>127</v>
      </c>
      <c r="F34" s="19">
        <v>190.9</v>
      </c>
      <c r="G34" s="33">
        <v>176</v>
      </c>
      <c r="H34" s="19">
        <v>198.5</v>
      </c>
      <c r="I34" s="20"/>
      <c r="J34" s="36"/>
      <c r="L34" s="22">
        <v>29</v>
      </c>
      <c r="M34" s="19">
        <v>202.6</v>
      </c>
      <c r="N34" s="22">
        <v>78</v>
      </c>
      <c r="O34" s="19">
        <v>195.1</v>
      </c>
      <c r="P34" s="22">
        <f t="shared" si="1"/>
        <v>127</v>
      </c>
      <c r="Q34" s="19"/>
      <c r="R34" s="33">
        <v>176</v>
      </c>
      <c r="S34" s="19"/>
      <c r="T34" s="20"/>
      <c r="U34" s="36"/>
      <c r="W34" s="22">
        <v>29</v>
      </c>
      <c r="X34" s="19"/>
      <c r="Y34" s="22">
        <v>78</v>
      </c>
      <c r="Z34" s="19"/>
      <c r="AA34" s="22">
        <f t="shared" si="2"/>
        <v>127</v>
      </c>
      <c r="AB34" s="19">
        <v>190.9</v>
      </c>
      <c r="AC34" s="33">
        <v>176</v>
      </c>
      <c r="AD34" s="19">
        <v>198.5</v>
      </c>
      <c r="AE34" s="20"/>
      <c r="AF34" s="36"/>
    </row>
    <row r="35" spans="1:32" ht="15.75" x14ac:dyDescent="0.25">
      <c r="A35" s="22">
        <v>30</v>
      </c>
      <c r="B35" s="19">
        <v>201</v>
      </c>
      <c r="C35" s="22">
        <v>79</v>
      </c>
      <c r="D35" s="19">
        <v>192</v>
      </c>
      <c r="E35" s="22">
        <f t="shared" si="0"/>
        <v>128</v>
      </c>
      <c r="F35" s="19">
        <v>196.2</v>
      </c>
      <c r="G35" s="33">
        <v>177</v>
      </c>
      <c r="H35" s="19">
        <v>198.7</v>
      </c>
      <c r="I35" s="21"/>
      <c r="J35" s="36"/>
      <c r="L35" s="22">
        <v>30</v>
      </c>
      <c r="M35" s="19">
        <v>201</v>
      </c>
      <c r="N35" s="22">
        <v>79</v>
      </c>
      <c r="O35" s="19">
        <v>192</v>
      </c>
      <c r="P35" s="22">
        <f t="shared" si="1"/>
        <v>128</v>
      </c>
      <c r="Q35" s="19"/>
      <c r="R35" s="33">
        <v>177</v>
      </c>
      <c r="S35" s="19"/>
      <c r="T35" s="21"/>
      <c r="U35" s="36"/>
      <c r="W35" s="22">
        <v>30</v>
      </c>
      <c r="X35" s="19"/>
      <c r="Y35" s="22">
        <v>79</v>
      </c>
      <c r="Z35" s="19"/>
      <c r="AA35" s="22">
        <f t="shared" si="2"/>
        <v>128</v>
      </c>
      <c r="AB35" s="19">
        <v>196.2</v>
      </c>
      <c r="AC35" s="33">
        <v>177</v>
      </c>
      <c r="AD35" s="19">
        <v>198.7</v>
      </c>
      <c r="AE35" s="21"/>
      <c r="AF35" s="36"/>
    </row>
    <row r="36" spans="1:32" ht="15.75" x14ac:dyDescent="0.25">
      <c r="A36" s="22">
        <v>31</v>
      </c>
      <c r="B36" s="19">
        <v>198.4</v>
      </c>
      <c r="C36" s="22">
        <v>80</v>
      </c>
      <c r="D36" s="19">
        <v>201.4</v>
      </c>
      <c r="E36" s="22">
        <f t="shared" si="0"/>
        <v>129</v>
      </c>
      <c r="F36" s="19">
        <v>197.5</v>
      </c>
      <c r="G36" s="33">
        <v>178</v>
      </c>
      <c r="H36" s="19">
        <v>201</v>
      </c>
      <c r="I36" s="20"/>
      <c r="J36" s="36"/>
      <c r="L36" s="22">
        <v>31</v>
      </c>
      <c r="M36" s="19">
        <v>198.4</v>
      </c>
      <c r="N36" s="22">
        <v>80</v>
      </c>
      <c r="O36" s="19">
        <v>201.4</v>
      </c>
      <c r="P36" s="22">
        <f t="shared" si="1"/>
        <v>129</v>
      </c>
      <c r="Q36" s="19"/>
      <c r="R36" s="33">
        <v>178</v>
      </c>
      <c r="S36" s="19"/>
      <c r="T36" s="20"/>
      <c r="U36" s="36"/>
      <c r="W36" s="22">
        <v>31</v>
      </c>
      <c r="X36" s="19"/>
      <c r="Y36" s="22">
        <v>80</v>
      </c>
      <c r="Z36" s="19"/>
      <c r="AA36" s="22">
        <f t="shared" si="2"/>
        <v>129</v>
      </c>
      <c r="AB36" s="19">
        <v>197.5</v>
      </c>
      <c r="AC36" s="33">
        <v>178</v>
      </c>
      <c r="AD36" s="19">
        <v>201</v>
      </c>
      <c r="AE36" s="20"/>
      <c r="AF36" s="36"/>
    </row>
    <row r="37" spans="1:32" ht="15.75" x14ac:dyDescent="0.25">
      <c r="A37" s="22">
        <v>32</v>
      </c>
      <c r="B37" s="19">
        <v>203.7</v>
      </c>
      <c r="C37" s="22">
        <v>81</v>
      </c>
      <c r="D37" s="19">
        <v>199.3</v>
      </c>
      <c r="E37" s="22">
        <f t="shared" si="0"/>
        <v>130</v>
      </c>
      <c r="F37" s="19">
        <v>195.7</v>
      </c>
      <c r="G37" s="33">
        <v>179</v>
      </c>
      <c r="H37" s="19">
        <v>200.4</v>
      </c>
      <c r="I37" s="20"/>
      <c r="J37" s="36"/>
      <c r="L37" s="22">
        <v>32</v>
      </c>
      <c r="M37" s="19">
        <v>203.7</v>
      </c>
      <c r="N37" s="22">
        <v>81</v>
      </c>
      <c r="O37" s="19">
        <v>199.3</v>
      </c>
      <c r="P37" s="22">
        <f t="shared" si="1"/>
        <v>130</v>
      </c>
      <c r="Q37" s="19"/>
      <c r="R37" s="33">
        <v>179</v>
      </c>
      <c r="S37" s="19"/>
      <c r="T37" s="20"/>
      <c r="U37" s="36"/>
      <c r="W37" s="22">
        <v>32</v>
      </c>
      <c r="X37" s="19"/>
      <c r="Y37" s="22">
        <v>81</v>
      </c>
      <c r="Z37" s="19"/>
      <c r="AA37" s="22">
        <f t="shared" si="2"/>
        <v>130</v>
      </c>
      <c r="AB37" s="19">
        <v>195.7</v>
      </c>
      <c r="AC37" s="33">
        <v>179</v>
      </c>
      <c r="AD37" s="19">
        <v>200.4</v>
      </c>
      <c r="AE37" s="20"/>
      <c r="AF37" s="36"/>
    </row>
    <row r="38" spans="1:32" ht="15.75" x14ac:dyDescent="0.25">
      <c r="A38" s="22">
        <v>33</v>
      </c>
      <c r="B38" s="19">
        <v>196.9</v>
      </c>
      <c r="C38" s="22">
        <v>82</v>
      </c>
      <c r="D38" s="19">
        <v>199.1</v>
      </c>
      <c r="E38" s="22">
        <f t="shared" si="0"/>
        <v>131</v>
      </c>
      <c r="F38" s="19">
        <v>199.4</v>
      </c>
      <c r="G38" s="33">
        <v>180</v>
      </c>
      <c r="H38" s="19">
        <v>196.3</v>
      </c>
      <c r="I38" s="21"/>
      <c r="J38" s="36"/>
      <c r="L38" s="22">
        <v>33</v>
      </c>
      <c r="M38" s="19">
        <v>196.9</v>
      </c>
      <c r="N38" s="22">
        <v>82</v>
      </c>
      <c r="O38" s="19">
        <v>199.1</v>
      </c>
      <c r="P38" s="22">
        <f t="shared" si="1"/>
        <v>131</v>
      </c>
      <c r="Q38" s="19"/>
      <c r="R38" s="33">
        <v>180</v>
      </c>
      <c r="S38" s="19"/>
      <c r="T38" s="21"/>
      <c r="U38" s="36"/>
      <c r="W38" s="22">
        <v>33</v>
      </c>
      <c r="X38" s="19"/>
      <c r="Y38" s="22">
        <v>82</v>
      </c>
      <c r="Z38" s="19"/>
      <c r="AA38" s="22">
        <f t="shared" si="2"/>
        <v>131</v>
      </c>
      <c r="AB38" s="19">
        <v>199.4</v>
      </c>
      <c r="AC38" s="33">
        <v>180</v>
      </c>
      <c r="AD38" s="19">
        <v>196.3</v>
      </c>
      <c r="AE38" s="21"/>
      <c r="AF38" s="36"/>
    </row>
    <row r="39" spans="1:32" ht="15.75" x14ac:dyDescent="0.25">
      <c r="A39" s="22">
        <v>34</v>
      </c>
      <c r="B39" s="19">
        <v>199.4</v>
      </c>
      <c r="C39" s="22">
        <v>83</v>
      </c>
      <c r="D39" s="19">
        <v>202</v>
      </c>
      <c r="E39" s="22">
        <f t="shared" si="0"/>
        <v>132</v>
      </c>
      <c r="F39" s="19">
        <v>199.9</v>
      </c>
      <c r="G39" s="33">
        <v>181</v>
      </c>
      <c r="H39" s="19">
        <v>191</v>
      </c>
      <c r="I39" s="21"/>
      <c r="J39" s="36"/>
      <c r="L39" s="22">
        <v>34</v>
      </c>
      <c r="M39" s="19">
        <v>199.4</v>
      </c>
      <c r="N39" s="22">
        <v>83</v>
      </c>
      <c r="O39" s="19">
        <v>202</v>
      </c>
      <c r="P39" s="22">
        <f t="shared" si="1"/>
        <v>132</v>
      </c>
      <c r="Q39" s="19"/>
      <c r="R39" s="33">
        <v>181</v>
      </c>
      <c r="S39" s="19"/>
      <c r="T39" s="21"/>
      <c r="U39" s="36"/>
      <c r="W39" s="22">
        <v>34</v>
      </c>
      <c r="X39" s="19"/>
      <c r="Y39" s="22">
        <v>83</v>
      </c>
      <c r="Z39" s="19"/>
      <c r="AA39" s="22">
        <f t="shared" si="2"/>
        <v>132</v>
      </c>
      <c r="AB39" s="19">
        <v>199.9</v>
      </c>
      <c r="AC39" s="33">
        <v>181</v>
      </c>
      <c r="AD39" s="19">
        <v>191</v>
      </c>
      <c r="AE39" s="21"/>
      <c r="AF39" s="36"/>
    </row>
    <row r="40" spans="1:32" ht="15.75" x14ac:dyDescent="0.25">
      <c r="A40" s="22">
        <v>35</v>
      </c>
      <c r="B40" s="19">
        <v>202.3</v>
      </c>
      <c r="C40" s="22">
        <v>84</v>
      </c>
      <c r="D40" s="19">
        <v>197.6</v>
      </c>
      <c r="E40" s="22">
        <f t="shared" si="0"/>
        <v>133</v>
      </c>
      <c r="F40" s="19">
        <v>191.5</v>
      </c>
      <c r="G40" s="33">
        <v>182</v>
      </c>
      <c r="H40" s="19">
        <v>197.3</v>
      </c>
      <c r="I40" s="20"/>
      <c r="J40" s="36"/>
      <c r="L40" s="22">
        <v>35</v>
      </c>
      <c r="M40" s="19">
        <v>202.3</v>
      </c>
      <c r="N40" s="22">
        <v>84</v>
      </c>
      <c r="O40" s="19">
        <v>197.6</v>
      </c>
      <c r="P40" s="22">
        <f t="shared" si="1"/>
        <v>133</v>
      </c>
      <c r="Q40" s="19"/>
      <c r="R40" s="33">
        <v>182</v>
      </c>
      <c r="S40" s="19"/>
      <c r="T40" s="20"/>
      <c r="U40" s="36"/>
      <c r="W40" s="22">
        <v>35</v>
      </c>
      <c r="X40" s="19"/>
      <c r="Y40" s="22">
        <v>84</v>
      </c>
      <c r="Z40" s="19"/>
      <c r="AA40" s="22">
        <f t="shared" si="2"/>
        <v>133</v>
      </c>
      <c r="AB40" s="19">
        <v>191.5</v>
      </c>
      <c r="AC40" s="33">
        <v>182</v>
      </c>
      <c r="AD40" s="19">
        <v>197.3</v>
      </c>
      <c r="AE40" s="20"/>
      <c r="AF40" s="36"/>
    </row>
    <row r="41" spans="1:32" ht="15.75" x14ac:dyDescent="0.25">
      <c r="A41" s="22">
        <v>36</v>
      </c>
      <c r="B41" s="19">
        <v>203.6</v>
      </c>
      <c r="C41" s="22">
        <v>85</v>
      </c>
      <c r="D41" s="19">
        <v>199.5</v>
      </c>
      <c r="E41" s="22">
        <f t="shared" si="0"/>
        <v>134</v>
      </c>
      <c r="F41" s="19">
        <v>203.5</v>
      </c>
      <c r="G41" s="33">
        <v>183</v>
      </c>
      <c r="H41" s="19">
        <v>193.6</v>
      </c>
      <c r="I41" s="20"/>
      <c r="J41" s="36"/>
      <c r="L41" s="22">
        <v>36</v>
      </c>
      <c r="M41" s="19">
        <v>203.6</v>
      </c>
      <c r="N41" s="22">
        <v>85</v>
      </c>
      <c r="O41" s="19">
        <v>199.5</v>
      </c>
      <c r="P41" s="22">
        <f t="shared" si="1"/>
        <v>134</v>
      </c>
      <c r="Q41" s="19"/>
      <c r="R41" s="33">
        <v>183</v>
      </c>
      <c r="S41" s="19"/>
      <c r="T41" s="20"/>
      <c r="U41" s="36"/>
      <c r="W41" s="22">
        <v>36</v>
      </c>
      <c r="X41" s="19"/>
      <c r="Y41" s="22">
        <v>85</v>
      </c>
      <c r="Z41" s="19"/>
      <c r="AA41" s="22">
        <f t="shared" si="2"/>
        <v>134</v>
      </c>
      <c r="AB41" s="19">
        <v>203.5</v>
      </c>
      <c r="AC41" s="33">
        <v>183</v>
      </c>
      <c r="AD41" s="19">
        <v>193.6</v>
      </c>
      <c r="AE41" s="20"/>
      <c r="AF41" s="36"/>
    </row>
    <row r="42" spans="1:32" ht="15.75" x14ac:dyDescent="0.25">
      <c r="A42" s="22">
        <v>37</v>
      </c>
      <c r="B42" s="19">
        <v>201.3</v>
      </c>
      <c r="C42" s="22">
        <v>86</v>
      </c>
      <c r="D42" s="19">
        <v>198.7</v>
      </c>
      <c r="E42" s="22">
        <f t="shared" si="0"/>
        <v>135</v>
      </c>
      <c r="F42" s="19">
        <v>200.6</v>
      </c>
      <c r="G42" s="33">
        <v>184</v>
      </c>
      <c r="H42" s="19">
        <v>203.7</v>
      </c>
      <c r="I42" s="21"/>
      <c r="J42" s="36"/>
      <c r="L42" s="22">
        <v>37</v>
      </c>
      <c r="M42" s="19">
        <v>201.3</v>
      </c>
      <c r="N42" s="22">
        <v>86</v>
      </c>
      <c r="O42" s="19"/>
      <c r="P42" s="22">
        <f t="shared" si="1"/>
        <v>135</v>
      </c>
      <c r="Q42" s="19"/>
      <c r="R42" s="33">
        <v>184</v>
      </c>
      <c r="S42" s="19"/>
      <c r="T42" s="21"/>
      <c r="U42" s="36"/>
      <c r="W42" s="22">
        <v>37</v>
      </c>
      <c r="X42" s="19"/>
      <c r="Y42" s="22">
        <v>86</v>
      </c>
      <c r="Z42" s="19">
        <v>198.7</v>
      </c>
      <c r="AA42" s="22">
        <f t="shared" si="2"/>
        <v>135</v>
      </c>
      <c r="AB42" s="19">
        <v>200.6</v>
      </c>
      <c r="AC42" s="33">
        <v>184</v>
      </c>
      <c r="AD42" s="19">
        <v>203.7</v>
      </c>
      <c r="AE42" s="21"/>
      <c r="AF42" s="36"/>
    </row>
    <row r="43" spans="1:32" ht="15.75" x14ac:dyDescent="0.25">
      <c r="A43" s="22">
        <v>38</v>
      </c>
      <c r="B43" s="19">
        <v>200.3</v>
      </c>
      <c r="C43" s="22">
        <v>87</v>
      </c>
      <c r="D43" s="19">
        <v>195.6</v>
      </c>
      <c r="E43" s="22">
        <f t="shared" si="0"/>
        <v>136</v>
      </c>
      <c r="F43" s="19">
        <v>198.4</v>
      </c>
      <c r="G43" s="33">
        <v>185</v>
      </c>
      <c r="H43" s="19">
        <v>216</v>
      </c>
      <c r="I43" s="20"/>
      <c r="J43" s="36"/>
      <c r="L43" s="22">
        <v>38</v>
      </c>
      <c r="M43" s="19">
        <v>200.3</v>
      </c>
      <c r="N43" s="22">
        <v>87</v>
      </c>
      <c r="O43" s="19"/>
      <c r="P43" s="22">
        <f t="shared" si="1"/>
        <v>136</v>
      </c>
      <c r="Q43" s="19"/>
      <c r="R43" s="33">
        <v>185</v>
      </c>
      <c r="S43" s="19"/>
      <c r="T43" s="20"/>
      <c r="U43" s="36"/>
      <c r="W43" s="22">
        <v>38</v>
      </c>
      <c r="X43" s="19"/>
      <c r="Y43" s="22">
        <v>87</v>
      </c>
      <c r="Z43" s="19">
        <v>195.6</v>
      </c>
      <c r="AA43" s="22">
        <f t="shared" si="2"/>
        <v>136</v>
      </c>
      <c r="AB43" s="19">
        <v>198.4</v>
      </c>
      <c r="AC43" s="33">
        <v>185</v>
      </c>
      <c r="AD43" s="19">
        <v>216</v>
      </c>
      <c r="AE43" s="20"/>
      <c r="AF43" s="36"/>
    </row>
    <row r="44" spans="1:32" ht="15.75" x14ac:dyDescent="0.25">
      <c r="A44" s="22">
        <v>39</v>
      </c>
      <c r="B44" s="19">
        <v>201.3</v>
      </c>
      <c r="C44" s="22">
        <v>88</v>
      </c>
      <c r="D44" s="19">
        <v>205.1</v>
      </c>
      <c r="E44" s="22">
        <f t="shared" si="0"/>
        <v>137</v>
      </c>
      <c r="F44" s="19">
        <v>195.2</v>
      </c>
      <c r="G44" s="33">
        <v>186</v>
      </c>
      <c r="H44" s="19">
        <v>218.8</v>
      </c>
      <c r="I44" s="20"/>
      <c r="J44" s="36"/>
      <c r="L44" s="22">
        <v>39</v>
      </c>
      <c r="M44" s="19">
        <v>201.3</v>
      </c>
      <c r="N44" s="22">
        <v>88</v>
      </c>
      <c r="O44" s="19"/>
      <c r="P44" s="22">
        <f t="shared" si="1"/>
        <v>137</v>
      </c>
      <c r="Q44" s="19"/>
      <c r="R44" s="33">
        <v>186</v>
      </c>
      <c r="S44" s="19"/>
      <c r="T44" s="20"/>
      <c r="U44" s="36"/>
      <c r="W44" s="22">
        <v>39</v>
      </c>
      <c r="X44" s="19"/>
      <c r="Y44" s="22">
        <v>88</v>
      </c>
      <c r="Z44" s="19">
        <v>205.1</v>
      </c>
      <c r="AA44" s="22">
        <f t="shared" si="2"/>
        <v>137</v>
      </c>
      <c r="AB44" s="19">
        <v>195.2</v>
      </c>
      <c r="AC44" s="33">
        <v>186</v>
      </c>
      <c r="AD44" s="19">
        <v>218.8</v>
      </c>
      <c r="AE44" s="20"/>
      <c r="AF44" s="36"/>
    </row>
    <row r="45" spans="1:32" ht="15.75" x14ac:dyDescent="0.25">
      <c r="A45" s="22">
        <v>40</v>
      </c>
      <c r="B45" s="19">
        <v>200</v>
      </c>
      <c r="C45" s="22">
        <v>89</v>
      </c>
      <c r="D45" s="19">
        <v>206.7</v>
      </c>
      <c r="E45" s="22">
        <f t="shared" si="0"/>
        <v>138</v>
      </c>
      <c r="F45" s="19">
        <v>196.8</v>
      </c>
      <c r="G45" s="33">
        <v>187</v>
      </c>
      <c r="H45" s="19">
        <v>208.8</v>
      </c>
      <c r="I45" s="21"/>
      <c r="J45" s="36"/>
      <c r="L45" s="22">
        <v>40</v>
      </c>
      <c r="M45" s="19">
        <v>200</v>
      </c>
      <c r="N45" s="22">
        <v>89</v>
      </c>
      <c r="O45" s="19"/>
      <c r="P45" s="22">
        <f t="shared" si="1"/>
        <v>138</v>
      </c>
      <c r="Q45" s="19"/>
      <c r="R45" s="33">
        <v>187</v>
      </c>
      <c r="S45" s="19"/>
      <c r="T45" s="21"/>
      <c r="U45" s="36"/>
      <c r="W45" s="22">
        <v>40</v>
      </c>
      <c r="X45" s="19"/>
      <c r="Y45" s="22">
        <v>89</v>
      </c>
      <c r="Z45" s="19">
        <v>206.7</v>
      </c>
      <c r="AA45" s="22">
        <f t="shared" si="2"/>
        <v>138</v>
      </c>
      <c r="AB45" s="19">
        <v>196.8</v>
      </c>
      <c r="AC45" s="33">
        <v>187</v>
      </c>
      <c r="AD45" s="19">
        <v>208.8</v>
      </c>
      <c r="AE45" s="21"/>
      <c r="AF45" s="36"/>
    </row>
    <row r="46" spans="1:32" ht="15.75" x14ac:dyDescent="0.25">
      <c r="A46" s="22">
        <v>41</v>
      </c>
      <c r="B46" s="19">
        <v>197.8</v>
      </c>
      <c r="C46" s="22">
        <v>90</v>
      </c>
      <c r="D46" s="19">
        <v>205.8</v>
      </c>
      <c r="E46" s="22">
        <f t="shared" si="0"/>
        <v>139</v>
      </c>
      <c r="F46" s="19">
        <v>201.6</v>
      </c>
      <c r="G46" s="33">
        <v>188</v>
      </c>
      <c r="H46" s="19">
        <v>212.6</v>
      </c>
      <c r="I46" s="20"/>
      <c r="J46" s="36"/>
      <c r="L46" s="22">
        <v>41</v>
      </c>
      <c r="M46" s="19">
        <v>197.8</v>
      </c>
      <c r="N46" s="22">
        <v>90</v>
      </c>
      <c r="O46" s="19"/>
      <c r="P46" s="22">
        <f t="shared" si="1"/>
        <v>139</v>
      </c>
      <c r="Q46" s="19"/>
      <c r="R46" s="33">
        <v>188</v>
      </c>
      <c r="S46" s="19"/>
      <c r="T46" s="20"/>
      <c r="U46" s="36"/>
      <c r="W46" s="22">
        <v>41</v>
      </c>
      <c r="X46" s="19"/>
      <c r="Y46" s="22">
        <v>90</v>
      </c>
      <c r="Z46" s="19">
        <v>205.8</v>
      </c>
      <c r="AA46" s="22">
        <f t="shared" si="2"/>
        <v>139</v>
      </c>
      <c r="AB46" s="19">
        <v>201.6</v>
      </c>
      <c r="AC46" s="33">
        <v>188</v>
      </c>
      <c r="AD46" s="19">
        <v>212.6</v>
      </c>
      <c r="AE46" s="20"/>
      <c r="AF46" s="36"/>
    </row>
    <row r="47" spans="1:32" ht="15.75" x14ac:dyDescent="0.25">
      <c r="A47" s="22">
        <v>42</v>
      </c>
      <c r="B47" s="19">
        <v>201.1</v>
      </c>
      <c r="C47" s="22">
        <v>91</v>
      </c>
      <c r="D47" s="19">
        <v>207.3</v>
      </c>
      <c r="E47" s="22">
        <f t="shared" si="0"/>
        <v>140</v>
      </c>
      <c r="F47" s="19">
        <v>205.3</v>
      </c>
      <c r="G47" s="33">
        <v>189</v>
      </c>
      <c r="H47" s="19">
        <v>213.6</v>
      </c>
      <c r="I47" s="20"/>
      <c r="J47" s="36"/>
      <c r="L47" s="22">
        <v>42</v>
      </c>
      <c r="M47" s="19">
        <v>201.1</v>
      </c>
      <c r="N47" s="22">
        <v>91</v>
      </c>
      <c r="O47" s="19"/>
      <c r="P47" s="22">
        <f t="shared" si="1"/>
        <v>140</v>
      </c>
      <c r="Q47" s="19"/>
      <c r="R47" s="33">
        <v>189</v>
      </c>
      <c r="S47" s="19"/>
      <c r="T47" s="20"/>
      <c r="U47" s="36"/>
      <c r="W47" s="22">
        <v>42</v>
      </c>
      <c r="X47" s="19"/>
      <c r="Y47" s="22">
        <v>91</v>
      </c>
      <c r="Z47" s="19">
        <v>207.3</v>
      </c>
      <c r="AA47" s="22">
        <f t="shared" si="2"/>
        <v>140</v>
      </c>
      <c r="AB47" s="19">
        <v>205.3</v>
      </c>
      <c r="AC47" s="33">
        <v>189</v>
      </c>
      <c r="AD47" s="19">
        <v>213.6</v>
      </c>
      <c r="AE47" s="20"/>
      <c r="AF47" s="36"/>
    </row>
    <row r="48" spans="1:32" ht="15.75" x14ac:dyDescent="0.25">
      <c r="A48" s="22">
        <v>43</v>
      </c>
      <c r="B48" s="19">
        <v>196.4</v>
      </c>
      <c r="C48" s="22">
        <v>92</v>
      </c>
      <c r="D48" s="19">
        <v>206.2</v>
      </c>
      <c r="E48" s="22">
        <f t="shared" si="0"/>
        <v>141</v>
      </c>
      <c r="F48" s="19">
        <v>197.9</v>
      </c>
      <c r="G48" s="33">
        <v>190</v>
      </c>
      <c r="H48" s="19">
        <v>216.7</v>
      </c>
      <c r="I48" s="21"/>
      <c r="J48" s="36"/>
      <c r="L48" s="22">
        <v>43</v>
      </c>
      <c r="M48" s="19">
        <v>196.4</v>
      </c>
      <c r="N48" s="22">
        <v>92</v>
      </c>
      <c r="O48" s="19"/>
      <c r="P48" s="22">
        <f t="shared" si="1"/>
        <v>141</v>
      </c>
      <c r="Q48" s="19"/>
      <c r="R48" s="33">
        <v>190</v>
      </c>
      <c r="S48" s="19"/>
      <c r="T48" s="21"/>
      <c r="U48" s="36"/>
      <c r="W48" s="22">
        <v>43</v>
      </c>
      <c r="X48" s="19"/>
      <c r="Y48" s="22">
        <v>92</v>
      </c>
      <c r="Z48" s="19">
        <v>206.2</v>
      </c>
      <c r="AA48" s="22">
        <f t="shared" si="2"/>
        <v>141</v>
      </c>
      <c r="AB48" s="19">
        <v>197.9</v>
      </c>
      <c r="AC48" s="33">
        <v>190</v>
      </c>
      <c r="AD48" s="19">
        <v>216.7</v>
      </c>
      <c r="AE48" s="21"/>
      <c r="AF48" s="36"/>
    </row>
    <row r="49" spans="1:32" ht="15.75" x14ac:dyDescent="0.25">
      <c r="A49" s="22">
        <v>44</v>
      </c>
      <c r="B49" s="19">
        <v>197</v>
      </c>
      <c r="C49" s="22">
        <v>93</v>
      </c>
      <c r="D49" s="19">
        <v>208.1</v>
      </c>
      <c r="E49" s="22">
        <f t="shared" si="0"/>
        <v>142</v>
      </c>
      <c r="F49" s="19">
        <v>202.5</v>
      </c>
      <c r="G49" s="33">
        <v>191</v>
      </c>
      <c r="H49" s="19">
        <v>220.4</v>
      </c>
      <c r="I49" s="21"/>
      <c r="J49" s="36"/>
      <c r="L49" s="22">
        <v>44</v>
      </c>
      <c r="M49" s="19">
        <v>197</v>
      </c>
      <c r="N49" s="22">
        <v>93</v>
      </c>
      <c r="O49" s="19"/>
      <c r="P49" s="22">
        <f t="shared" si="1"/>
        <v>142</v>
      </c>
      <c r="Q49" s="19"/>
      <c r="R49" s="33">
        <v>191</v>
      </c>
      <c r="S49" s="19"/>
      <c r="T49" s="21"/>
      <c r="U49" s="36"/>
      <c r="W49" s="22">
        <v>44</v>
      </c>
      <c r="X49" s="19"/>
      <c r="Y49" s="22">
        <v>93</v>
      </c>
      <c r="Z49" s="19">
        <v>208.1</v>
      </c>
      <c r="AA49" s="22">
        <f t="shared" si="2"/>
        <v>142</v>
      </c>
      <c r="AB49" s="19">
        <v>202.5</v>
      </c>
      <c r="AC49" s="33">
        <v>191</v>
      </c>
      <c r="AD49" s="19">
        <v>220.4</v>
      </c>
      <c r="AE49" s="21"/>
      <c r="AF49" s="36"/>
    </row>
    <row r="50" spans="1:32" ht="15.75" x14ac:dyDescent="0.25">
      <c r="A50" s="22">
        <v>45</v>
      </c>
      <c r="B50" s="19">
        <v>196.1</v>
      </c>
      <c r="C50" s="22">
        <v>94</v>
      </c>
      <c r="D50" s="19">
        <v>206.8</v>
      </c>
      <c r="E50" s="22">
        <f t="shared" si="0"/>
        <v>143</v>
      </c>
      <c r="F50" s="19">
        <v>203.9</v>
      </c>
      <c r="G50" s="33">
        <v>192</v>
      </c>
      <c r="H50" s="19">
        <v>219.8</v>
      </c>
      <c r="I50" s="20"/>
      <c r="J50" s="36"/>
      <c r="L50" s="22">
        <v>45</v>
      </c>
      <c r="M50" s="19">
        <v>196.1</v>
      </c>
      <c r="N50" s="22">
        <v>94</v>
      </c>
      <c r="O50" s="19"/>
      <c r="P50" s="22">
        <f t="shared" si="1"/>
        <v>143</v>
      </c>
      <c r="Q50" s="19"/>
      <c r="R50" s="33">
        <v>192</v>
      </c>
      <c r="S50" s="19"/>
      <c r="T50" s="20"/>
      <c r="U50" s="36"/>
      <c r="W50" s="22">
        <v>45</v>
      </c>
      <c r="X50" s="19"/>
      <c r="Y50" s="22">
        <v>94</v>
      </c>
      <c r="Z50" s="19">
        <v>206.8</v>
      </c>
      <c r="AA50" s="22">
        <f t="shared" si="2"/>
        <v>143</v>
      </c>
      <c r="AB50" s="19">
        <v>203.9</v>
      </c>
      <c r="AC50" s="33">
        <v>192</v>
      </c>
      <c r="AD50" s="19">
        <v>219.8</v>
      </c>
      <c r="AE50" s="20"/>
      <c r="AF50" s="36"/>
    </row>
    <row r="51" spans="1:32" ht="15.75" x14ac:dyDescent="0.25">
      <c r="A51" s="22">
        <v>46</v>
      </c>
      <c r="B51" s="19">
        <v>200.7</v>
      </c>
      <c r="C51" s="22">
        <v>95</v>
      </c>
      <c r="D51" s="19">
        <v>199</v>
      </c>
      <c r="E51" s="22">
        <f t="shared" si="0"/>
        <v>144</v>
      </c>
      <c r="F51" s="19">
        <v>198.5</v>
      </c>
      <c r="G51" s="33">
        <v>193</v>
      </c>
      <c r="H51" s="19">
        <v>213.7</v>
      </c>
      <c r="I51" s="20"/>
      <c r="J51" s="36"/>
      <c r="L51" s="22">
        <v>46</v>
      </c>
      <c r="M51" s="19">
        <v>200.7</v>
      </c>
      <c r="N51" s="22">
        <v>95</v>
      </c>
      <c r="O51" s="19"/>
      <c r="P51" s="22">
        <f t="shared" si="1"/>
        <v>144</v>
      </c>
      <c r="Q51" s="19"/>
      <c r="R51" s="33">
        <v>193</v>
      </c>
      <c r="S51" s="19"/>
      <c r="T51" s="20"/>
      <c r="U51" s="36"/>
      <c r="W51" s="22">
        <v>46</v>
      </c>
      <c r="X51" s="19"/>
      <c r="Y51" s="22">
        <v>95</v>
      </c>
      <c r="Z51" s="19">
        <v>199</v>
      </c>
      <c r="AA51" s="22">
        <f t="shared" si="2"/>
        <v>144</v>
      </c>
      <c r="AB51" s="19">
        <v>198.5</v>
      </c>
      <c r="AC51" s="33">
        <v>193</v>
      </c>
      <c r="AD51" s="19">
        <v>213.7</v>
      </c>
      <c r="AE51" s="20"/>
      <c r="AF51" s="36"/>
    </row>
    <row r="52" spans="1:32" ht="15.75" x14ac:dyDescent="0.25">
      <c r="A52" s="22">
        <v>47</v>
      </c>
      <c r="B52" s="19">
        <v>203.1</v>
      </c>
      <c r="C52" s="22">
        <v>96</v>
      </c>
      <c r="D52" s="19">
        <v>188.2</v>
      </c>
      <c r="E52" s="22">
        <f t="shared" si="0"/>
        <v>145</v>
      </c>
      <c r="F52" s="19">
        <v>199.2</v>
      </c>
      <c r="G52" s="33">
        <v>194</v>
      </c>
      <c r="H52" s="19">
        <v>211.2</v>
      </c>
      <c r="I52" s="21"/>
      <c r="J52" s="36"/>
      <c r="L52" s="22">
        <v>47</v>
      </c>
      <c r="M52" s="19">
        <v>203.1</v>
      </c>
      <c r="N52" s="22">
        <v>96</v>
      </c>
      <c r="O52" s="19"/>
      <c r="P52" s="22">
        <f t="shared" si="1"/>
        <v>145</v>
      </c>
      <c r="Q52" s="19"/>
      <c r="R52" s="33">
        <v>194</v>
      </c>
      <c r="S52" s="19"/>
      <c r="T52" s="21"/>
      <c r="U52" s="36"/>
      <c r="W52" s="22">
        <v>47</v>
      </c>
      <c r="X52" s="19"/>
      <c r="Y52" s="22">
        <v>96</v>
      </c>
      <c r="Z52" s="19">
        <v>188.2</v>
      </c>
      <c r="AA52" s="22">
        <f t="shared" si="2"/>
        <v>145</v>
      </c>
      <c r="AB52" s="19">
        <v>199.2</v>
      </c>
      <c r="AC52" s="33">
        <v>194</v>
      </c>
      <c r="AD52" s="19">
        <v>211.2</v>
      </c>
      <c r="AE52" s="21"/>
      <c r="AF52" s="36"/>
    </row>
    <row r="53" spans="1:32" ht="15.75" x14ac:dyDescent="0.25">
      <c r="A53" s="22">
        <v>48</v>
      </c>
      <c r="B53" s="19">
        <v>203.8</v>
      </c>
      <c r="C53" s="22">
        <v>97</v>
      </c>
      <c r="D53" s="19">
        <v>198.5</v>
      </c>
      <c r="E53" s="22">
        <f t="shared" si="0"/>
        <v>146</v>
      </c>
      <c r="F53" s="19">
        <v>200.3</v>
      </c>
      <c r="G53" s="33">
        <v>195</v>
      </c>
      <c r="H53" s="19">
        <v>218.8</v>
      </c>
      <c r="I53" s="20"/>
      <c r="J53" s="36"/>
      <c r="L53" s="22">
        <v>48</v>
      </c>
      <c r="M53" s="19">
        <v>203.8</v>
      </c>
      <c r="N53" s="22">
        <v>97</v>
      </c>
      <c r="O53" s="19"/>
      <c r="P53" s="22">
        <f t="shared" si="1"/>
        <v>146</v>
      </c>
      <c r="Q53" s="19"/>
      <c r="R53" s="33">
        <v>195</v>
      </c>
      <c r="S53" s="19"/>
      <c r="T53" s="20"/>
      <c r="U53" s="36"/>
      <c r="W53" s="22">
        <v>48</v>
      </c>
      <c r="X53" s="19"/>
      <c r="Y53" s="22">
        <v>97</v>
      </c>
      <c r="Z53" s="19">
        <v>198.5</v>
      </c>
      <c r="AA53" s="22">
        <f t="shared" si="2"/>
        <v>146</v>
      </c>
      <c r="AB53" s="19">
        <v>200.3</v>
      </c>
      <c r="AC53" s="33">
        <v>195</v>
      </c>
      <c r="AD53" s="19">
        <v>218.8</v>
      </c>
      <c r="AE53" s="20"/>
      <c r="AF53" s="36"/>
    </row>
    <row r="54" spans="1:32" ht="15.75" x14ac:dyDescent="0.25">
      <c r="A54" s="37">
        <v>49</v>
      </c>
      <c r="B54" s="19">
        <v>196</v>
      </c>
      <c r="C54" s="37">
        <v>98</v>
      </c>
      <c r="D54" s="19">
        <v>198.9</v>
      </c>
      <c r="E54" s="22">
        <f t="shared" si="0"/>
        <v>147</v>
      </c>
      <c r="F54" s="19">
        <v>198.3</v>
      </c>
      <c r="G54" s="38">
        <v>196</v>
      </c>
      <c r="H54" s="19">
        <v>211.5</v>
      </c>
      <c r="I54" s="39"/>
      <c r="J54" s="40"/>
      <c r="L54" s="37">
        <v>49</v>
      </c>
      <c r="M54" s="19">
        <v>196</v>
      </c>
      <c r="N54" s="37">
        <v>98</v>
      </c>
      <c r="O54" s="19"/>
      <c r="P54" s="22">
        <f t="shared" si="1"/>
        <v>147</v>
      </c>
      <c r="Q54" s="19"/>
      <c r="R54" s="38">
        <v>196</v>
      </c>
      <c r="S54" s="19">
        <v>211.5</v>
      </c>
      <c r="T54" s="39"/>
      <c r="U54" s="40"/>
      <c r="W54" s="37">
        <v>49</v>
      </c>
      <c r="X54" s="19"/>
      <c r="Y54" s="37">
        <v>98</v>
      </c>
      <c r="Z54" s="19">
        <v>198.9</v>
      </c>
      <c r="AA54" s="22">
        <f t="shared" si="2"/>
        <v>147</v>
      </c>
      <c r="AB54" s="19">
        <v>198.3</v>
      </c>
      <c r="AC54" s="38">
        <v>196</v>
      </c>
      <c r="AD54" s="19"/>
      <c r="AE54" s="39"/>
      <c r="AF54" s="40"/>
    </row>
    <row r="55" spans="1:32" ht="15.75" x14ac:dyDescent="0.25">
      <c r="A55" s="41"/>
      <c r="B55" s="23">
        <f>SUM(B6:B54)</f>
        <v>9836.1</v>
      </c>
      <c r="C55" s="23"/>
      <c r="D55" s="23">
        <f>SUM(D6:D54)</f>
        <v>9797.4000000000033</v>
      </c>
      <c r="E55" s="23"/>
      <c r="F55" s="23">
        <f>SUM(F6:F54)</f>
        <v>9655.2999999999993</v>
      </c>
      <c r="G55" s="23"/>
      <c r="H55" s="23">
        <f>SUM(H6:H54)</f>
        <v>9965.2000000000007</v>
      </c>
      <c r="I55" s="41"/>
      <c r="J55" s="41">
        <f>SUM(J6:J54)</f>
        <v>4832.7</v>
      </c>
      <c r="L55" s="41"/>
      <c r="M55" s="23">
        <f>SUM(M6:M54)</f>
        <v>4811.9000000000015</v>
      </c>
      <c r="N55" s="23"/>
      <c r="O55" s="23">
        <f>SUM(O6:O54)</f>
        <v>7172.5000000000018</v>
      </c>
      <c r="P55" s="23"/>
      <c r="Q55" s="23">
        <f>SUM(Q6:Q54)</f>
        <v>0</v>
      </c>
      <c r="R55" s="23"/>
      <c r="S55" s="23">
        <f>SUM(S6:S54)</f>
        <v>211.5</v>
      </c>
      <c r="T55" s="41"/>
      <c r="U55" s="41">
        <f>SUM(U6:U54)</f>
        <v>4832.7</v>
      </c>
      <c r="W55" s="41"/>
      <c r="X55" s="23">
        <f>SUM(X6:X54)</f>
        <v>5024.2</v>
      </c>
      <c r="Y55" s="23"/>
      <c r="Z55" s="23">
        <f>SUM(Z6:Z54)</f>
        <v>2624.8999999999996</v>
      </c>
      <c r="AA55" s="23"/>
      <c r="AB55" s="23">
        <f>SUM(AB6:AB54)</f>
        <v>9655.2999999999993</v>
      </c>
      <c r="AC55" s="23"/>
      <c r="AD55" s="23">
        <f>SUM(AD6:AD54)</f>
        <v>9753.7000000000007</v>
      </c>
      <c r="AE55" s="41"/>
      <c r="AF55" s="41">
        <f>SUM(AF6:AF54)</f>
        <v>0</v>
      </c>
    </row>
    <row r="56" spans="1:32" ht="15.75" x14ac:dyDescent="0.25">
      <c r="A56" s="42" t="s">
        <v>5</v>
      </c>
      <c r="B56" s="43">
        <f>COUNT(B6:B54,D6:D54,F6:F54,H6:H54,J6:J54)</f>
        <v>220</v>
      </c>
      <c r="C56" s="13" t="s">
        <v>6</v>
      </c>
      <c r="D56" s="44"/>
      <c r="E56" s="45">
        <f>B55+D55+F55+H55+J55</f>
        <v>44086.7</v>
      </c>
      <c r="F56" s="24" t="s">
        <v>7</v>
      </c>
      <c r="G56" s="1">
        <f>B56*2.2</f>
        <v>484.00000000000006</v>
      </c>
      <c r="H56" s="13" t="s">
        <v>8</v>
      </c>
      <c r="I56" s="44"/>
      <c r="J56" s="45">
        <f>E56-G56</f>
        <v>43602.7</v>
      </c>
      <c r="L56" s="42" t="s">
        <v>5</v>
      </c>
      <c r="M56" s="43">
        <f>COUNT(M6:M54,O6:O54,Q6:Q54,S6:S54,U6:U54)</f>
        <v>85</v>
      </c>
      <c r="N56" s="13" t="s">
        <v>6</v>
      </c>
      <c r="O56" s="44"/>
      <c r="P56" s="45">
        <f>M55+O55+Q55+S55+U55</f>
        <v>17028.600000000002</v>
      </c>
      <c r="Q56" s="24" t="s">
        <v>7</v>
      </c>
      <c r="R56" s="1">
        <f>M56*2.2</f>
        <v>187.00000000000003</v>
      </c>
      <c r="S56" s="13" t="s">
        <v>8</v>
      </c>
      <c r="T56" s="44"/>
      <c r="U56" s="45">
        <f>P56-R56</f>
        <v>16841.600000000002</v>
      </c>
      <c r="W56" s="42" t="s">
        <v>5</v>
      </c>
      <c r="X56" s="43">
        <f>COUNT(X6:X54,Z6:Z54,AB6:AB54,AD6:AD54,AF6:AF54)</f>
        <v>135</v>
      </c>
      <c r="Y56" s="13" t="s">
        <v>6</v>
      </c>
      <c r="Z56" s="44"/>
      <c r="AA56" s="45">
        <f>X55+Z55+AB55+AD55+AF55</f>
        <v>27058.1</v>
      </c>
      <c r="AB56" s="24" t="s">
        <v>7</v>
      </c>
      <c r="AC56" s="1">
        <f>X56*2.2</f>
        <v>297</v>
      </c>
      <c r="AD56" s="13" t="s">
        <v>8</v>
      </c>
      <c r="AE56" s="44"/>
      <c r="AF56" s="45">
        <f>AA56-AC56</f>
        <v>26761.1</v>
      </c>
    </row>
    <row r="57" spans="1:32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  <c r="L57" s="42" t="s">
        <v>9</v>
      </c>
      <c r="M57" s="25"/>
      <c r="N57" s="46"/>
      <c r="O57" s="44"/>
      <c r="P57" s="47"/>
      <c r="Q57" s="25"/>
      <c r="R57" s="48"/>
      <c r="S57" s="46"/>
      <c r="T57" s="44"/>
      <c r="U57" s="49"/>
      <c r="W57" s="42" t="s">
        <v>9</v>
      </c>
      <c r="X57" s="25"/>
      <c r="Y57" s="46"/>
      <c r="Z57" s="44"/>
      <c r="AA57" s="47"/>
      <c r="AB57" s="25"/>
      <c r="AC57" s="48"/>
      <c r="AD57" s="46"/>
      <c r="AE57" s="44"/>
      <c r="AF57" s="49"/>
    </row>
    <row r="58" spans="1:32" x14ac:dyDescent="0.25">
      <c r="B58">
        <f>M56+X56</f>
        <v>220</v>
      </c>
      <c r="E58" s="80">
        <f>P56+AA56</f>
        <v>44086.7</v>
      </c>
      <c r="J58" s="80">
        <f>U56+AF56</f>
        <v>43602.7</v>
      </c>
    </row>
    <row r="59" spans="1:32" x14ac:dyDescent="0.25">
      <c r="F59" s="112" t="s">
        <v>61</v>
      </c>
      <c r="G59" s="112">
        <v>2.2000000000000002</v>
      </c>
      <c r="Q59" s="112" t="s">
        <v>61</v>
      </c>
      <c r="R59" s="112">
        <v>2.2000000000000002</v>
      </c>
      <c r="AB59" s="112" t="s">
        <v>61</v>
      </c>
      <c r="AC59" s="112">
        <v>2.2000000000000002</v>
      </c>
    </row>
  </sheetData>
  <protectedRanges>
    <protectedRange password="CCE1" sqref="C6:C54 G6:G54 E6:E54 I6:I29 N6:N54 R6:R54 P6:P54 T6:T29 Y6:Y54 AC6:AC54 AA6:AA54 AE6:AE29" name="Диапазон1_3_1_7_2_1_1_1_1_1_1_1"/>
  </protectedRanges>
  <mergeCells count="6">
    <mergeCell ref="A1:J1"/>
    <mergeCell ref="I4:J4"/>
    <mergeCell ref="L1:U1"/>
    <mergeCell ref="T4:U4"/>
    <mergeCell ref="W1:AF1"/>
    <mergeCell ref="AE4:AF4"/>
  </mergeCells>
  <pageMargins left="0.7" right="0.7" top="0.75" bottom="0.75" header="0.3" footer="0.3"/>
  <pageSetup paperSize="9" scale="83" orientation="portrait" verticalDpi="0" r:id="rId1"/>
  <rowBreaks count="1" manualBreakCount="1">
    <brk id="57" max="16383" man="1"/>
  </rowBreaks>
  <colBreaks count="2" manualBreakCount="2">
    <brk id="10" max="56" man="1"/>
    <brk id="21" max="56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9"/>
  <sheetViews>
    <sheetView topLeftCell="A37" zoomScale="90" zoomScaleNormal="90" workbookViewId="0">
      <selection activeCell="U63" sqref="U63"/>
    </sheetView>
  </sheetViews>
  <sheetFormatPr defaultRowHeight="15" x14ac:dyDescent="0.25"/>
  <cols>
    <col min="11" max="11" width="1.7109375" customWidth="1"/>
    <col min="22" max="22" width="1.42578125" customWidth="1"/>
  </cols>
  <sheetData>
    <row r="1" spans="1:32" ht="18.75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L1" s="204" t="s">
        <v>0</v>
      </c>
      <c r="M1" s="204"/>
      <c r="N1" s="204"/>
      <c r="O1" s="204"/>
      <c r="P1" s="204"/>
      <c r="Q1" s="204"/>
      <c r="R1" s="204"/>
      <c r="S1" s="204"/>
      <c r="T1" s="204"/>
      <c r="U1" s="204"/>
      <c r="W1" s="204" t="s">
        <v>0</v>
      </c>
      <c r="X1" s="204"/>
      <c r="Y1" s="204"/>
      <c r="Z1" s="204"/>
      <c r="AA1" s="204"/>
      <c r="AB1" s="204"/>
      <c r="AC1" s="204"/>
      <c r="AD1" s="204"/>
      <c r="AE1" s="204"/>
      <c r="AF1" s="204"/>
    </row>
    <row r="2" spans="1:32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  <c r="L2" s="13" t="s">
        <v>1</v>
      </c>
      <c r="M2" s="13"/>
      <c r="N2" s="13"/>
      <c r="O2" s="13"/>
      <c r="P2" s="13"/>
      <c r="Q2" s="13"/>
      <c r="R2" s="27"/>
      <c r="S2" s="13"/>
      <c r="T2" s="13"/>
      <c r="U2" s="13"/>
      <c r="W2" s="13" t="s">
        <v>1</v>
      </c>
      <c r="X2" s="13"/>
      <c r="Y2" s="13"/>
      <c r="Z2" s="13"/>
      <c r="AA2" s="13"/>
      <c r="AB2" s="13"/>
      <c r="AC2" s="27"/>
      <c r="AD2" s="13"/>
      <c r="AE2" s="13"/>
      <c r="AF2" s="13"/>
    </row>
    <row r="3" spans="1:32" ht="15.75" x14ac:dyDescent="0.25">
      <c r="A3" s="25" t="s">
        <v>2</v>
      </c>
      <c r="B3" s="27">
        <v>217</v>
      </c>
      <c r="C3" s="14"/>
      <c r="D3" s="15"/>
      <c r="E3" s="16"/>
      <c r="F3" s="16"/>
      <c r="G3" s="16"/>
      <c r="H3" s="16"/>
      <c r="I3" s="16" t="s">
        <v>33</v>
      </c>
      <c r="J3" s="16"/>
      <c r="L3" s="25" t="s">
        <v>2</v>
      </c>
      <c r="M3" s="27">
        <v>217</v>
      </c>
      <c r="N3" s="14"/>
      <c r="O3" s="15"/>
      <c r="P3" s="16"/>
      <c r="Q3" s="16"/>
      <c r="R3" s="16"/>
      <c r="S3" s="16"/>
      <c r="T3" s="16" t="s">
        <v>33</v>
      </c>
      <c r="U3" s="16"/>
      <c r="W3" s="25" t="s">
        <v>2</v>
      </c>
      <c r="X3" s="27">
        <v>217</v>
      </c>
      <c r="Y3" s="14"/>
      <c r="Z3" s="15"/>
      <c r="AA3" s="16"/>
      <c r="AB3" s="16"/>
      <c r="AC3" s="16"/>
      <c r="AD3" s="16"/>
      <c r="AE3" s="16" t="s">
        <v>33</v>
      </c>
      <c r="AF3" s="16"/>
    </row>
    <row r="4" spans="1:32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  <c r="L4" s="17"/>
      <c r="M4" s="17"/>
      <c r="N4" s="17"/>
      <c r="O4" s="17"/>
      <c r="P4" s="17"/>
      <c r="Q4" s="17"/>
      <c r="R4" s="17"/>
      <c r="S4" s="28"/>
      <c r="T4" s="205" t="s">
        <v>76</v>
      </c>
      <c r="U4" s="206"/>
      <c r="W4" s="17"/>
      <c r="X4" s="17"/>
      <c r="Y4" s="17"/>
      <c r="Z4" s="17"/>
      <c r="AA4" s="17"/>
      <c r="AB4" s="17"/>
      <c r="AC4" s="17"/>
      <c r="AD4" s="28"/>
      <c r="AE4" s="205" t="s">
        <v>50</v>
      </c>
      <c r="AF4" s="206"/>
    </row>
    <row r="5" spans="1:32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  <c r="L5" s="29" t="s">
        <v>3</v>
      </c>
      <c r="M5" s="18" t="s">
        <v>4</v>
      </c>
      <c r="N5" s="29" t="s">
        <v>3</v>
      </c>
      <c r="O5" s="18" t="s">
        <v>4</v>
      </c>
      <c r="P5" s="29" t="s">
        <v>3</v>
      </c>
      <c r="Q5" s="18" t="s">
        <v>4</v>
      </c>
      <c r="R5" s="29" t="s">
        <v>3</v>
      </c>
      <c r="S5" s="30" t="s">
        <v>4</v>
      </c>
      <c r="T5" s="31" t="s">
        <v>3</v>
      </c>
      <c r="U5" s="32" t="s">
        <v>4</v>
      </c>
      <c r="W5" s="29" t="s">
        <v>3</v>
      </c>
      <c r="X5" s="18" t="s">
        <v>4</v>
      </c>
      <c r="Y5" s="29" t="s">
        <v>3</v>
      </c>
      <c r="Z5" s="18" t="s">
        <v>4</v>
      </c>
      <c r="AA5" s="29" t="s">
        <v>3</v>
      </c>
      <c r="AB5" s="18" t="s">
        <v>4</v>
      </c>
      <c r="AC5" s="29" t="s">
        <v>3</v>
      </c>
      <c r="AD5" s="30" t="s">
        <v>4</v>
      </c>
      <c r="AE5" s="31" t="s">
        <v>3</v>
      </c>
      <c r="AF5" s="32" t="s">
        <v>4</v>
      </c>
    </row>
    <row r="6" spans="1:32" ht="15.75" x14ac:dyDescent="0.25">
      <c r="A6" s="22">
        <v>1</v>
      </c>
      <c r="B6" s="19">
        <v>201.3</v>
      </c>
      <c r="C6" s="22">
        <v>50</v>
      </c>
      <c r="D6" s="19">
        <v>207.7</v>
      </c>
      <c r="E6" s="22">
        <v>99</v>
      </c>
      <c r="F6" s="19">
        <v>210.9</v>
      </c>
      <c r="G6" s="33">
        <v>148</v>
      </c>
      <c r="H6" s="19">
        <v>200.6</v>
      </c>
      <c r="I6" s="34">
        <v>197</v>
      </c>
      <c r="J6" s="19">
        <v>201.2</v>
      </c>
      <c r="L6" s="22">
        <v>1</v>
      </c>
      <c r="M6" s="19">
        <v>201.3</v>
      </c>
      <c r="N6" s="22">
        <v>50</v>
      </c>
      <c r="O6" s="19"/>
      <c r="P6" s="22">
        <v>99</v>
      </c>
      <c r="Q6" s="19"/>
      <c r="R6" s="33">
        <v>148</v>
      </c>
      <c r="S6" s="19">
        <v>200.6</v>
      </c>
      <c r="T6" s="34">
        <v>197</v>
      </c>
      <c r="U6" s="19">
        <v>201.2</v>
      </c>
      <c r="W6" s="22">
        <v>1</v>
      </c>
      <c r="X6" s="19"/>
      <c r="Y6" s="22">
        <v>50</v>
      </c>
      <c r="Z6" s="19">
        <v>207.7</v>
      </c>
      <c r="AA6" s="22">
        <v>99</v>
      </c>
      <c r="AB6" s="19">
        <v>210.9</v>
      </c>
      <c r="AC6" s="33">
        <v>148</v>
      </c>
      <c r="AD6" s="19"/>
      <c r="AE6" s="34">
        <v>197</v>
      </c>
      <c r="AF6" s="19"/>
    </row>
    <row r="7" spans="1:32" ht="15.75" x14ac:dyDescent="0.25">
      <c r="A7" s="22">
        <v>2</v>
      </c>
      <c r="B7" s="19">
        <v>201.1</v>
      </c>
      <c r="C7" s="22">
        <v>51</v>
      </c>
      <c r="D7" s="19">
        <v>206.4</v>
      </c>
      <c r="E7" s="22">
        <v>100</v>
      </c>
      <c r="F7" s="19">
        <v>205.4</v>
      </c>
      <c r="G7" s="33">
        <v>149</v>
      </c>
      <c r="H7" s="19">
        <v>201.4</v>
      </c>
      <c r="I7" s="33">
        <v>198</v>
      </c>
      <c r="J7" s="19">
        <v>197.2</v>
      </c>
      <c r="L7" s="22">
        <v>2</v>
      </c>
      <c r="M7" s="19">
        <v>201.1</v>
      </c>
      <c r="N7" s="22">
        <v>51</v>
      </c>
      <c r="O7" s="19"/>
      <c r="P7" s="22">
        <v>100</v>
      </c>
      <c r="Q7" s="19"/>
      <c r="R7" s="33">
        <v>149</v>
      </c>
      <c r="S7" s="19">
        <v>201.4</v>
      </c>
      <c r="T7" s="33">
        <v>198</v>
      </c>
      <c r="U7" s="19">
        <v>197.2</v>
      </c>
      <c r="W7" s="22">
        <v>2</v>
      </c>
      <c r="X7" s="19"/>
      <c r="Y7" s="22">
        <v>51</v>
      </c>
      <c r="Z7" s="19">
        <v>206.4</v>
      </c>
      <c r="AA7" s="22">
        <v>100</v>
      </c>
      <c r="AB7" s="19">
        <v>205.4</v>
      </c>
      <c r="AC7" s="33">
        <v>149</v>
      </c>
      <c r="AD7" s="19"/>
      <c r="AE7" s="33">
        <v>198</v>
      </c>
      <c r="AF7" s="19"/>
    </row>
    <row r="8" spans="1:32" ht="15.75" x14ac:dyDescent="0.25">
      <c r="A8" s="22">
        <v>3</v>
      </c>
      <c r="B8" s="19">
        <v>207</v>
      </c>
      <c r="C8" s="22">
        <v>52</v>
      </c>
      <c r="D8" s="19">
        <v>222.3</v>
      </c>
      <c r="E8" s="22">
        <f t="shared" ref="E8:E54" si="0">+E7+1</f>
        <v>101</v>
      </c>
      <c r="F8" s="19">
        <v>212.3</v>
      </c>
      <c r="G8" s="33">
        <v>150</v>
      </c>
      <c r="H8" s="19">
        <v>205.4</v>
      </c>
      <c r="I8" s="33">
        <v>199</v>
      </c>
      <c r="J8" s="19">
        <v>193.4</v>
      </c>
      <c r="L8" s="22">
        <v>3</v>
      </c>
      <c r="M8" s="19">
        <v>207</v>
      </c>
      <c r="N8" s="22">
        <v>52</v>
      </c>
      <c r="O8" s="19"/>
      <c r="P8" s="22">
        <f t="shared" ref="P8:P54" si="1">+P7+1</f>
        <v>101</v>
      </c>
      <c r="Q8" s="19"/>
      <c r="R8" s="33">
        <v>150</v>
      </c>
      <c r="S8" s="19">
        <v>205.4</v>
      </c>
      <c r="T8" s="33">
        <v>199</v>
      </c>
      <c r="U8" s="19">
        <v>193.4</v>
      </c>
      <c r="W8" s="22">
        <v>3</v>
      </c>
      <c r="X8" s="19"/>
      <c r="Y8" s="22">
        <v>52</v>
      </c>
      <c r="Z8" s="19">
        <v>222.3</v>
      </c>
      <c r="AA8" s="22">
        <f t="shared" ref="AA8:AA54" si="2">+AA7+1</f>
        <v>101</v>
      </c>
      <c r="AB8" s="19">
        <v>212.3</v>
      </c>
      <c r="AC8" s="33">
        <v>150</v>
      </c>
      <c r="AD8" s="19"/>
      <c r="AE8" s="33">
        <v>199</v>
      </c>
      <c r="AF8" s="19"/>
    </row>
    <row r="9" spans="1:32" ht="15.75" x14ac:dyDescent="0.25">
      <c r="A9" s="22">
        <v>4</v>
      </c>
      <c r="B9" s="19">
        <v>208</v>
      </c>
      <c r="C9" s="22">
        <v>53</v>
      </c>
      <c r="D9" s="19">
        <v>203.2</v>
      </c>
      <c r="E9" s="22">
        <f t="shared" si="0"/>
        <v>102</v>
      </c>
      <c r="F9" s="19">
        <v>205.1</v>
      </c>
      <c r="G9" s="33">
        <v>151</v>
      </c>
      <c r="H9" s="19">
        <v>197.3</v>
      </c>
      <c r="I9" s="33">
        <v>200</v>
      </c>
      <c r="J9" s="19">
        <v>197.5</v>
      </c>
      <c r="L9" s="22">
        <v>4</v>
      </c>
      <c r="M9" s="19">
        <v>208</v>
      </c>
      <c r="N9" s="22">
        <v>53</v>
      </c>
      <c r="O9" s="19"/>
      <c r="P9" s="22">
        <f t="shared" si="1"/>
        <v>102</v>
      </c>
      <c r="Q9" s="19"/>
      <c r="R9" s="33">
        <v>151</v>
      </c>
      <c r="S9" s="19">
        <v>197.3</v>
      </c>
      <c r="T9" s="33">
        <v>200</v>
      </c>
      <c r="U9" s="19">
        <v>197.5</v>
      </c>
      <c r="W9" s="22">
        <v>4</v>
      </c>
      <c r="X9" s="19"/>
      <c r="Y9" s="22">
        <v>53</v>
      </c>
      <c r="Z9" s="19">
        <v>203.2</v>
      </c>
      <c r="AA9" s="22">
        <f t="shared" si="2"/>
        <v>102</v>
      </c>
      <c r="AB9" s="19">
        <v>205.1</v>
      </c>
      <c r="AC9" s="33">
        <v>151</v>
      </c>
      <c r="AD9" s="19"/>
      <c r="AE9" s="33">
        <v>200</v>
      </c>
      <c r="AF9" s="19"/>
    </row>
    <row r="10" spans="1:32" ht="15.75" x14ac:dyDescent="0.25">
      <c r="A10" s="22">
        <v>5</v>
      </c>
      <c r="B10" s="19">
        <v>207.4</v>
      </c>
      <c r="C10" s="22">
        <v>54</v>
      </c>
      <c r="D10" s="19">
        <v>202.4</v>
      </c>
      <c r="E10" s="22">
        <f t="shared" si="0"/>
        <v>103</v>
      </c>
      <c r="F10" s="19">
        <v>202.4</v>
      </c>
      <c r="G10" s="33">
        <v>152</v>
      </c>
      <c r="H10" s="19">
        <v>195</v>
      </c>
      <c r="I10" s="33">
        <v>201</v>
      </c>
      <c r="J10" s="19">
        <v>194.3</v>
      </c>
      <c r="L10" s="22">
        <v>5</v>
      </c>
      <c r="M10" s="19">
        <v>207.4</v>
      </c>
      <c r="N10" s="22">
        <v>54</v>
      </c>
      <c r="O10" s="19"/>
      <c r="P10" s="22">
        <f t="shared" si="1"/>
        <v>103</v>
      </c>
      <c r="Q10" s="19"/>
      <c r="R10" s="33">
        <v>152</v>
      </c>
      <c r="S10" s="19">
        <v>195</v>
      </c>
      <c r="T10" s="33">
        <v>201</v>
      </c>
      <c r="U10" s="19">
        <v>194.3</v>
      </c>
      <c r="W10" s="22">
        <v>5</v>
      </c>
      <c r="X10" s="19"/>
      <c r="Y10" s="22">
        <v>54</v>
      </c>
      <c r="Z10" s="19">
        <v>202.4</v>
      </c>
      <c r="AA10" s="22">
        <f t="shared" si="2"/>
        <v>103</v>
      </c>
      <c r="AB10" s="19">
        <v>202.4</v>
      </c>
      <c r="AC10" s="33">
        <v>152</v>
      </c>
      <c r="AD10" s="19"/>
      <c r="AE10" s="33">
        <v>201</v>
      </c>
      <c r="AF10" s="19"/>
    </row>
    <row r="11" spans="1:32" ht="15.75" x14ac:dyDescent="0.25">
      <c r="A11" s="22">
        <v>6</v>
      </c>
      <c r="B11" s="19">
        <v>209.3</v>
      </c>
      <c r="C11" s="22">
        <v>55</v>
      </c>
      <c r="D11" s="19">
        <v>219.5</v>
      </c>
      <c r="E11" s="22">
        <f t="shared" si="0"/>
        <v>104</v>
      </c>
      <c r="F11" s="19">
        <v>200.2</v>
      </c>
      <c r="G11" s="33">
        <v>153</v>
      </c>
      <c r="H11" s="19">
        <v>204.6</v>
      </c>
      <c r="I11" s="33">
        <v>202</v>
      </c>
      <c r="J11" s="19">
        <v>204.7</v>
      </c>
      <c r="L11" s="22">
        <v>6</v>
      </c>
      <c r="M11" s="19">
        <v>209.3</v>
      </c>
      <c r="N11" s="22">
        <v>55</v>
      </c>
      <c r="O11" s="19"/>
      <c r="P11" s="22">
        <f t="shared" si="1"/>
        <v>104</v>
      </c>
      <c r="Q11" s="19"/>
      <c r="R11" s="33">
        <v>153</v>
      </c>
      <c r="S11" s="19">
        <v>204.6</v>
      </c>
      <c r="T11" s="33">
        <v>202</v>
      </c>
      <c r="U11" s="19">
        <v>204.7</v>
      </c>
      <c r="W11" s="22">
        <v>6</v>
      </c>
      <c r="X11" s="19"/>
      <c r="Y11" s="22">
        <v>55</v>
      </c>
      <c r="Z11" s="19">
        <v>219.5</v>
      </c>
      <c r="AA11" s="22">
        <f t="shared" si="2"/>
        <v>104</v>
      </c>
      <c r="AB11" s="19">
        <v>200.2</v>
      </c>
      <c r="AC11" s="33">
        <v>153</v>
      </c>
      <c r="AD11" s="19"/>
      <c r="AE11" s="33">
        <v>202</v>
      </c>
      <c r="AF11" s="19"/>
    </row>
    <row r="12" spans="1:32" ht="15.75" x14ac:dyDescent="0.25">
      <c r="A12" s="22">
        <v>7</v>
      </c>
      <c r="B12" s="19">
        <v>214.6</v>
      </c>
      <c r="C12" s="22">
        <v>56</v>
      </c>
      <c r="D12" s="19">
        <v>203.1</v>
      </c>
      <c r="E12" s="22">
        <f t="shared" si="0"/>
        <v>105</v>
      </c>
      <c r="F12" s="19">
        <v>208.4</v>
      </c>
      <c r="G12" s="33">
        <v>154</v>
      </c>
      <c r="H12" s="19">
        <v>200.5</v>
      </c>
      <c r="I12" s="33">
        <v>203</v>
      </c>
      <c r="J12" s="19">
        <v>198.4</v>
      </c>
      <c r="L12" s="22">
        <v>7</v>
      </c>
      <c r="M12" s="19">
        <v>214.6</v>
      </c>
      <c r="N12" s="22">
        <v>56</v>
      </c>
      <c r="O12" s="19"/>
      <c r="P12" s="22">
        <f t="shared" si="1"/>
        <v>105</v>
      </c>
      <c r="Q12" s="19"/>
      <c r="R12" s="33">
        <v>154</v>
      </c>
      <c r="S12" s="19">
        <v>200.5</v>
      </c>
      <c r="T12" s="33">
        <v>203</v>
      </c>
      <c r="U12" s="19">
        <v>198.4</v>
      </c>
      <c r="W12" s="22">
        <v>7</v>
      </c>
      <c r="X12" s="19"/>
      <c r="Y12" s="22">
        <v>56</v>
      </c>
      <c r="Z12" s="19">
        <v>203.1</v>
      </c>
      <c r="AA12" s="22">
        <f t="shared" si="2"/>
        <v>105</v>
      </c>
      <c r="AB12" s="19">
        <v>208.4</v>
      </c>
      <c r="AC12" s="33">
        <v>154</v>
      </c>
      <c r="AD12" s="19"/>
      <c r="AE12" s="33">
        <v>203</v>
      </c>
      <c r="AF12" s="19"/>
    </row>
    <row r="13" spans="1:32" ht="15.75" x14ac:dyDescent="0.25">
      <c r="A13" s="22">
        <v>8</v>
      </c>
      <c r="B13" s="19">
        <v>206.2</v>
      </c>
      <c r="C13" s="22">
        <v>57</v>
      </c>
      <c r="D13" s="19">
        <v>204.2</v>
      </c>
      <c r="E13" s="22">
        <f t="shared" si="0"/>
        <v>106</v>
      </c>
      <c r="F13" s="19">
        <v>207.1</v>
      </c>
      <c r="G13" s="33">
        <v>155</v>
      </c>
      <c r="H13" s="19">
        <v>194.6</v>
      </c>
      <c r="I13" s="33">
        <v>204</v>
      </c>
      <c r="J13" s="19">
        <v>193.9</v>
      </c>
      <c r="L13" s="22">
        <v>8</v>
      </c>
      <c r="M13" s="19">
        <v>206.2</v>
      </c>
      <c r="N13" s="22">
        <v>57</v>
      </c>
      <c r="O13" s="19"/>
      <c r="P13" s="22">
        <f t="shared" si="1"/>
        <v>106</v>
      </c>
      <c r="Q13" s="19"/>
      <c r="R13" s="33">
        <v>155</v>
      </c>
      <c r="S13" s="19">
        <v>194.6</v>
      </c>
      <c r="T13" s="33">
        <v>204</v>
      </c>
      <c r="U13" s="19">
        <v>193.9</v>
      </c>
      <c r="W13" s="22">
        <v>8</v>
      </c>
      <c r="X13" s="19"/>
      <c r="Y13" s="22">
        <v>57</v>
      </c>
      <c r="Z13" s="19">
        <v>204.2</v>
      </c>
      <c r="AA13" s="22">
        <f t="shared" si="2"/>
        <v>106</v>
      </c>
      <c r="AB13" s="19">
        <v>207.1</v>
      </c>
      <c r="AC13" s="33">
        <v>155</v>
      </c>
      <c r="AD13" s="19"/>
      <c r="AE13" s="33">
        <v>204</v>
      </c>
      <c r="AF13" s="19"/>
    </row>
    <row r="14" spans="1:32" ht="15.75" x14ac:dyDescent="0.25">
      <c r="A14" s="22">
        <v>9</v>
      </c>
      <c r="B14" s="19">
        <v>206.3</v>
      </c>
      <c r="C14" s="22">
        <v>58</v>
      </c>
      <c r="D14" s="19">
        <v>203</v>
      </c>
      <c r="E14" s="22">
        <f t="shared" si="0"/>
        <v>107</v>
      </c>
      <c r="F14" s="19">
        <v>203.7</v>
      </c>
      <c r="G14" s="33">
        <v>156</v>
      </c>
      <c r="H14" s="19">
        <v>205.6</v>
      </c>
      <c r="I14" s="33">
        <v>205</v>
      </c>
      <c r="J14" s="19">
        <v>201.4</v>
      </c>
      <c r="L14" s="22">
        <v>9</v>
      </c>
      <c r="M14" s="19">
        <v>206.3</v>
      </c>
      <c r="N14" s="22">
        <v>58</v>
      </c>
      <c r="O14" s="19"/>
      <c r="P14" s="22">
        <f t="shared" si="1"/>
        <v>107</v>
      </c>
      <c r="Q14" s="19"/>
      <c r="R14" s="33">
        <v>156</v>
      </c>
      <c r="S14" s="19">
        <v>205.6</v>
      </c>
      <c r="T14" s="33">
        <v>205</v>
      </c>
      <c r="U14" s="19">
        <v>201.4</v>
      </c>
      <c r="W14" s="22">
        <v>9</v>
      </c>
      <c r="X14" s="19"/>
      <c r="Y14" s="22">
        <v>58</v>
      </c>
      <c r="Z14" s="19">
        <v>203</v>
      </c>
      <c r="AA14" s="22">
        <f t="shared" si="2"/>
        <v>107</v>
      </c>
      <c r="AB14" s="19">
        <v>203.7</v>
      </c>
      <c r="AC14" s="33">
        <v>156</v>
      </c>
      <c r="AD14" s="19"/>
      <c r="AE14" s="33">
        <v>205</v>
      </c>
      <c r="AF14" s="19"/>
    </row>
    <row r="15" spans="1:32" ht="15.75" x14ac:dyDescent="0.25">
      <c r="A15" s="22">
        <v>10</v>
      </c>
      <c r="B15" s="19">
        <v>208.7</v>
      </c>
      <c r="C15" s="22">
        <v>59</v>
      </c>
      <c r="D15" s="19">
        <v>207.9</v>
      </c>
      <c r="E15" s="22">
        <f t="shared" si="0"/>
        <v>108</v>
      </c>
      <c r="F15" s="19">
        <v>207.6</v>
      </c>
      <c r="G15" s="33">
        <v>157</v>
      </c>
      <c r="H15" s="19">
        <v>205.6</v>
      </c>
      <c r="I15" s="33">
        <v>206</v>
      </c>
      <c r="J15" s="19">
        <v>197.9</v>
      </c>
      <c r="L15" s="22">
        <v>10</v>
      </c>
      <c r="M15" s="19">
        <v>208.7</v>
      </c>
      <c r="N15" s="22">
        <v>59</v>
      </c>
      <c r="O15" s="19"/>
      <c r="P15" s="22">
        <f t="shared" si="1"/>
        <v>108</v>
      </c>
      <c r="Q15" s="19"/>
      <c r="R15" s="33">
        <v>157</v>
      </c>
      <c r="S15" s="19">
        <v>205.6</v>
      </c>
      <c r="T15" s="33">
        <v>206</v>
      </c>
      <c r="U15" s="19">
        <v>197.9</v>
      </c>
      <c r="W15" s="22">
        <v>10</v>
      </c>
      <c r="X15" s="19"/>
      <c r="Y15" s="22">
        <v>59</v>
      </c>
      <c r="Z15" s="19">
        <v>207.9</v>
      </c>
      <c r="AA15" s="22">
        <f t="shared" si="2"/>
        <v>108</v>
      </c>
      <c r="AB15" s="19">
        <v>207.6</v>
      </c>
      <c r="AC15" s="33">
        <v>157</v>
      </c>
      <c r="AD15" s="19"/>
      <c r="AE15" s="33">
        <v>206</v>
      </c>
      <c r="AF15" s="19"/>
    </row>
    <row r="16" spans="1:32" ht="15.75" x14ac:dyDescent="0.25">
      <c r="A16" s="22">
        <v>11</v>
      </c>
      <c r="B16" s="19">
        <v>206.7</v>
      </c>
      <c r="C16" s="22">
        <v>60</v>
      </c>
      <c r="D16" s="19">
        <v>204.4</v>
      </c>
      <c r="E16" s="22">
        <f t="shared" si="0"/>
        <v>109</v>
      </c>
      <c r="F16" s="19">
        <v>212</v>
      </c>
      <c r="G16" s="33">
        <v>158</v>
      </c>
      <c r="H16" s="19">
        <v>204.8</v>
      </c>
      <c r="I16" s="33">
        <v>207</v>
      </c>
      <c r="J16" s="19">
        <v>199.9</v>
      </c>
      <c r="L16" s="22">
        <v>11</v>
      </c>
      <c r="M16" s="19">
        <v>206.7</v>
      </c>
      <c r="N16" s="22">
        <v>60</v>
      </c>
      <c r="O16" s="19"/>
      <c r="P16" s="22">
        <f t="shared" si="1"/>
        <v>109</v>
      </c>
      <c r="Q16" s="19"/>
      <c r="R16" s="33">
        <v>158</v>
      </c>
      <c r="S16" s="19">
        <v>204.8</v>
      </c>
      <c r="T16" s="33">
        <v>207</v>
      </c>
      <c r="U16" s="19">
        <v>199.9</v>
      </c>
      <c r="W16" s="22">
        <v>11</v>
      </c>
      <c r="X16" s="19"/>
      <c r="Y16" s="22">
        <v>60</v>
      </c>
      <c r="Z16" s="19">
        <v>204.4</v>
      </c>
      <c r="AA16" s="22">
        <f t="shared" si="2"/>
        <v>109</v>
      </c>
      <c r="AB16" s="19">
        <v>212</v>
      </c>
      <c r="AC16" s="33">
        <v>158</v>
      </c>
      <c r="AD16" s="19"/>
      <c r="AE16" s="33">
        <v>207</v>
      </c>
      <c r="AF16" s="19"/>
    </row>
    <row r="17" spans="1:32" ht="15.75" x14ac:dyDescent="0.25">
      <c r="A17" s="22">
        <v>12</v>
      </c>
      <c r="B17" s="19">
        <v>208.5</v>
      </c>
      <c r="C17" s="22">
        <v>61</v>
      </c>
      <c r="D17" s="19">
        <v>205.9</v>
      </c>
      <c r="E17" s="22">
        <f t="shared" si="0"/>
        <v>110</v>
      </c>
      <c r="F17" s="19">
        <v>203.5</v>
      </c>
      <c r="G17" s="33">
        <v>159</v>
      </c>
      <c r="H17" s="19">
        <v>196.7</v>
      </c>
      <c r="I17" s="33">
        <v>208</v>
      </c>
      <c r="J17" s="19">
        <v>196.9</v>
      </c>
      <c r="L17" s="22">
        <v>12</v>
      </c>
      <c r="M17" s="19">
        <v>208.5</v>
      </c>
      <c r="N17" s="22">
        <v>61</v>
      </c>
      <c r="O17" s="19"/>
      <c r="P17" s="22">
        <f t="shared" si="1"/>
        <v>110</v>
      </c>
      <c r="Q17" s="19"/>
      <c r="R17" s="33">
        <v>159</v>
      </c>
      <c r="S17" s="19">
        <v>196.7</v>
      </c>
      <c r="T17" s="33">
        <v>208</v>
      </c>
      <c r="U17" s="19">
        <v>196.9</v>
      </c>
      <c r="W17" s="22">
        <v>12</v>
      </c>
      <c r="X17" s="19"/>
      <c r="Y17" s="22">
        <v>61</v>
      </c>
      <c r="Z17" s="19">
        <v>205.9</v>
      </c>
      <c r="AA17" s="22">
        <f t="shared" si="2"/>
        <v>110</v>
      </c>
      <c r="AB17" s="19">
        <v>203.5</v>
      </c>
      <c r="AC17" s="33">
        <v>159</v>
      </c>
      <c r="AD17" s="19"/>
      <c r="AE17" s="33">
        <v>208</v>
      </c>
      <c r="AF17" s="19"/>
    </row>
    <row r="18" spans="1:32" ht="15.75" x14ac:dyDescent="0.25">
      <c r="A18" s="22">
        <v>13</v>
      </c>
      <c r="B18" s="19">
        <v>199</v>
      </c>
      <c r="C18" s="22">
        <v>62</v>
      </c>
      <c r="D18" s="19">
        <v>206.8</v>
      </c>
      <c r="E18" s="22">
        <f t="shared" si="0"/>
        <v>111</v>
      </c>
      <c r="F18" s="19">
        <v>200.7</v>
      </c>
      <c r="G18" s="33">
        <v>160</v>
      </c>
      <c r="H18" s="19">
        <v>201.5</v>
      </c>
      <c r="I18" s="33">
        <v>209</v>
      </c>
      <c r="J18" s="19">
        <v>194.6</v>
      </c>
      <c r="L18" s="22">
        <v>13</v>
      </c>
      <c r="M18" s="19">
        <v>199</v>
      </c>
      <c r="N18" s="22">
        <v>62</v>
      </c>
      <c r="O18" s="19"/>
      <c r="P18" s="22">
        <f t="shared" si="1"/>
        <v>111</v>
      </c>
      <c r="Q18" s="19"/>
      <c r="R18" s="33">
        <v>160</v>
      </c>
      <c r="S18" s="19">
        <v>201.5</v>
      </c>
      <c r="T18" s="33">
        <v>209</v>
      </c>
      <c r="U18" s="19">
        <v>194.6</v>
      </c>
      <c r="W18" s="22">
        <v>13</v>
      </c>
      <c r="X18" s="19"/>
      <c r="Y18" s="22">
        <v>62</v>
      </c>
      <c r="Z18" s="19">
        <v>206.8</v>
      </c>
      <c r="AA18" s="22">
        <f t="shared" si="2"/>
        <v>111</v>
      </c>
      <c r="AB18" s="19">
        <v>200.7</v>
      </c>
      <c r="AC18" s="33">
        <v>160</v>
      </c>
      <c r="AD18" s="19"/>
      <c r="AE18" s="33">
        <v>209</v>
      </c>
      <c r="AF18" s="19"/>
    </row>
    <row r="19" spans="1:32" ht="15.75" x14ac:dyDescent="0.25">
      <c r="A19" s="22">
        <v>14</v>
      </c>
      <c r="B19" s="19">
        <v>205.8</v>
      </c>
      <c r="C19" s="22">
        <v>63</v>
      </c>
      <c r="D19" s="19">
        <v>208.6</v>
      </c>
      <c r="E19" s="22">
        <f t="shared" si="0"/>
        <v>112</v>
      </c>
      <c r="F19" s="19">
        <v>204.8</v>
      </c>
      <c r="G19" s="33">
        <v>161</v>
      </c>
      <c r="H19" s="19">
        <v>200.5</v>
      </c>
      <c r="I19" s="33">
        <v>210</v>
      </c>
      <c r="J19" s="19">
        <v>194.5</v>
      </c>
      <c r="L19" s="22">
        <v>14</v>
      </c>
      <c r="M19" s="19">
        <v>205.8</v>
      </c>
      <c r="N19" s="22">
        <v>63</v>
      </c>
      <c r="O19" s="19"/>
      <c r="P19" s="22">
        <f t="shared" si="1"/>
        <v>112</v>
      </c>
      <c r="Q19" s="19"/>
      <c r="R19" s="33">
        <v>161</v>
      </c>
      <c r="S19" s="19">
        <v>200.5</v>
      </c>
      <c r="T19" s="33">
        <v>210</v>
      </c>
      <c r="U19" s="19">
        <v>194.5</v>
      </c>
      <c r="W19" s="22">
        <v>14</v>
      </c>
      <c r="X19" s="19"/>
      <c r="Y19" s="22">
        <v>63</v>
      </c>
      <c r="Z19" s="19">
        <v>208.6</v>
      </c>
      <c r="AA19" s="22">
        <f t="shared" si="2"/>
        <v>112</v>
      </c>
      <c r="AB19" s="19">
        <v>204.8</v>
      </c>
      <c r="AC19" s="33">
        <v>161</v>
      </c>
      <c r="AD19" s="19"/>
      <c r="AE19" s="33">
        <v>210</v>
      </c>
      <c r="AF19" s="19"/>
    </row>
    <row r="20" spans="1:32" ht="15.75" x14ac:dyDescent="0.25">
      <c r="A20" s="22">
        <v>15</v>
      </c>
      <c r="B20" s="19">
        <v>205.5</v>
      </c>
      <c r="C20" s="22">
        <v>64</v>
      </c>
      <c r="D20" s="19">
        <v>203.7</v>
      </c>
      <c r="E20" s="22">
        <f t="shared" si="0"/>
        <v>113</v>
      </c>
      <c r="F20" s="19">
        <v>206.2</v>
      </c>
      <c r="G20" s="35">
        <v>162</v>
      </c>
      <c r="H20" s="19">
        <v>203.1</v>
      </c>
      <c r="I20" s="33">
        <v>211</v>
      </c>
      <c r="J20" s="19">
        <v>203.2</v>
      </c>
      <c r="L20" s="22">
        <v>15</v>
      </c>
      <c r="M20" s="19">
        <v>205.5</v>
      </c>
      <c r="N20" s="22">
        <v>64</v>
      </c>
      <c r="O20" s="19"/>
      <c r="P20" s="22">
        <f t="shared" si="1"/>
        <v>113</v>
      </c>
      <c r="Q20" s="19"/>
      <c r="R20" s="35">
        <v>162</v>
      </c>
      <c r="S20" s="19">
        <v>203.1</v>
      </c>
      <c r="T20" s="33">
        <v>211</v>
      </c>
      <c r="U20" s="19">
        <v>203.2</v>
      </c>
      <c r="W20" s="22">
        <v>15</v>
      </c>
      <c r="X20" s="19"/>
      <c r="Y20" s="22">
        <v>64</v>
      </c>
      <c r="Z20" s="19">
        <v>203.7</v>
      </c>
      <c r="AA20" s="22">
        <f t="shared" si="2"/>
        <v>113</v>
      </c>
      <c r="AB20" s="19">
        <v>206.2</v>
      </c>
      <c r="AC20" s="35">
        <v>162</v>
      </c>
      <c r="AD20" s="19"/>
      <c r="AE20" s="33">
        <v>211</v>
      </c>
      <c r="AF20" s="19"/>
    </row>
    <row r="21" spans="1:32" ht="15.75" x14ac:dyDescent="0.25">
      <c r="A21" s="22">
        <v>16</v>
      </c>
      <c r="B21" s="19">
        <v>208.1</v>
      </c>
      <c r="C21" s="22">
        <v>65</v>
      </c>
      <c r="D21" s="19">
        <v>203.3</v>
      </c>
      <c r="E21" s="22">
        <f t="shared" si="0"/>
        <v>114</v>
      </c>
      <c r="F21" s="19">
        <v>201.3</v>
      </c>
      <c r="G21" s="35">
        <v>163</v>
      </c>
      <c r="H21" s="19">
        <v>195.3</v>
      </c>
      <c r="I21" s="33">
        <v>212</v>
      </c>
      <c r="J21" s="19">
        <v>204.8</v>
      </c>
      <c r="L21" s="22">
        <v>16</v>
      </c>
      <c r="M21" s="19">
        <v>208.1</v>
      </c>
      <c r="N21" s="22">
        <v>65</v>
      </c>
      <c r="O21" s="19"/>
      <c r="P21" s="22">
        <f t="shared" si="1"/>
        <v>114</v>
      </c>
      <c r="Q21" s="19"/>
      <c r="R21" s="35">
        <v>163</v>
      </c>
      <c r="S21" s="19">
        <v>195.3</v>
      </c>
      <c r="T21" s="33">
        <v>212</v>
      </c>
      <c r="U21" s="19">
        <v>204.8</v>
      </c>
      <c r="W21" s="22">
        <v>16</v>
      </c>
      <c r="X21" s="19"/>
      <c r="Y21" s="22">
        <v>65</v>
      </c>
      <c r="Z21" s="19">
        <v>203.3</v>
      </c>
      <c r="AA21" s="22">
        <f t="shared" si="2"/>
        <v>114</v>
      </c>
      <c r="AB21" s="19">
        <v>201.3</v>
      </c>
      <c r="AC21" s="35">
        <v>163</v>
      </c>
      <c r="AD21" s="19"/>
      <c r="AE21" s="33">
        <v>212</v>
      </c>
      <c r="AF21" s="19"/>
    </row>
    <row r="22" spans="1:32" ht="15.75" x14ac:dyDescent="0.25">
      <c r="A22" s="22">
        <v>17</v>
      </c>
      <c r="B22" s="19">
        <v>200.2</v>
      </c>
      <c r="C22" s="22">
        <v>66</v>
      </c>
      <c r="D22" s="19">
        <v>206.1</v>
      </c>
      <c r="E22" s="22">
        <f t="shared" si="0"/>
        <v>115</v>
      </c>
      <c r="F22" s="19">
        <v>205.1</v>
      </c>
      <c r="G22" s="35">
        <v>164</v>
      </c>
      <c r="H22" s="19">
        <v>198.5</v>
      </c>
      <c r="I22" s="33">
        <v>213</v>
      </c>
      <c r="J22" s="19">
        <v>200.6</v>
      </c>
      <c r="L22" s="22">
        <v>17</v>
      </c>
      <c r="M22" s="19">
        <v>200.2</v>
      </c>
      <c r="N22" s="22">
        <v>66</v>
      </c>
      <c r="O22" s="19"/>
      <c r="P22" s="22">
        <f t="shared" si="1"/>
        <v>115</v>
      </c>
      <c r="Q22" s="19"/>
      <c r="R22" s="35">
        <v>164</v>
      </c>
      <c r="S22" s="19">
        <v>198.5</v>
      </c>
      <c r="T22" s="33">
        <v>213</v>
      </c>
      <c r="U22" s="19">
        <v>200.6</v>
      </c>
      <c r="W22" s="22">
        <v>17</v>
      </c>
      <c r="X22" s="19"/>
      <c r="Y22" s="22">
        <v>66</v>
      </c>
      <c r="Z22" s="19">
        <v>206.1</v>
      </c>
      <c r="AA22" s="22">
        <f t="shared" si="2"/>
        <v>115</v>
      </c>
      <c r="AB22" s="19">
        <v>205.1</v>
      </c>
      <c r="AC22" s="35">
        <v>164</v>
      </c>
      <c r="AD22" s="19"/>
      <c r="AE22" s="33">
        <v>213</v>
      </c>
      <c r="AF22" s="19"/>
    </row>
    <row r="23" spans="1:32" ht="15.75" x14ac:dyDescent="0.25">
      <c r="A23" s="22">
        <v>18</v>
      </c>
      <c r="B23" s="19">
        <v>213.1</v>
      </c>
      <c r="C23" s="22">
        <v>67</v>
      </c>
      <c r="D23" s="19">
        <v>201.8</v>
      </c>
      <c r="E23" s="22">
        <f t="shared" si="0"/>
        <v>116</v>
      </c>
      <c r="F23" s="19">
        <v>204.3</v>
      </c>
      <c r="G23" s="35">
        <v>165</v>
      </c>
      <c r="H23" s="19">
        <v>201.9</v>
      </c>
      <c r="I23" s="33">
        <v>214</v>
      </c>
      <c r="J23" s="19">
        <v>204.1</v>
      </c>
      <c r="L23" s="22">
        <v>18</v>
      </c>
      <c r="M23" s="19">
        <v>213.1</v>
      </c>
      <c r="N23" s="22">
        <v>67</v>
      </c>
      <c r="O23" s="19"/>
      <c r="P23" s="22">
        <f t="shared" si="1"/>
        <v>116</v>
      </c>
      <c r="Q23" s="19"/>
      <c r="R23" s="35">
        <v>165</v>
      </c>
      <c r="S23" s="19">
        <v>201.9</v>
      </c>
      <c r="T23" s="33">
        <v>214</v>
      </c>
      <c r="U23" s="19">
        <v>204.1</v>
      </c>
      <c r="W23" s="22">
        <v>18</v>
      </c>
      <c r="X23" s="19"/>
      <c r="Y23" s="22">
        <v>67</v>
      </c>
      <c r="Z23" s="19">
        <v>201.8</v>
      </c>
      <c r="AA23" s="22">
        <f t="shared" si="2"/>
        <v>116</v>
      </c>
      <c r="AB23" s="19">
        <v>204.3</v>
      </c>
      <c r="AC23" s="35">
        <v>165</v>
      </c>
      <c r="AD23" s="19"/>
      <c r="AE23" s="33">
        <v>214</v>
      </c>
      <c r="AF23" s="19"/>
    </row>
    <row r="24" spans="1:32" ht="15.75" x14ac:dyDescent="0.25">
      <c r="A24" s="22">
        <v>19</v>
      </c>
      <c r="B24" s="19">
        <v>206.3</v>
      </c>
      <c r="C24" s="22">
        <v>68</v>
      </c>
      <c r="D24" s="19">
        <v>207</v>
      </c>
      <c r="E24" s="22">
        <f t="shared" si="0"/>
        <v>117</v>
      </c>
      <c r="F24" s="19">
        <v>204.8</v>
      </c>
      <c r="G24" s="35">
        <v>166</v>
      </c>
      <c r="H24" s="19">
        <v>194.6</v>
      </c>
      <c r="I24" s="33">
        <v>215</v>
      </c>
      <c r="J24" s="19">
        <v>202.4</v>
      </c>
      <c r="L24" s="22">
        <v>19</v>
      </c>
      <c r="M24" s="19">
        <v>206.3</v>
      </c>
      <c r="N24" s="22">
        <v>68</v>
      </c>
      <c r="O24" s="19"/>
      <c r="P24" s="22">
        <f t="shared" si="1"/>
        <v>117</v>
      </c>
      <c r="Q24" s="19"/>
      <c r="R24" s="35">
        <v>166</v>
      </c>
      <c r="S24" s="19">
        <v>194.6</v>
      </c>
      <c r="T24" s="33">
        <v>215</v>
      </c>
      <c r="U24" s="19">
        <v>202.4</v>
      </c>
      <c r="W24" s="22">
        <v>19</v>
      </c>
      <c r="X24" s="19"/>
      <c r="Y24" s="22">
        <v>68</v>
      </c>
      <c r="Z24" s="19">
        <v>207</v>
      </c>
      <c r="AA24" s="22">
        <f t="shared" si="2"/>
        <v>117</v>
      </c>
      <c r="AB24" s="19">
        <v>204.8</v>
      </c>
      <c r="AC24" s="35">
        <v>166</v>
      </c>
      <c r="AD24" s="19"/>
      <c r="AE24" s="33">
        <v>215</v>
      </c>
      <c r="AF24" s="19"/>
    </row>
    <row r="25" spans="1:32" ht="15.75" x14ac:dyDescent="0.25">
      <c r="A25" s="22">
        <v>20</v>
      </c>
      <c r="B25" s="19">
        <v>211.2</v>
      </c>
      <c r="C25" s="22">
        <v>69</v>
      </c>
      <c r="D25" s="19">
        <v>206.9</v>
      </c>
      <c r="E25" s="22">
        <f t="shared" si="0"/>
        <v>118</v>
      </c>
      <c r="F25" s="19">
        <v>208</v>
      </c>
      <c r="G25" s="35">
        <v>167</v>
      </c>
      <c r="H25" s="19">
        <v>205.4</v>
      </c>
      <c r="I25" s="33">
        <v>216</v>
      </c>
      <c r="J25" s="19">
        <v>200.8</v>
      </c>
      <c r="L25" s="22">
        <v>20</v>
      </c>
      <c r="M25" s="19">
        <v>211.2</v>
      </c>
      <c r="N25" s="22">
        <v>69</v>
      </c>
      <c r="O25" s="19"/>
      <c r="P25" s="22">
        <f t="shared" si="1"/>
        <v>118</v>
      </c>
      <c r="Q25" s="19"/>
      <c r="R25" s="35">
        <v>167</v>
      </c>
      <c r="S25" s="19">
        <v>205.4</v>
      </c>
      <c r="T25" s="33">
        <v>216</v>
      </c>
      <c r="U25" s="19">
        <v>200.8</v>
      </c>
      <c r="W25" s="22">
        <v>20</v>
      </c>
      <c r="X25" s="19"/>
      <c r="Y25" s="22">
        <v>69</v>
      </c>
      <c r="Z25" s="19">
        <v>206.9</v>
      </c>
      <c r="AA25" s="22">
        <f t="shared" si="2"/>
        <v>118</v>
      </c>
      <c r="AB25" s="19">
        <v>208</v>
      </c>
      <c r="AC25" s="35">
        <v>167</v>
      </c>
      <c r="AD25" s="19"/>
      <c r="AE25" s="33">
        <v>216</v>
      </c>
      <c r="AF25" s="19"/>
    </row>
    <row r="26" spans="1:32" ht="15.75" x14ac:dyDescent="0.25">
      <c r="A26" s="22">
        <v>21</v>
      </c>
      <c r="B26" s="19">
        <v>205.4</v>
      </c>
      <c r="C26" s="22">
        <v>70</v>
      </c>
      <c r="D26" s="19">
        <v>207.1</v>
      </c>
      <c r="E26" s="22">
        <f t="shared" si="0"/>
        <v>119</v>
      </c>
      <c r="F26" s="19">
        <v>206.5</v>
      </c>
      <c r="G26" s="35">
        <v>168</v>
      </c>
      <c r="H26" s="19">
        <v>202</v>
      </c>
      <c r="I26" s="33">
        <v>217</v>
      </c>
      <c r="J26" s="19">
        <v>203.1</v>
      </c>
      <c r="L26" s="22">
        <v>21</v>
      </c>
      <c r="M26" s="19"/>
      <c r="N26" s="22">
        <v>70</v>
      </c>
      <c r="O26" s="19"/>
      <c r="P26" s="22">
        <f t="shared" si="1"/>
        <v>119</v>
      </c>
      <c r="Q26" s="19"/>
      <c r="R26" s="35">
        <v>168</v>
      </c>
      <c r="S26" s="19">
        <v>202</v>
      </c>
      <c r="T26" s="33">
        <v>217</v>
      </c>
      <c r="U26" s="19">
        <v>203.1</v>
      </c>
      <c r="W26" s="22">
        <v>21</v>
      </c>
      <c r="X26" s="19">
        <v>205.4</v>
      </c>
      <c r="Y26" s="22">
        <v>70</v>
      </c>
      <c r="Z26" s="19">
        <v>207.1</v>
      </c>
      <c r="AA26" s="22">
        <f t="shared" si="2"/>
        <v>119</v>
      </c>
      <c r="AB26" s="19">
        <v>206.5</v>
      </c>
      <c r="AC26" s="35">
        <v>168</v>
      </c>
      <c r="AD26" s="19"/>
      <c r="AE26" s="33">
        <v>217</v>
      </c>
      <c r="AF26" s="19"/>
    </row>
    <row r="27" spans="1:32" ht="15.75" x14ac:dyDescent="0.25">
      <c r="A27" s="22">
        <v>22</v>
      </c>
      <c r="B27" s="19">
        <v>208.1</v>
      </c>
      <c r="C27" s="22">
        <v>71</v>
      </c>
      <c r="D27" s="19">
        <v>205.8</v>
      </c>
      <c r="E27" s="22">
        <f t="shared" si="0"/>
        <v>120</v>
      </c>
      <c r="F27" s="19">
        <v>201</v>
      </c>
      <c r="G27" s="35">
        <v>169</v>
      </c>
      <c r="H27" s="19">
        <v>201.9</v>
      </c>
      <c r="I27" s="33">
        <v>218</v>
      </c>
      <c r="J27" s="19">
        <v>201.2</v>
      </c>
      <c r="L27" s="22">
        <v>22</v>
      </c>
      <c r="M27" s="19"/>
      <c r="N27" s="22">
        <v>71</v>
      </c>
      <c r="O27" s="19"/>
      <c r="P27" s="22">
        <f t="shared" si="1"/>
        <v>120</v>
      </c>
      <c r="Q27" s="19"/>
      <c r="R27" s="35">
        <v>169</v>
      </c>
      <c r="S27" s="19">
        <v>201.9</v>
      </c>
      <c r="T27" s="33">
        <v>218</v>
      </c>
      <c r="U27" s="19">
        <v>201.2</v>
      </c>
      <c r="W27" s="22">
        <v>22</v>
      </c>
      <c r="X27" s="19">
        <v>208.1</v>
      </c>
      <c r="Y27" s="22">
        <v>71</v>
      </c>
      <c r="Z27" s="19">
        <v>205.8</v>
      </c>
      <c r="AA27" s="22">
        <f t="shared" si="2"/>
        <v>120</v>
      </c>
      <c r="AB27" s="19">
        <v>201</v>
      </c>
      <c r="AC27" s="35">
        <v>169</v>
      </c>
      <c r="AD27" s="19"/>
      <c r="AE27" s="33">
        <v>218</v>
      </c>
      <c r="AF27" s="19"/>
    </row>
    <row r="28" spans="1:32" ht="15.75" x14ac:dyDescent="0.25">
      <c r="A28" s="22">
        <v>23</v>
      </c>
      <c r="B28" s="19">
        <v>203.2</v>
      </c>
      <c r="C28" s="22">
        <v>72</v>
      </c>
      <c r="D28" s="19">
        <v>206.7</v>
      </c>
      <c r="E28" s="22">
        <f t="shared" si="0"/>
        <v>121</v>
      </c>
      <c r="F28" s="19">
        <v>207.8</v>
      </c>
      <c r="G28" s="35">
        <v>170</v>
      </c>
      <c r="H28" s="19">
        <v>201.4</v>
      </c>
      <c r="I28" s="33">
        <v>219</v>
      </c>
      <c r="J28" s="19">
        <v>193.7</v>
      </c>
      <c r="L28" s="22">
        <v>23</v>
      </c>
      <c r="M28" s="19"/>
      <c r="N28" s="22">
        <v>72</v>
      </c>
      <c r="O28" s="19"/>
      <c r="P28" s="22">
        <f t="shared" si="1"/>
        <v>121</v>
      </c>
      <c r="Q28" s="19"/>
      <c r="R28" s="35">
        <v>170</v>
      </c>
      <c r="S28" s="19">
        <v>201.4</v>
      </c>
      <c r="T28" s="33">
        <v>219</v>
      </c>
      <c r="U28" s="19">
        <v>193.7</v>
      </c>
      <c r="W28" s="22">
        <v>23</v>
      </c>
      <c r="X28" s="19">
        <v>203.2</v>
      </c>
      <c r="Y28" s="22">
        <v>72</v>
      </c>
      <c r="Z28" s="19">
        <v>206.7</v>
      </c>
      <c r="AA28" s="22">
        <f t="shared" si="2"/>
        <v>121</v>
      </c>
      <c r="AB28" s="19">
        <v>207.8</v>
      </c>
      <c r="AC28" s="35">
        <v>170</v>
      </c>
      <c r="AD28" s="19"/>
      <c r="AE28" s="33">
        <v>219</v>
      </c>
      <c r="AF28" s="19"/>
    </row>
    <row r="29" spans="1:32" ht="15.75" x14ac:dyDescent="0.25">
      <c r="A29" s="22">
        <v>24</v>
      </c>
      <c r="B29" s="19">
        <v>202.7</v>
      </c>
      <c r="C29" s="22">
        <v>73</v>
      </c>
      <c r="D29" s="19">
        <v>203</v>
      </c>
      <c r="E29" s="22">
        <f t="shared" si="0"/>
        <v>122</v>
      </c>
      <c r="F29" s="19">
        <v>202</v>
      </c>
      <c r="G29" s="35">
        <v>171</v>
      </c>
      <c r="H29" s="19">
        <v>203.2</v>
      </c>
      <c r="I29" s="33">
        <v>220</v>
      </c>
      <c r="J29" s="19">
        <v>199.3</v>
      </c>
      <c r="L29" s="22">
        <v>24</v>
      </c>
      <c r="M29" s="19"/>
      <c r="N29" s="22">
        <v>73</v>
      </c>
      <c r="O29" s="19"/>
      <c r="P29" s="22">
        <f t="shared" si="1"/>
        <v>122</v>
      </c>
      <c r="Q29" s="19">
        <v>202</v>
      </c>
      <c r="R29" s="35">
        <v>171</v>
      </c>
      <c r="S29" s="19">
        <v>203.2</v>
      </c>
      <c r="T29" s="33">
        <v>220</v>
      </c>
      <c r="U29" s="19">
        <v>199.3</v>
      </c>
      <c r="W29" s="22">
        <v>24</v>
      </c>
      <c r="X29" s="19">
        <v>202.7</v>
      </c>
      <c r="Y29" s="22">
        <v>73</v>
      </c>
      <c r="Z29" s="19">
        <v>203</v>
      </c>
      <c r="AA29" s="22">
        <f t="shared" si="2"/>
        <v>122</v>
      </c>
      <c r="AB29" s="19"/>
      <c r="AC29" s="35">
        <v>171</v>
      </c>
      <c r="AD29" s="19"/>
      <c r="AE29" s="33">
        <v>220</v>
      </c>
      <c r="AF29" s="19"/>
    </row>
    <row r="30" spans="1:32" ht="15.75" x14ac:dyDescent="0.25">
      <c r="A30" s="22">
        <v>25</v>
      </c>
      <c r="B30" s="19">
        <v>216.2</v>
      </c>
      <c r="C30" s="22">
        <v>74</v>
      </c>
      <c r="D30" s="19">
        <v>203.5</v>
      </c>
      <c r="E30" s="22">
        <f t="shared" si="0"/>
        <v>123</v>
      </c>
      <c r="F30" s="19">
        <v>208.3</v>
      </c>
      <c r="G30" s="35">
        <v>172</v>
      </c>
      <c r="H30" s="19">
        <v>200.6</v>
      </c>
      <c r="I30" s="20"/>
      <c r="J30" s="36"/>
      <c r="L30" s="22">
        <v>25</v>
      </c>
      <c r="M30" s="19"/>
      <c r="N30" s="22">
        <v>74</v>
      </c>
      <c r="O30" s="19"/>
      <c r="P30" s="22">
        <f t="shared" si="1"/>
        <v>123</v>
      </c>
      <c r="Q30" s="19">
        <v>208.3</v>
      </c>
      <c r="R30" s="35">
        <v>172</v>
      </c>
      <c r="S30" s="19">
        <v>200.6</v>
      </c>
      <c r="T30" s="20"/>
      <c r="U30" s="36"/>
      <c r="W30" s="22">
        <v>25</v>
      </c>
      <c r="X30" s="19">
        <v>216.2</v>
      </c>
      <c r="Y30" s="22">
        <v>74</v>
      </c>
      <c r="Z30" s="19">
        <v>203.5</v>
      </c>
      <c r="AA30" s="22">
        <f t="shared" si="2"/>
        <v>123</v>
      </c>
      <c r="AB30" s="19"/>
      <c r="AC30" s="35">
        <v>172</v>
      </c>
      <c r="AD30" s="19"/>
      <c r="AE30" s="20"/>
      <c r="AF30" s="36"/>
    </row>
    <row r="31" spans="1:32" ht="15.75" x14ac:dyDescent="0.25">
      <c r="A31" s="22">
        <v>26</v>
      </c>
      <c r="B31" s="19">
        <v>195.1</v>
      </c>
      <c r="C31" s="22">
        <v>75</v>
      </c>
      <c r="D31" s="19">
        <v>203</v>
      </c>
      <c r="E31" s="22">
        <f t="shared" si="0"/>
        <v>124</v>
      </c>
      <c r="F31" s="19">
        <v>204.6</v>
      </c>
      <c r="G31" s="35">
        <v>173</v>
      </c>
      <c r="H31" s="19">
        <v>201.6</v>
      </c>
      <c r="I31" s="20"/>
      <c r="J31" s="36"/>
      <c r="L31" s="22">
        <v>26</v>
      </c>
      <c r="M31" s="19"/>
      <c r="N31" s="22">
        <v>75</v>
      </c>
      <c r="O31" s="19"/>
      <c r="P31" s="22">
        <f t="shared" si="1"/>
        <v>124</v>
      </c>
      <c r="Q31" s="19">
        <v>204.6</v>
      </c>
      <c r="R31" s="35">
        <v>173</v>
      </c>
      <c r="S31" s="19">
        <v>201.6</v>
      </c>
      <c r="T31" s="20"/>
      <c r="U31" s="36"/>
      <c r="W31" s="22">
        <v>26</v>
      </c>
      <c r="X31" s="19">
        <v>195.1</v>
      </c>
      <c r="Y31" s="22">
        <v>75</v>
      </c>
      <c r="Z31" s="19">
        <v>203</v>
      </c>
      <c r="AA31" s="22">
        <f t="shared" si="2"/>
        <v>124</v>
      </c>
      <c r="AB31" s="19"/>
      <c r="AC31" s="35">
        <v>173</v>
      </c>
      <c r="AD31" s="19"/>
      <c r="AE31" s="20"/>
      <c r="AF31" s="36"/>
    </row>
    <row r="32" spans="1:32" ht="15.75" x14ac:dyDescent="0.25">
      <c r="A32" s="22">
        <v>27</v>
      </c>
      <c r="B32" s="19">
        <v>194.4</v>
      </c>
      <c r="C32" s="22">
        <v>76</v>
      </c>
      <c r="D32" s="19">
        <v>208.9</v>
      </c>
      <c r="E32" s="22">
        <f t="shared" si="0"/>
        <v>125</v>
      </c>
      <c r="F32" s="19">
        <v>216</v>
      </c>
      <c r="G32" s="33">
        <v>174</v>
      </c>
      <c r="H32" s="19">
        <v>196.1</v>
      </c>
      <c r="I32" s="21"/>
      <c r="J32" s="36"/>
      <c r="L32" s="22">
        <v>27</v>
      </c>
      <c r="M32" s="19"/>
      <c r="N32" s="22">
        <v>76</v>
      </c>
      <c r="O32" s="19"/>
      <c r="P32" s="22">
        <f t="shared" si="1"/>
        <v>125</v>
      </c>
      <c r="Q32" s="19">
        <v>216</v>
      </c>
      <c r="R32" s="33">
        <v>174</v>
      </c>
      <c r="S32" s="19">
        <v>196.1</v>
      </c>
      <c r="T32" s="21"/>
      <c r="U32" s="36"/>
      <c r="W32" s="22">
        <v>27</v>
      </c>
      <c r="X32" s="19">
        <v>194.4</v>
      </c>
      <c r="Y32" s="22">
        <v>76</v>
      </c>
      <c r="Z32" s="19">
        <v>208.9</v>
      </c>
      <c r="AA32" s="22">
        <f t="shared" si="2"/>
        <v>125</v>
      </c>
      <c r="AB32" s="19"/>
      <c r="AC32" s="33">
        <v>174</v>
      </c>
      <c r="AD32" s="19"/>
      <c r="AE32" s="21"/>
      <c r="AF32" s="36"/>
    </row>
    <row r="33" spans="1:32" ht="15.75" x14ac:dyDescent="0.25">
      <c r="A33" s="22">
        <v>28</v>
      </c>
      <c r="B33" s="19">
        <v>197.9</v>
      </c>
      <c r="C33" s="22">
        <v>77</v>
      </c>
      <c r="D33" s="19">
        <v>203.9</v>
      </c>
      <c r="E33" s="22">
        <f t="shared" si="0"/>
        <v>126</v>
      </c>
      <c r="F33" s="19">
        <v>203.2</v>
      </c>
      <c r="G33" s="33">
        <v>175</v>
      </c>
      <c r="H33" s="19">
        <v>194.4</v>
      </c>
      <c r="I33" s="20"/>
      <c r="J33" s="36"/>
      <c r="L33" s="22">
        <v>28</v>
      </c>
      <c r="M33" s="19"/>
      <c r="N33" s="22">
        <v>77</v>
      </c>
      <c r="O33" s="19"/>
      <c r="P33" s="22">
        <f t="shared" si="1"/>
        <v>126</v>
      </c>
      <c r="Q33" s="19">
        <v>203.2</v>
      </c>
      <c r="R33" s="33">
        <v>175</v>
      </c>
      <c r="S33" s="19">
        <v>194.4</v>
      </c>
      <c r="T33" s="20"/>
      <c r="U33" s="36"/>
      <c r="W33" s="22">
        <v>28</v>
      </c>
      <c r="X33" s="19">
        <v>197.9</v>
      </c>
      <c r="Y33" s="22">
        <v>77</v>
      </c>
      <c r="Z33" s="19">
        <v>203.9</v>
      </c>
      <c r="AA33" s="22">
        <f t="shared" si="2"/>
        <v>126</v>
      </c>
      <c r="AB33" s="19"/>
      <c r="AC33" s="33">
        <v>175</v>
      </c>
      <c r="AD33" s="19"/>
      <c r="AE33" s="20"/>
      <c r="AF33" s="36"/>
    </row>
    <row r="34" spans="1:32" ht="15.75" x14ac:dyDescent="0.25">
      <c r="A34" s="22">
        <v>29</v>
      </c>
      <c r="B34" s="19">
        <v>210.5</v>
      </c>
      <c r="C34" s="22">
        <v>78</v>
      </c>
      <c r="D34" s="19">
        <v>203.8</v>
      </c>
      <c r="E34" s="22">
        <f t="shared" si="0"/>
        <v>127</v>
      </c>
      <c r="F34" s="19">
        <v>216.9</v>
      </c>
      <c r="G34" s="33">
        <v>176</v>
      </c>
      <c r="H34" s="19">
        <v>202.7</v>
      </c>
      <c r="I34" s="20"/>
      <c r="J34" s="36"/>
      <c r="L34" s="22">
        <v>29</v>
      </c>
      <c r="M34" s="19"/>
      <c r="N34" s="22">
        <v>78</v>
      </c>
      <c r="O34" s="19"/>
      <c r="P34" s="22">
        <f t="shared" si="1"/>
        <v>127</v>
      </c>
      <c r="Q34" s="19">
        <v>216.9</v>
      </c>
      <c r="R34" s="33">
        <v>176</v>
      </c>
      <c r="S34" s="19">
        <v>202.7</v>
      </c>
      <c r="T34" s="20"/>
      <c r="U34" s="36"/>
      <c r="W34" s="22">
        <v>29</v>
      </c>
      <c r="X34" s="19">
        <v>210.5</v>
      </c>
      <c r="Y34" s="22">
        <v>78</v>
      </c>
      <c r="Z34" s="19">
        <v>203.8</v>
      </c>
      <c r="AA34" s="22">
        <f t="shared" si="2"/>
        <v>127</v>
      </c>
      <c r="AB34" s="19"/>
      <c r="AC34" s="33">
        <v>176</v>
      </c>
      <c r="AD34" s="19"/>
      <c r="AE34" s="20"/>
      <c r="AF34" s="36"/>
    </row>
    <row r="35" spans="1:32" ht="15.75" x14ac:dyDescent="0.25">
      <c r="A35" s="22">
        <v>30</v>
      </c>
      <c r="B35" s="19">
        <v>224.8</v>
      </c>
      <c r="C35" s="22">
        <v>79</v>
      </c>
      <c r="D35" s="19">
        <v>208.8</v>
      </c>
      <c r="E35" s="22">
        <f t="shared" si="0"/>
        <v>128</v>
      </c>
      <c r="F35" s="19">
        <v>207.2</v>
      </c>
      <c r="G35" s="33">
        <v>177</v>
      </c>
      <c r="H35" s="19">
        <v>204.1</v>
      </c>
      <c r="I35" s="21"/>
      <c r="J35" s="36"/>
      <c r="L35" s="22">
        <v>30</v>
      </c>
      <c r="M35" s="19"/>
      <c r="N35" s="22">
        <v>79</v>
      </c>
      <c r="O35" s="19"/>
      <c r="P35" s="22">
        <f t="shared" si="1"/>
        <v>128</v>
      </c>
      <c r="Q35" s="19">
        <v>207.2</v>
      </c>
      <c r="R35" s="33">
        <v>177</v>
      </c>
      <c r="S35" s="19">
        <v>204.1</v>
      </c>
      <c r="T35" s="21"/>
      <c r="U35" s="36"/>
      <c r="W35" s="22">
        <v>30</v>
      </c>
      <c r="X35" s="19">
        <v>224.8</v>
      </c>
      <c r="Y35" s="22">
        <v>79</v>
      </c>
      <c r="Z35" s="19">
        <v>208.8</v>
      </c>
      <c r="AA35" s="22">
        <f t="shared" si="2"/>
        <v>128</v>
      </c>
      <c r="AB35" s="19"/>
      <c r="AC35" s="33">
        <v>177</v>
      </c>
      <c r="AD35" s="19"/>
      <c r="AE35" s="21"/>
      <c r="AF35" s="36"/>
    </row>
    <row r="36" spans="1:32" ht="15.75" x14ac:dyDescent="0.25">
      <c r="A36" s="22">
        <v>31</v>
      </c>
      <c r="B36" s="19">
        <v>223.4</v>
      </c>
      <c r="C36" s="22">
        <v>80</v>
      </c>
      <c r="D36" s="19">
        <v>205.8</v>
      </c>
      <c r="E36" s="22">
        <f t="shared" si="0"/>
        <v>129</v>
      </c>
      <c r="F36" s="19">
        <v>204.2</v>
      </c>
      <c r="G36" s="33">
        <v>178</v>
      </c>
      <c r="H36" s="19">
        <v>200.4</v>
      </c>
      <c r="I36" s="20"/>
      <c r="J36" s="36"/>
      <c r="L36" s="22">
        <v>31</v>
      </c>
      <c r="M36" s="19"/>
      <c r="N36" s="22">
        <v>80</v>
      </c>
      <c r="O36" s="19"/>
      <c r="P36" s="22">
        <f t="shared" si="1"/>
        <v>129</v>
      </c>
      <c r="Q36" s="19">
        <v>204.2</v>
      </c>
      <c r="R36" s="33">
        <v>178</v>
      </c>
      <c r="S36" s="19">
        <v>200.4</v>
      </c>
      <c r="T36" s="20"/>
      <c r="U36" s="36"/>
      <c r="W36" s="22">
        <v>31</v>
      </c>
      <c r="X36" s="19">
        <v>223.4</v>
      </c>
      <c r="Y36" s="22">
        <v>80</v>
      </c>
      <c r="Z36" s="19">
        <v>205.8</v>
      </c>
      <c r="AA36" s="22">
        <f t="shared" si="2"/>
        <v>129</v>
      </c>
      <c r="AB36" s="19"/>
      <c r="AC36" s="33">
        <v>178</v>
      </c>
      <c r="AD36" s="19"/>
      <c r="AE36" s="20"/>
      <c r="AF36" s="36"/>
    </row>
    <row r="37" spans="1:32" ht="15.75" x14ac:dyDescent="0.25">
      <c r="A37" s="22">
        <v>32</v>
      </c>
      <c r="B37" s="19">
        <v>213.4</v>
      </c>
      <c r="C37" s="22">
        <v>81</v>
      </c>
      <c r="D37" s="19">
        <v>207.2</v>
      </c>
      <c r="E37" s="22">
        <f t="shared" si="0"/>
        <v>130</v>
      </c>
      <c r="F37" s="19">
        <v>201.3</v>
      </c>
      <c r="G37" s="33">
        <v>179</v>
      </c>
      <c r="H37" s="19">
        <v>199.3</v>
      </c>
      <c r="I37" s="20"/>
      <c r="J37" s="36"/>
      <c r="L37" s="22">
        <v>32</v>
      </c>
      <c r="M37" s="19"/>
      <c r="N37" s="22">
        <v>81</v>
      </c>
      <c r="O37" s="19"/>
      <c r="P37" s="22">
        <f t="shared" si="1"/>
        <v>130</v>
      </c>
      <c r="Q37" s="19">
        <v>201.3</v>
      </c>
      <c r="R37" s="33">
        <v>179</v>
      </c>
      <c r="S37" s="19">
        <v>199.3</v>
      </c>
      <c r="T37" s="20"/>
      <c r="U37" s="36"/>
      <c r="W37" s="22">
        <v>32</v>
      </c>
      <c r="X37" s="19">
        <v>213.4</v>
      </c>
      <c r="Y37" s="22">
        <v>81</v>
      </c>
      <c r="Z37" s="19">
        <v>207.2</v>
      </c>
      <c r="AA37" s="22">
        <f t="shared" si="2"/>
        <v>130</v>
      </c>
      <c r="AB37" s="19"/>
      <c r="AC37" s="33">
        <v>179</v>
      </c>
      <c r="AD37" s="19"/>
      <c r="AE37" s="20"/>
      <c r="AF37" s="36"/>
    </row>
    <row r="38" spans="1:32" ht="15.75" x14ac:dyDescent="0.25">
      <c r="A38" s="22">
        <v>33</v>
      </c>
      <c r="B38" s="19">
        <v>218.8</v>
      </c>
      <c r="C38" s="22">
        <v>82</v>
      </c>
      <c r="D38" s="19">
        <v>204.5</v>
      </c>
      <c r="E38" s="22">
        <f t="shared" si="0"/>
        <v>131</v>
      </c>
      <c r="F38" s="19">
        <v>216.2</v>
      </c>
      <c r="G38" s="33">
        <v>180</v>
      </c>
      <c r="H38" s="19">
        <v>195.7</v>
      </c>
      <c r="I38" s="21"/>
      <c r="J38" s="36"/>
      <c r="L38" s="22">
        <v>33</v>
      </c>
      <c r="M38" s="19"/>
      <c r="N38" s="22">
        <v>82</v>
      </c>
      <c r="O38" s="19"/>
      <c r="P38" s="22">
        <f t="shared" si="1"/>
        <v>131</v>
      </c>
      <c r="Q38" s="19">
        <v>216.2</v>
      </c>
      <c r="R38" s="33">
        <v>180</v>
      </c>
      <c r="S38" s="19">
        <v>195.7</v>
      </c>
      <c r="T38" s="21"/>
      <c r="U38" s="36"/>
      <c r="W38" s="22">
        <v>33</v>
      </c>
      <c r="X38" s="19">
        <v>218.8</v>
      </c>
      <c r="Y38" s="22">
        <v>82</v>
      </c>
      <c r="Z38" s="19">
        <v>204.5</v>
      </c>
      <c r="AA38" s="22">
        <f t="shared" si="2"/>
        <v>131</v>
      </c>
      <c r="AB38" s="19"/>
      <c r="AC38" s="33">
        <v>180</v>
      </c>
      <c r="AD38" s="19"/>
      <c r="AE38" s="21"/>
      <c r="AF38" s="36"/>
    </row>
    <row r="39" spans="1:32" ht="15.75" x14ac:dyDescent="0.25">
      <c r="A39" s="22">
        <v>34</v>
      </c>
      <c r="B39" s="19">
        <v>203.1</v>
      </c>
      <c r="C39" s="22">
        <v>83</v>
      </c>
      <c r="D39" s="19">
        <v>206.8</v>
      </c>
      <c r="E39" s="22">
        <f t="shared" si="0"/>
        <v>132</v>
      </c>
      <c r="F39" s="19">
        <v>200.3</v>
      </c>
      <c r="G39" s="33">
        <v>181</v>
      </c>
      <c r="H39" s="19">
        <v>203.9</v>
      </c>
      <c r="I39" s="21"/>
      <c r="J39" s="36"/>
      <c r="L39" s="22">
        <v>34</v>
      </c>
      <c r="M39" s="19"/>
      <c r="N39" s="22">
        <v>83</v>
      </c>
      <c r="O39" s="19"/>
      <c r="P39" s="22">
        <f t="shared" si="1"/>
        <v>132</v>
      </c>
      <c r="Q39" s="19">
        <v>200.3</v>
      </c>
      <c r="R39" s="33">
        <v>181</v>
      </c>
      <c r="S39" s="19">
        <v>203.9</v>
      </c>
      <c r="T39" s="21"/>
      <c r="U39" s="36"/>
      <c r="W39" s="22">
        <v>34</v>
      </c>
      <c r="X39" s="19">
        <v>203.1</v>
      </c>
      <c r="Y39" s="22">
        <v>83</v>
      </c>
      <c r="Z39" s="19">
        <v>206.8</v>
      </c>
      <c r="AA39" s="22">
        <f t="shared" si="2"/>
        <v>132</v>
      </c>
      <c r="AB39" s="19"/>
      <c r="AC39" s="33">
        <v>181</v>
      </c>
      <c r="AD39" s="19"/>
      <c r="AE39" s="21"/>
      <c r="AF39" s="36"/>
    </row>
    <row r="40" spans="1:32" ht="15.75" x14ac:dyDescent="0.25">
      <c r="A40" s="22">
        <v>35</v>
      </c>
      <c r="B40" s="19">
        <v>201</v>
      </c>
      <c r="C40" s="22">
        <v>84</v>
      </c>
      <c r="D40" s="19">
        <v>207.5</v>
      </c>
      <c r="E40" s="22">
        <f t="shared" si="0"/>
        <v>133</v>
      </c>
      <c r="F40" s="19">
        <v>200.9</v>
      </c>
      <c r="G40" s="33">
        <v>182</v>
      </c>
      <c r="H40" s="19">
        <v>199.7</v>
      </c>
      <c r="I40" s="20"/>
      <c r="J40" s="36"/>
      <c r="L40" s="22">
        <v>35</v>
      </c>
      <c r="M40" s="19"/>
      <c r="N40" s="22">
        <v>84</v>
      </c>
      <c r="O40" s="19"/>
      <c r="P40" s="22">
        <f t="shared" si="1"/>
        <v>133</v>
      </c>
      <c r="Q40" s="19">
        <v>200.9</v>
      </c>
      <c r="R40" s="33">
        <v>182</v>
      </c>
      <c r="S40" s="19">
        <v>199.7</v>
      </c>
      <c r="T40" s="20"/>
      <c r="U40" s="36"/>
      <c r="W40" s="22">
        <v>35</v>
      </c>
      <c r="X40" s="19">
        <v>201</v>
      </c>
      <c r="Y40" s="22">
        <v>84</v>
      </c>
      <c r="Z40" s="19">
        <v>207.5</v>
      </c>
      <c r="AA40" s="22">
        <f t="shared" si="2"/>
        <v>133</v>
      </c>
      <c r="AB40" s="19"/>
      <c r="AC40" s="33">
        <v>182</v>
      </c>
      <c r="AD40" s="19"/>
      <c r="AE40" s="20"/>
      <c r="AF40" s="36"/>
    </row>
    <row r="41" spans="1:32" ht="15.75" x14ac:dyDescent="0.25">
      <c r="A41" s="22">
        <v>36</v>
      </c>
      <c r="B41" s="19">
        <v>210.1</v>
      </c>
      <c r="C41" s="22">
        <v>85</v>
      </c>
      <c r="D41" s="19">
        <v>209.3</v>
      </c>
      <c r="E41" s="22">
        <f t="shared" si="0"/>
        <v>134</v>
      </c>
      <c r="F41" s="19">
        <v>206.6</v>
      </c>
      <c r="G41" s="33">
        <v>183</v>
      </c>
      <c r="H41" s="19">
        <v>195.1</v>
      </c>
      <c r="I41" s="20"/>
      <c r="J41" s="36"/>
      <c r="L41" s="22">
        <v>36</v>
      </c>
      <c r="M41" s="19"/>
      <c r="N41" s="22">
        <v>85</v>
      </c>
      <c r="O41" s="19"/>
      <c r="P41" s="22">
        <f t="shared" si="1"/>
        <v>134</v>
      </c>
      <c r="Q41" s="19">
        <v>206.6</v>
      </c>
      <c r="R41" s="33">
        <v>183</v>
      </c>
      <c r="S41" s="19">
        <v>195.1</v>
      </c>
      <c r="T41" s="20"/>
      <c r="U41" s="36"/>
      <c r="W41" s="22">
        <v>36</v>
      </c>
      <c r="X41" s="19">
        <v>210.1</v>
      </c>
      <c r="Y41" s="22">
        <v>85</v>
      </c>
      <c r="Z41" s="19">
        <v>209.3</v>
      </c>
      <c r="AA41" s="22">
        <f t="shared" si="2"/>
        <v>134</v>
      </c>
      <c r="AB41" s="19"/>
      <c r="AC41" s="33">
        <v>183</v>
      </c>
      <c r="AD41" s="19"/>
      <c r="AE41" s="20"/>
      <c r="AF41" s="36"/>
    </row>
    <row r="42" spans="1:32" ht="15.75" x14ac:dyDescent="0.25">
      <c r="A42" s="22">
        <v>37</v>
      </c>
      <c r="B42" s="19">
        <v>198.5</v>
      </c>
      <c r="C42" s="22">
        <v>86</v>
      </c>
      <c r="D42" s="19">
        <v>202.5</v>
      </c>
      <c r="E42" s="22">
        <f t="shared" si="0"/>
        <v>135</v>
      </c>
      <c r="F42" s="19">
        <v>202.5</v>
      </c>
      <c r="G42" s="33">
        <v>184</v>
      </c>
      <c r="H42" s="19">
        <v>194.5</v>
      </c>
      <c r="I42" s="21"/>
      <c r="J42" s="36"/>
      <c r="L42" s="22">
        <v>37</v>
      </c>
      <c r="M42" s="19"/>
      <c r="N42" s="22">
        <v>86</v>
      </c>
      <c r="O42" s="19"/>
      <c r="P42" s="22">
        <f t="shared" si="1"/>
        <v>135</v>
      </c>
      <c r="Q42" s="19">
        <v>202.5</v>
      </c>
      <c r="R42" s="33">
        <v>184</v>
      </c>
      <c r="S42" s="19">
        <v>194.5</v>
      </c>
      <c r="T42" s="21"/>
      <c r="U42" s="36"/>
      <c r="W42" s="22">
        <v>37</v>
      </c>
      <c r="X42" s="19">
        <v>198.5</v>
      </c>
      <c r="Y42" s="22">
        <v>86</v>
      </c>
      <c r="Z42" s="19">
        <v>202.5</v>
      </c>
      <c r="AA42" s="22">
        <f t="shared" si="2"/>
        <v>135</v>
      </c>
      <c r="AB42" s="19"/>
      <c r="AC42" s="33">
        <v>184</v>
      </c>
      <c r="AD42" s="19"/>
      <c r="AE42" s="21"/>
      <c r="AF42" s="36"/>
    </row>
    <row r="43" spans="1:32" ht="15.75" x14ac:dyDescent="0.25">
      <c r="A43" s="22">
        <v>38</v>
      </c>
      <c r="B43" s="19">
        <v>202.2</v>
      </c>
      <c r="C43" s="22">
        <v>87</v>
      </c>
      <c r="D43" s="19">
        <v>210</v>
      </c>
      <c r="E43" s="22">
        <f t="shared" si="0"/>
        <v>136</v>
      </c>
      <c r="F43" s="19">
        <v>200.7</v>
      </c>
      <c r="G43" s="33">
        <v>185</v>
      </c>
      <c r="H43" s="19">
        <v>196.7</v>
      </c>
      <c r="I43" s="20"/>
      <c r="J43" s="36"/>
      <c r="L43" s="22">
        <v>38</v>
      </c>
      <c r="M43" s="19"/>
      <c r="N43" s="22">
        <v>87</v>
      </c>
      <c r="O43" s="19"/>
      <c r="P43" s="22">
        <f t="shared" si="1"/>
        <v>136</v>
      </c>
      <c r="Q43" s="19">
        <v>200.7</v>
      </c>
      <c r="R43" s="33">
        <v>185</v>
      </c>
      <c r="S43" s="19">
        <v>196.7</v>
      </c>
      <c r="T43" s="20"/>
      <c r="U43" s="36"/>
      <c r="W43" s="22">
        <v>38</v>
      </c>
      <c r="X43" s="19">
        <v>202.2</v>
      </c>
      <c r="Y43" s="22">
        <v>87</v>
      </c>
      <c r="Z43" s="19">
        <v>210</v>
      </c>
      <c r="AA43" s="22">
        <f t="shared" si="2"/>
        <v>136</v>
      </c>
      <c r="AB43" s="19"/>
      <c r="AC43" s="33">
        <v>185</v>
      </c>
      <c r="AD43" s="19"/>
      <c r="AE43" s="20"/>
      <c r="AF43" s="36"/>
    </row>
    <row r="44" spans="1:32" ht="15.75" x14ac:dyDescent="0.25">
      <c r="A44" s="22">
        <v>39</v>
      </c>
      <c r="B44" s="19">
        <v>204</v>
      </c>
      <c r="C44" s="22">
        <v>88</v>
      </c>
      <c r="D44" s="19">
        <v>206</v>
      </c>
      <c r="E44" s="22">
        <f t="shared" si="0"/>
        <v>137</v>
      </c>
      <c r="F44" s="19">
        <v>201</v>
      </c>
      <c r="G44" s="33">
        <v>186</v>
      </c>
      <c r="H44" s="19">
        <v>200.7</v>
      </c>
      <c r="I44" s="20"/>
      <c r="J44" s="36"/>
      <c r="L44" s="22">
        <v>39</v>
      </c>
      <c r="M44" s="19"/>
      <c r="N44" s="22">
        <v>88</v>
      </c>
      <c r="O44" s="19"/>
      <c r="P44" s="22">
        <f t="shared" si="1"/>
        <v>137</v>
      </c>
      <c r="Q44" s="19">
        <v>201</v>
      </c>
      <c r="R44" s="33">
        <v>186</v>
      </c>
      <c r="S44" s="19">
        <v>200.7</v>
      </c>
      <c r="T44" s="20"/>
      <c r="U44" s="36"/>
      <c r="W44" s="22">
        <v>39</v>
      </c>
      <c r="X44" s="19">
        <v>204</v>
      </c>
      <c r="Y44" s="22">
        <v>88</v>
      </c>
      <c r="Z44" s="19">
        <v>206</v>
      </c>
      <c r="AA44" s="22">
        <f t="shared" si="2"/>
        <v>137</v>
      </c>
      <c r="AB44" s="19"/>
      <c r="AC44" s="33">
        <v>186</v>
      </c>
      <c r="AD44" s="19"/>
      <c r="AE44" s="20"/>
      <c r="AF44" s="36"/>
    </row>
    <row r="45" spans="1:32" ht="15.75" x14ac:dyDescent="0.25">
      <c r="A45" s="22">
        <v>40</v>
      </c>
      <c r="B45" s="19">
        <v>201.9</v>
      </c>
      <c r="C45" s="22">
        <v>89</v>
      </c>
      <c r="D45" s="19">
        <v>202.1</v>
      </c>
      <c r="E45" s="22">
        <f t="shared" si="0"/>
        <v>138</v>
      </c>
      <c r="F45" s="19">
        <v>199.5</v>
      </c>
      <c r="G45" s="33">
        <v>187</v>
      </c>
      <c r="H45" s="19">
        <v>195.4</v>
      </c>
      <c r="I45" s="21"/>
      <c r="J45" s="36"/>
      <c r="L45" s="22">
        <v>40</v>
      </c>
      <c r="M45" s="19"/>
      <c r="N45" s="22">
        <v>89</v>
      </c>
      <c r="O45" s="19"/>
      <c r="P45" s="22">
        <f t="shared" si="1"/>
        <v>138</v>
      </c>
      <c r="Q45" s="19">
        <v>199.5</v>
      </c>
      <c r="R45" s="33">
        <v>187</v>
      </c>
      <c r="S45" s="19">
        <v>195.4</v>
      </c>
      <c r="T45" s="21"/>
      <c r="U45" s="36"/>
      <c r="W45" s="22">
        <v>40</v>
      </c>
      <c r="X45" s="19">
        <v>201.9</v>
      </c>
      <c r="Y45" s="22">
        <v>89</v>
      </c>
      <c r="Z45" s="19">
        <v>202.1</v>
      </c>
      <c r="AA45" s="22">
        <f t="shared" si="2"/>
        <v>138</v>
      </c>
      <c r="AB45" s="19"/>
      <c r="AC45" s="33">
        <v>187</v>
      </c>
      <c r="AD45" s="19"/>
      <c r="AE45" s="21"/>
      <c r="AF45" s="36"/>
    </row>
    <row r="46" spans="1:32" ht="15.75" x14ac:dyDescent="0.25">
      <c r="A46" s="22">
        <v>41</v>
      </c>
      <c r="B46" s="19">
        <v>200.2</v>
      </c>
      <c r="C46" s="22">
        <v>90</v>
      </c>
      <c r="D46" s="19">
        <v>205</v>
      </c>
      <c r="E46" s="22">
        <f t="shared" si="0"/>
        <v>139</v>
      </c>
      <c r="F46" s="19">
        <v>205.4</v>
      </c>
      <c r="G46" s="33">
        <v>188</v>
      </c>
      <c r="H46" s="19">
        <v>202.7</v>
      </c>
      <c r="I46" s="20"/>
      <c r="J46" s="36"/>
      <c r="L46" s="22">
        <v>41</v>
      </c>
      <c r="M46" s="19"/>
      <c r="N46" s="22">
        <v>90</v>
      </c>
      <c r="O46" s="19"/>
      <c r="P46" s="22">
        <f t="shared" si="1"/>
        <v>139</v>
      </c>
      <c r="Q46" s="19">
        <v>205.4</v>
      </c>
      <c r="R46" s="33">
        <v>188</v>
      </c>
      <c r="S46" s="19">
        <v>202.7</v>
      </c>
      <c r="T46" s="20"/>
      <c r="U46" s="36"/>
      <c r="W46" s="22">
        <v>41</v>
      </c>
      <c r="X46" s="19">
        <v>200.2</v>
      </c>
      <c r="Y46" s="22">
        <v>90</v>
      </c>
      <c r="Z46" s="19">
        <v>205</v>
      </c>
      <c r="AA46" s="22">
        <f t="shared" si="2"/>
        <v>139</v>
      </c>
      <c r="AB46" s="19"/>
      <c r="AC46" s="33">
        <v>188</v>
      </c>
      <c r="AD46" s="19"/>
      <c r="AE46" s="20"/>
      <c r="AF46" s="36"/>
    </row>
    <row r="47" spans="1:32" ht="15.75" x14ac:dyDescent="0.25">
      <c r="A47" s="22">
        <v>42</v>
      </c>
      <c r="B47" s="19">
        <v>203.2</v>
      </c>
      <c r="C47" s="22">
        <v>91</v>
      </c>
      <c r="D47" s="19">
        <v>203</v>
      </c>
      <c r="E47" s="22">
        <f t="shared" si="0"/>
        <v>140</v>
      </c>
      <c r="F47" s="19">
        <v>193.7</v>
      </c>
      <c r="G47" s="33">
        <v>189</v>
      </c>
      <c r="H47" s="19">
        <v>209.3</v>
      </c>
      <c r="I47" s="20"/>
      <c r="J47" s="36"/>
      <c r="L47" s="22">
        <v>42</v>
      </c>
      <c r="M47" s="19"/>
      <c r="N47" s="22">
        <v>91</v>
      </c>
      <c r="O47" s="19"/>
      <c r="P47" s="22">
        <f t="shared" si="1"/>
        <v>140</v>
      </c>
      <c r="Q47" s="19">
        <v>193.7</v>
      </c>
      <c r="R47" s="33">
        <v>189</v>
      </c>
      <c r="S47" s="19">
        <v>209.3</v>
      </c>
      <c r="T47" s="20"/>
      <c r="U47" s="36"/>
      <c r="W47" s="22">
        <v>42</v>
      </c>
      <c r="X47" s="19">
        <v>203.2</v>
      </c>
      <c r="Y47" s="22">
        <v>91</v>
      </c>
      <c r="Z47" s="19">
        <v>203</v>
      </c>
      <c r="AA47" s="22">
        <f t="shared" si="2"/>
        <v>140</v>
      </c>
      <c r="AB47" s="19"/>
      <c r="AC47" s="33">
        <v>189</v>
      </c>
      <c r="AD47" s="19"/>
      <c r="AE47" s="20"/>
      <c r="AF47" s="36"/>
    </row>
    <row r="48" spans="1:32" ht="15.75" x14ac:dyDescent="0.25">
      <c r="A48" s="22">
        <v>43</v>
      </c>
      <c r="B48" s="19">
        <v>206.9</v>
      </c>
      <c r="C48" s="22">
        <v>92</v>
      </c>
      <c r="D48" s="19">
        <v>202.9</v>
      </c>
      <c r="E48" s="22">
        <f t="shared" si="0"/>
        <v>141</v>
      </c>
      <c r="F48" s="19">
        <v>203.7</v>
      </c>
      <c r="G48" s="33">
        <v>190</v>
      </c>
      <c r="H48" s="19">
        <v>199.8</v>
      </c>
      <c r="I48" s="21"/>
      <c r="J48" s="36"/>
      <c r="L48" s="22">
        <v>43</v>
      </c>
      <c r="M48" s="19"/>
      <c r="N48" s="22">
        <v>92</v>
      </c>
      <c r="O48" s="19"/>
      <c r="P48" s="22">
        <f t="shared" si="1"/>
        <v>141</v>
      </c>
      <c r="Q48" s="19">
        <v>203.7</v>
      </c>
      <c r="R48" s="33">
        <v>190</v>
      </c>
      <c r="S48" s="19">
        <v>199.8</v>
      </c>
      <c r="T48" s="21"/>
      <c r="U48" s="36"/>
      <c r="W48" s="22">
        <v>43</v>
      </c>
      <c r="X48" s="19">
        <v>206.9</v>
      </c>
      <c r="Y48" s="22">
        <v>92</v>
      </c>
      <c r="Z48" s="19">
        <v>202.9</v>
      </c>
      <c r="AA48" s="22">
        <f t="shared" si="2"/>
        <v>141</v>
      </c>
      <c r="AB48" s="19"/>
      <c r="AC48" s="33">
        <v>190</v>
      </c>
      <c r="AD48" s="19"/>
      <c r="AE48" s="21"/>
      <c r="AF48" s="36"/>
    </row>
    <row r="49" spans="1:32" ht="15.75" x14ac:dyDescent="0.25">
      <c r="A49" s="22">
        <v>44</v>
      </c>
      <c r="B49" s="19">
        <v>202.1</v>
      </c>
      <c r="C49" s="22">
        <v>93</v>
      </c>
      <c r="D49" s="19">
        <v>210.2</v>
      </c>
      <c r="E49" s="22">
        <f t="shared" si="0"/>
        <v>142</v>
      </c>
      <c r="F49" s="19">
        <v>205.6</v>
      </c>
      <c r="G49" s="33">
        <v>191</v>
      </c>
      <c r="H49" s="19">
        <v>198.5</v>
      </c>
      <c r="I49" s="21"/>
      <c r="J49" s="36"/>
      <c r="L49" s="22">
        <v>44</v>
      </c>
      <c r="M49" s="19"/>
      <c r="N49" s="22">
        <v>93</v>
      </c>
      <c r="O49" s="19"/>
      <c r="P49" s="22">
        <f t="shared" si="1"/>
        <v>142</v>
      </c>
      <c r="Q49" s="19">
        <v>205.6</v>
      </c>
      <c r="R49" s="33">
        <v>191</v>
      </c>
      <c r="S49" s="19">
        <v>198.5</v>
      </c>
      <c r="T49" s="21"/>
      <c r="U49" s="36"/>
      <c r="W49" s="22">
        <v>44</v>
      </c>
      <c r="X49" s="19">
        <v>202.1</v>
      </c>
      <c r="Y49" s="22">
        <v>93</v>
      </c>
      <c r="Z49" s="19">
        <v>210.2</v>
      </c>
      <c r="AA49" s="22">
        <f t="shared" si="2"/>
        <v>142</v>
      </c>
      <c r="AB49" s="19"/>
      <c r="AC49" s="33">
        <v>191</v>
      </c>
      <c r="AD49" s="19"/>
      <c r="AE49" s="21"/>
      <c r="AF49" s="36"/>
    </row>
    <row r="50" spans="1:32" ht="15.75" x14ac:dyDescent="0.25">
      <c r="A50" s="22">
        <v>45</v>
      </c>
      <c r="B50" s="19">
        <v>203.8</v>
      </c>
      <c r="C50" s="22">
        <v>94</v>
      </c>
      <c r="D50" s="19">
        <v>203.4</v>
      </c>
      <c r="E50" s="22">
        <f t="shared" si="0"/>
        <v>143</v>
      </c>
      <c r="F50" s="19">
        <v>199.3</v>
      </c>
      <c r="G50" s="33">
        <v>192</v>
      </c>
      <c r="H50" s="19">
        <v>193.3</v>
      </c>
      <c r="I50" s="20"/>
      <c r="J50" s="36"/>
      <c r="L50" s="22">
        <v>45</v>
      </c>
      <c r="M50" s="19"/>
      <c r="N50" s="22">
        <v>94</v>
      </c>
      <c r="O50" s="19"/>
      <c r="P50" s="22">
        <f t="shared" si="1"/>
        <v>143</v>
      </c>
      <c r="Q50" s="19">
        <v>199.3</v>
      </c>
      <c r="R50" s="33">
        <v>192</v>
      </c>
      <c r="S50" s="19">
        <v>193.3</v>
      </c>
      <c r="T50" s="20"/>
      <c r="U50" s="36"/>
      <c r="W50" s="22">
        <v>45</v>
      </c>
      <c r="X50" s="19">
        <v>203.8</v>
      </c>
      <c r="Y50" s="22">
        <v>94</v>
      </c>
      <c r="Z50" s="19">
        <v>203.4</v>
      </c>
      <c r="AA50" s="22">
        <f t="shared" si="2"/>
        <v>143</v>
      </c>
      <c r="AB50" s="19"/>
      <c r="AC50" s="33">
        <v>192</v>
      </c>
      <c r="AD50" s="19"/>
      <c r="AE50" s="20"/>
      <c r="AF50" s="36"/>
    </row>
    <row r="51" spans="1:32" ht="15.75" x14ac:dyDescent="0.25">
      <c r="A51" s="22">
        <v>46</v>
      </c>
      <c r="B51" s="19">
        <v>203.9</v>
      </c>
      <c r="C51" s="22">
        <v>95</v>
      </c>
      <c r="D51" s="19">
        <v>211.4</v>
      </c>
      <c r="E51" s="22">
        <f t="shared" si="0"/>
        <v>144</v>
      </c>
      <c r="F51" s="19">
        <v>202.2</v>
      </c>
      <c r="G51" s="33">
        <v>193</v>
      </c>
      <c r="H51" s="19">
        <v>196.9</v>
      </c>
      <c r="I51" s="20"/>
      <c r="J51" s="36"/>
      <c r="L51" s="22">
        <v>46</v>
      </c>
      <c r="M51" s="19"/>
      <c r="N51" s="22">
        <v>95</v>
      </c>
      <c r="O51" s="19"/>
      <c r="P51" s="22">
        <f t="shared" si="1"/>
        <v>144</v>
      </c>
      <c r="Q51" s="19">
        <v>202.2</v>
      </c>
      <c r="R51" s="33">
        <v>193</v>
      </c>
      <c r="S51" s="19">
        <v>196.9</v>
      </c>
      <c r="T51" s="20"/>
      <c r="U51" s="36"/>
      <c r="W51" s="22">
        <v>46</v>
      </c>
      <c r="X51" s="19">
        <v>203.9</v>
      </c>
      <c r="Y51" s="22">
        <v>95</v>
      </c>
      <c r="Z51" s="19">
        <v>211.4</v>
      </c>
      <c r="AA51" s="22">
        <f t="shared" si="2"/>
        <v>144</v>
      </c>
      <c r="AB51" s="19"/>
      <c r="AC51" s="33">
        <v>193</v>
      </c>
      <c r="AD51" s="19"/>
      <c r="AE51" s="20"/>
      <c r="AF51" s="36"/>
    </row>
    <row r="52" spans="1:32" ht="15.75" x14ac:dyDescent="0.25">
      <c r="A52" s="22">
        <v>47</v>
      </c>
      <c r="B52" s="19">
        <v>203.9</v>
      </c>
      <c r="C52" s="22">
        <v>96</v>
      </c>
      <c r="D52" s="19">
        <v>205.7</v>
      </c>
      <c r="E52" s="22">
        <f t="shared" si="0"/>
        <v>145</v>
      </c>
      <c r="F52" s="19">
        <v>199.3</v>
      </c>
      <c r="G52" s="33">
        <v>194</v>
      </c>
      <c r="H52" s="19">
        <v>198.6</v>
      </c>
      <c r="I52" s="21"/>
      <c r="J52" s="36"/>
      <c r="L52" s="22">
        <v>47</v>
      </c>
      <c r="M52" s="19"/>
      <c r="N52" s="22">
        <v>96</v>
      </c>
      <c r="O52" s="19"/>
      <c r="P52" s="22">
        <f t="shared" si="1"/>
        <v>145</v>
      </c>
      <c r="Q52" s="19">
        <v>199.3</v>
      </c>
      <c r="R52" s="33">
        <v>194</v>
      </c>
      <c r="S52" s="19">
        <v>198.6</v>
      </c>
      <c r="T52" s="21"/>
      <c r="U52" s="36"/>
      <c r="W52" s="22">
        <v>47</v>
      </c>
      <c r="X52" s="19">
        <v>203.9</v>
      </c>
      <c r="Y52" s="22">
        <v>96</v>
      </c>
      <c r="Z52" s="19">
        <v>205.7</v>
      </c>
      <c r="AA52" s="22">
        <f t="shared" si="2"/>
        <v>145</v>
      </c>
      <c r="AB52" s="19"/>
      <c r="AC52" s="33">
        <v>194</v>
      </c>
      <c r="AD52" s="19"/>
      <c r="AE52" s="21"/>
      <c r="AF52" s="36"/>
    </row>
    <row r="53" spans="1:32" ht="15.75" x14ac:dyDescent="0.25">
      <c r="A53" s="22">
        <v>48</v>
      </c>
      <c r="B53" s="19">
        <v>208.4</v>
      </c>
      <c r="C53" s="22">
        <v>97</v>
      </c>
      <c r="D53" s="19">
        <v>210.7</v>
      </c>
      <c r="E53" s="22">
        <f t="shared" si="0"/>
        <v>146</v>
      </c>
      <c r="F53" s="19">
        <v>198.3</v>
      </c>
      <c r="G53" s="33">
        <v>195</v>
      </c>
      <c r="H53" s="19">
        <v>195.5</v>
      </c>
      <c r="I53" s="20"/>
      <c r="J53" s="36"/>
      <c r="L53" s="22">
        <v>48</v>
      </c>
      <c r="M53" s="19"/>
      <c r="N53" s="22">
        <v>97</v>
      </c>
      <c r="O53" s="19"/>
      <c r="P53" s="22">
        <f t="shared" si="1"/>
        <v>146</v>
      </c>
      <c r="Q53" s="19">
        <v>198.3</v>
      </c>
      <c r="R53" s="33">
        <v>195</v>
      </c>
      <c r="S53" s="19">
        <v>195.5</v>
      </c>
      <c r="T53" s="20"/>
      <c r="U53" s="36"/>
      <c r="W53" s="22">
        <v>48</v>
      </c>
      <c r="X53" s="19">
        <v>208.4</v>
      </c>
      <c r="Y53" s="22">
        <v>97</v>
      </c>
      <c r="Z53" s="19">
        <v>210.7</v>
      </c>
      <c r="AA53" s="22">
        <f t="shared" si="2"/>
        <v>146</v>
      </c>
      <c r="AB53" s="19"/>
      <c r="AC53" s="33">
        <v>195</v>
      </c>
      <c r="AD53" s="19"/>
      <c r="AE53" s="20"/>
      <c r="AF53" s="36"/>
    </row>
    <row r="54" spans="1:32" ht="15.75" x14ac:dyDescent="0.25">
      <c r="A54" s="37">
        <v>49</v>
      </c>
      <c r="B54" s="19">
        <v>204.7</v>
      </c>
      <c r="C54" s="37">
        <v>98</v>
      </c>
      <c r="D54" s="19">
        <v>197.2</v>
      </c>
      <c r="E54" s="22">
        <f t="shared" si="0"/>
        <v>147</v>
      </c>
      <c r="F54" s="19">
        <v>202.9</v>
      </c>
      <c r="G54" s="38">
        <v>196</v>
      </c>
      <c r="H54" s="19">
        <v>199</v>
      </c>
      <c r="I54" s="39"/>
      <c r="J54" s="40"/>
      <c r="L54" s="37">
        <v>49</v>
      </c>
      <c r="M54" s="19"/>
      <c r="N54" s="37">
        <v>98</v>
      </c>
      <c r="O54" s="19"/>
      <c r="P54" s="22">
        <f t="shared" si="1"/>
        <v>147</v>
      </c>
      <c r="Q54" s="19">
        <v>202.9</v>
      </c>
      <c r="R54" s="38">
        <v>196</v>
      </c>
      <c r="S54" s="19">
        <v>199</v>
      </c>
      <c r="T54" s="39"/>
      <c r="U54" s="40"/>
      <c r="W54" s="37">
        <v>49</v>
      </c>
      <c r="X54" s="19">
        <v>204.7</v>
      </c>
      <c r="Y54" s="37">
        <v>98</v>
      </c>
      <c r="Z54" s="19">
        <v>197.2</v>
      </c>
      <c r="AA54" s="22">
        <f t="shared" si="2"/>
        <v>147</v>
      </c>
      <c r="AB54" s="19"/>
      <c r="AC54" s="38">
        <v>196</v>
      </c>
      <c r="AD54" s="19"/>
      <c r="AE54" s="39"/>
      <c r="AF54" s="40"/>
    </row>
    <row r="55" spans="1:32" ht="15.75" x14ac:dyDescent="0.25">
      <c r="A55" s="41"/>
      <c r="B55" s="23">
        <f>SUM(B6:B54)</f>
        <v>10106.099999999999</v>
      </c>
      <c r="C55" s="23"/>
      <c r="D55" s="23">
        <f>SUM(D6:D54)</f>
        <v>10099.900000000003</v>
      </c>
      <c r="E55" s="23"/>
      <c r="F55" s="23">
        <f>SUM(F6:F54)</f>
        <v>10030.9</v>
      </c>
      <c r="G55" s="23"/>
      <c r="H55" s="23">
        <f>SUM(H6:H54)</f>
        <v>9795.899999999996</v>
      </c>
      <c r="I55" s="41"/>
      <c r="J55" s="41">
        <f>SUM(J6:J54)</f>
        <v>4779</v>
      </c>
      <c r="L55" s="41"/>
      <c r="M55" s="23">
        <f>SUM(M6:M54)</f>
        <v>4134.2999999999993</v>
      </c>
      <c r="N55" s="23"/>
      <c r="O55" s="23">
        <f>SUM(O6:O54)</f>
        <v>0</v>
      </c>
      <c r="P55" s="23"/>
      <c r="Q55" s="23">
        <f>SUM(Q6:Q54)</f>
        <v>5301.8</v>
      </c>
      <c r="R55" s="23"/>
      <c r="S55" s="23">
        <f>SUM(S6:S54)</f>
        <v>9795.899999999996</v>
      </c>
      <c r="T55" s="41"/>
      <c r="U55" s="41">
        <f>SUM(U6:U54)</f>
        <v>4779</v>
      </c>
      <c r="W55" s="41"/>
      <c r="X55" s="23">
        <f>SUM(X6:X54)</f>
        <v>5971.7999999999984</v>
      </c>
      <c r="Y55" s="23"/>
      <c r="Z55" s="23">
        <f>SUM(Z6:Z54)</f>
        <v>10099.900000000003</v>
      </c>
      <c r="AA55" s="23"/>
      <c r="AB55" s="23">
        <f>SUM(AB6:AB54)</f>
        <v>4729.1000000000013</v>
      </c>
      <c r="AC55" s="23"/>
      <c r="AD55" s="23">
        <f>SUM(AD6:AD54)</f>
        <v>0</v>
      </c>
      <c r="AE55" s="41"/>
      <c r="AF55" s="41">
        <f>SUM(AF6:AF54)</f>
        <v>0</v>
      </c>
    </row>
    <row r="56" spans="1:32" ht="15.75" x14ac:dyDescent="0.25">
      <c r="A56" s="42" t="s">
        <v>5</v>
      </c>
      <c r="B56" s="43">
        <f>COUNT(B6:B54,D6:D54,F6:F54,H6:H54,J6:J54)</f>
        <v>220</v>
      </c>
      <c r="C56" s="13" t="s">
        <v>6</v>
      </c>
      <c r="D56" s="44"/>
      <c r="E56" s="45">
        <f>B55+D55+F55+H55+J55</f>
        <v>44811.799999999996</v>
      </c>
      <c r="F56" s="24" t="s">
        <v>7</v>
      </c>
      <c r="G56" s="1">
        <f>B56*2.2</f>
        <v>484.00000000000006</v>
      </c>
      <c r="H56" s="13" t="s">
        <v>8</v>
      </c>
      <c r="I56" s="44"/>
      <c r="J56" s="45">
        <f>E56-G56</f>
        <v>44327.799999999996</v>
      </c>
      <c r="L56" s="42" t="s">
        <v>5</v>
      </c>
      <c r="M56" s="43">
        <f>COUNT(M6:M54,O6:O54,Q6:Q54,S6:S54,U6:U54)</f>
        <v>119</v>
      </c>
      <c r="N56" s="13" t="s">
        <v>6</v>
      </c>
      <c r="O56" s="44"/>
      <c r="P56" s="45">
        <f>M55+O55+Q55+S55+U55</f>
        <v>24010.999999999993</v>
      </c>
      <c r="Q56" s="24" t="s">
        <v>7</v>
      </c>
      <c r="R56" s="1">
        <f>M56*2.2</f>
        <v>261.8</v>
      </c>
      <c r="S56" s="13" t="s">
        <v>8</v>
      </c>
      <c r="T56" s="44"/>
      <c r="U56" s="45">
        <f>P56-R56</f>
        <v>23749.199999999993</v>
      </c>
      <c r="W56" s="42" t="s">
        <v>5</v>
      </c>
      <c r="X56" s="43">
        <f>COUNT(X6:X54,Z6:Z54,AB6:AB54,AD6:AD54,AF6:AF54)</f>
        <v>101</v>
      </c>
      <c r="Y56" s="13" t="s">
        <v>6</v>
      </c>
      <c r="Z56" s="44"/>
      <c r="AA56" s="45">
        <f>X55+Z55+AB55+AD55+AF55</f>
        <v>20800.800000000003</v>
      </c>
      <c r="AB56" s="24" t="s">
        <v>7</v>
      </c>
      <c r="AC56" s="1">
        <f>X56*2.2</f>
        <v>222.20000000000002</v>
      </c>
      <c r="AD56" s="13" t="s">
        <v>8</v>
      </c>
      <c r="AE56" s="44"/>
      <c r="AF56" s="45">
        <f>AA56-AC56</f>
        <v>20578.600000000002</v>
      </c>
    </row>
    <row r="57" spans="1:32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  <c r="L57" s="42" t="s">
        <v>9</v>
      </c>
      <c r="M57" s="25"/>
      <c r="N57" s="46"/>
      <c r="O57" s="44"/>
      <c r="P57" s="47"/>
      <c r="Q57" s="25"/>
      <c r="R57" s="48"/>
      <c r="S57" s="46"/>
      <c r="T57" s="44"/>
      <c r="U57" s="49"/>
      <c r="W57" s="42" t="s">
        <v>9</v>
      </c>
      <c r="X57" s="25"/>
      <c r="Y57" s="46"/>
      <c r="Z57" s="44"/>
      <c r="AA57" s="47"/>
      <c r="AB57" s="25"/>
      <c r="AC57" s="48"/>
      <c r="AD57" s="46"/>
      <c r="AE57" s="44"/>
      <c r="AF57" s="49"/>
    </row>
    <row r="58" spans="1:32" x14ac:dyDescent="0.25">
      <c r="B58">
        <f>M56+X56</f>
        <v>220</v>
      </c>
      <c r="E58" s="80">
        <f>P56+AA56</f>
        <v>44811.799999999996</v>
      </c>
      <c r="J58" s="80">
        <f>U56+AF56</f>
        <v>44327.799999999996</v>
      </c>
    </row>
    <row r="59" spans="1:32" x14ac:dyDescent="0.25">
      <c r="F59" s="112" t="s">
        <v>61</v>
      </c>
      <c r="G59" s="112">
        <v>2.2000000000000002</v>
      </c>
      <c r="Q59" s="112" t="s">
        <v>61</v>
      </c>
      <c r="R59" s="112">
        <v>2.2000000000000002</v>
      </c>
      <c r="AB59" s="112" t="s">
        <v>61</v>
      </c>
      <c r="AC59" s="112">
        <v>2.2000000000000002</v>
      </c>
    </row>
  </sheetData>
  <protectedRanges>
    <protectedRange password="CCE1" sqref="C6:C54 G6:G54 E6:E54 I6:I29 N6:N54 R6:R54 P6:P54 T6:T29 Y6:Y54 AC6:AC54 AA6:AA54 AE6:AE29" name="Диапазон1_3_1_7_2_1_1_1_1_1_1_1"/>
  </protectedRanges>
  <mergeCells count="6">
    <mergeCell ref="A1:J1"/>
    <mergeCell ref="I4:J4"/>
    <mergeCell ref="L1:U1"/>
    <mergeCell ref="T4:U4"/>
    <mergeCell ref="W1:AF1"/>
    <mergeCell ref="AE4:AF4"/>
  </mergeCells>
  <pageMargins left="0.7" right="0.7" top="0.75" bottom="0.75" header="0.3" footer="0.3"/>
  <pageSetup paperSize="9" scale="83" orientation="portrait" verticalDpi="0" r:id="rId1"/>
  <rowBreaks count="1" manualBreakCount="1">
    <brk id="57" max="16383" man="1"/>
  </rowBreaks>
  <colBreaks count="2" manualBreakCount="2">
    <brk id="10" max="56" man="1"/>
    <brk id="21" max="56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9"/>
  <sheetViews>
    <sheetView topLeftCell="A49" zoomScale="90" zoomScaleNormal="90" workbookViewId="0">
      <selection activeCell="J59" sqref="J59"/>
    </sheetView>
  </sheetViews>
  <sheetFormatPr defaultRowHeight="15" x14ac:dyDescent="0.25"/>
  <cols>
    <col min="11" max="11" width="1.7109375" customWidth="1"/>
    <col min="22" max="22" width="2" customWidth="1"/>
    <col min="33" max="33" width="2.42578125" customWidth="1"/>
  </cols>
  <sheetData>
    <row r="1" spans="1:43" ht="18.75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L1" s="204" t="s">
        <v>0</v>
      </c>
      <c r="M1" s="204"/>
      <c r="N1" s="204"/>
      <c r="O1" s="204"/>
      <c r="P1" s="204"/>
      <c r="Q1" s="204"/>
      <c r="R1" s="204"/>
      <c r="S1" s="204"/>
      <c r="T1" s="204"/>
      <c r="U1" s="204"/>
      <c r="W1" s="204" t="s">
        <v>0</v>
      </c>
      <c r="X1" s="204"/>
      <c r="Y1" s="204"/>
      <c r="Z1" s="204"/>
      <c r="AA1" s="204"/>
      <c r="AB1" s="204"/>
      <c r="AC1" s="204"/>
      <c r="AD1" s="204"/>
      <c r="AE1" s="204"/>
      <c r="AF1" s="204"/>
      <c r="AH1" s="204" t="s">
        <v>0</v>
      </c>
      <c r="AI1" s="204"/>
      <c r="AJ1" s="204"/>
      <c r="AK1" s="204"/>
      <c r="AL1" s="204"/>
      <c r="AM1" s="204"/>
      <c r="AN1" s="204"/>
      <c r="AO1" s="204"/>
      <c r="AP1" s="204"/>
      <c r="AQ1" s="204"/>
    </row>
    <row r="2" spans="1:43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  <c r="L2" s="13" t="s">
        <v>1</v>
      </c>
      <c r="M2" s="13"/>
      <c r="N2" s="13"/>
      <c r="O2" s="13"/>
      <c r="P2" s="13"/>
      <c r="Q2" s="13"/>
      <c r="R2" s="27"/>
      <c r="S2" s="13"/>
      <c r="T2" s="13"/>
      <c r="U2" s="13"/>
      <c r="W2" s="13" t="s">
        <v>1</v>
      </c>
      <c r="X2" s="13"/>
      <c r="Y2" s="13"/>
      <c r="Z2" s="13"/>
      <c r="AA2" s="13"/>
      <c r="AB2" s="13"/>
      <c r="AC2" s="27"/>
      <c r="AD2" s="13"/>
      <c r="AE2" s="13"/>
      <c r="AF2" s="13"/>
      <c r="AH2" s="13" t="s">
        <v>1</v>
      </c>
      <c r="AI2" s="13"/>
      <c r="AJ2" s="13"/>
      <c r="AK2" s="13"/>
      <c r="AL2" s="13"/>
      <c r="AM2" s="13"/>
      <c r="AN2" s="27"/>
      <c r="AO2" s="13"/>
      <c r="AP2" s="13"/>
      <c r="AQ2" s="13"/>
    </row>
    <row r="3" spans="1:43" ht="15.75" x14ac:dyDescent="0.25">
      <c r="A3" s="25" t="s">
        <v>2</v>
      </c>
      <c r="B3" s="27">
        <v>216</v>
      </c>
      <c r="C3" s="14"/>
      <c r="D3" s="15"/>
      <c r="E3" s="16"/>
      <c r="F3" s="16"/>
      <c r="G3" s="16"/>
      <c r="H3" s="16"/>
      <c r="I3" s="16" t="s">
        <v>33</v>
      </c>
      <c r="J3" s="16"/>
      <c r="L3" s="25" t="s">
        <v>2</v>
      </c>
      <c r="M3" s="27">
        <v>216</v>
      </c>
      <c r="N3" s="14"/>
      <c r="O3" s="15"/>
      <c r="P3" s="16"/>
      <c r="Q3" s="16"/>
      <c r="R3" s="16"/>
      <c r="S3" s="16"/>
      <c r="T3" s="16" t="s">
        <v>33</v>
      </c>
      <c r="U3" s="16"/>
      <c r="W3" s="25" t="s">
        <v>2</v>
      </c>
      <c r="X3" s="27">
        <v>216</v>
      </c>
      <c r="Y3" s="14"/>
      <c r="Z3" s="15"/>
      <c r="AA3" s="16"/>
      <c r="AB3" s="16"/>
      <c r="AC3" s="16"/>
      <c r="AD3" s="16"/>
      <c r="AE3" s="16" t="s">
        <v>33</v>
      </c>
      <c r="AF3" s="16"/>
      <c r="AH3" s="25" t="s">
        <v>2</v>
      </c>
      <c r="AI3" s="27">
        <v>216</v>
      </c>
      <c r="AJ3" s="14"/>
      <c r="AK3" s="15"/>
      <c r="AL3" s="16"/>
      <c r="AM3" s="16"/>
      <c r="AN3" s="16"/>
      <c r="AO3" s="16"/>
      <c r="AP3" s="16" t="s">
        <v>33</v>
      </c>
      <c r="AQ3" s="16"/>
    </row>
    <row r="4" spans="1:43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  <c r="L4" s="17"/>
      <c r="M4" s="17"/>
      <c r="N4" s="17"/>
      <c r="O4" s="17"/>
      <c r="P4" s="17"/>
      <c r="Q4" s="17"/>
      <c r="R4" s="17"/>
      <c r="S4" s="28"/>
      <c r="T4" s="205" t="s">
        <v>48</v>
      </c>
      <c r="U4" s="206"/>
      <c r="W4" s="17"/>
      <c r="X4" s="17"/>
      <c r="Y4" s="17"/>
      <c r="Z4" s="17"/>
      <c r="AA4" s="17"/>
      <c r="AB4" s="17"/>
      <c r="AC4" s="17"/>
      <c r="AD4" s="28"/>
      <c r="AE4" s="205" t="s">
        <v>50</v>
      </c>
      <c r="AF4" s="206"/>
      <c r="AH4" s="17"/>
      <c r="AI4" s="17"/>
      <c r="AJ4" s="17"/>
      <c r="AK4" s="17"/>
      <c r="AL4" s="17"/>
      <c r="AM4" s="17"/>
      <c r="AN4" s="17"/>
      <c r="AO4" s="28"/>
      <c r="AP4" s="205" t="s">
        <v>47</v>
      </c>
      <c r="AQ4" s="206"/>
    </row>
    <row r="5" spans="1:43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  <c r="L5" s="29" t="s">
        <v>3</v>
      </c>
      <c r="M5" s="18" t="s">
        <v>4</v>
      </c>
      <c r="N5" s="29" t="s">
        <v>3</v>
      </c>
      <c r="O5" s="18" t="s">
        <v>4</v>
      </c>
      <c r="P5" s="29" t="s">
        <v>3</v>
      </c>
      <c r="Q5" s="18" t="s">
        <v>4</v>
      </c>
      <c r="R5" s="29" t="s">
        <v>3</v>
      </c>
      <c r="S5" s="30" t="s">
        <v>4</v>
      </c>
      <c r="T5" s="31" t="s">
        <v>3</v>
      </c>
      <c r="U5" s="32" t="s">
        <v>4</v>
      </c>
      <c r="W5" s="29" t="s">
        <v>3</v>
      </c>
      <c r="X5" s="18" t="s">
        <v>4</v>
      </c>
      <c r="Y5" s="29" t="s">
        <v>3</v>
      </c>
      <c r="Z5" s="18" t="s">
        <v>4</v>
      </c>
      <c r="AA5" s="29" t="s">
        <v>3</v>
      </c>
      <c r="AB5" s="18" t="s">
        <v>4</v>
      </c>
      <c r="AC5" s="29" t="s">
        <v>3</v>
      </c>
      <c r="AD5" s="30" t="s">
        <v>4</v>
      </c>
      <c r="AE5" s="31" t="s">
        <v>3</v>
      </c>
      <c r="AF5" s="32" t="s">
        <v>4</v>
      </c>
      <c r="AH5" s="29" t="s">
        <v>3</v>
      </c>
      <c r="AI5" s="18" t="s">
        <v>4</v>
      </c>
      <c r="AJ5" s="29" t="s">
        <v>3</v>
      </c>
      <c r="AK5" s="18" t="s">
        <v>4</v>
      </c>
      <c r="AL5" s="29" t="s">
        <v>3</v>
      </c>
      <c r="AM5" s="18" t="s">
        <v>4</v>
      </c>
      <c r="AN5" s="29" t="s">
        <v>3</v>
      </c>
      <c r="AO5" s="30" t="s">
        <v>4</v>
      </c>
      <c r="AP5" s="31" t="s">
        <v>3</v>
      </c>
      <c r="AQ5" s="32" t="s">
        <v>4</v>
      </c>
    </row>
    <row r="6" spans="1:43" ht="15.75" x14ac:dyDescent="0.25">
      <c r="A6" s="22">
        <v>1</v>
      </c>
      <c r="B6" s="19">
        <v>200.1</v>
      </c>
      <c r="C6" s="22">
        <v>50</v>
      </c>
      <c r="D6" s="19">
        <v>199.4</v>
      </c>
      <c r="E6" s="22">
        <v>99</v>
      </c>
      <c r="F6" s="19">
        <v>199.9</v>
      </c>
      <c r="G6" s="33">
        <v>148</v>
      </c>
      <c r="H6" s="19">
        <v>200.9</v>
      </c>
      <c r="I6" s="34">
        <v>197</v>
      </c>
      <c r="J6" s="19">
        <v>201.1</v>
      </c>
      <c r="L6" s="22">
        <v>1</v>
      </c>
      <c r="M6" s="19"/>
      <c r="N6" s="22">
        <v>50</v>
      </c>
      <c r="O6" s="19"/>
      <c r="P6" s="22">
        <v>99</v>
      </c>
      <c r="Q6" s="19"/>
      <c r="R6" s="33">
        <v>148</v>
      </c>
      <c r="S6" s="19">
        <v>200.9</v>
      </c>
      <c r="T6" s="34">
        <v>197</v>
      </c>
      <c r="U6" s="19"/>
      <c r="W6" s="22">
        <v>1</v>
      </c>
      <c r="X6" s="19">
        <v>200.1</v>
      </c>
      <c r="Y6" s="22">
        <v>50</v>
      </c>
      <c r="Z6" s="19">
        <v>199.4</v>
      </c>
      <c r="AA6" s="22">
        <v>99</v>
      </c>
      <c r="AB6" s="19">
        <v>199.9</v>
      </c>
      <c r="AC6" s="33">
        <v>148</v>
      </c>
      <c r="AD6" s="19"/>
      <c r="AE6" s="34">
        <v>197</v>
      </c>
      <c r="AF6" s="19"/>
      <c r="AH6" s="22">
        <v>1</v>
      </c>
      <c r="AI6" s="19"/>
      <c r="AJ6" s="22">
        <v>50</v>
      </c>
      <c r="AK6" s="19"/>
      <c r="AL6" s="22">
        <v>99</v>
      </c>
      <c r="AM6" s="19"/>
      <c r="AN6" s="33">
        <v>148</v>
      </c>
      <c r="AO6" s="19"/>
      <c r="AP6" s="34">
        <v>197</v>
      </c>
      <c r="AQ6" s="19">
        <v>201.1</v>
      </c>
    </row>
    <row r="7" spans="1:43" ht="15.75" x14ac:dyDescent="0.25">
      <c r="A7" s="22">
        <v>2</v>
      </c>
      <c r="B7" s="19">
        <v>207.3</v>
      </c>
      <c r="C7" s="22">
        <v>51</v>
      </c>
      <c r="D7" s="19">
        <v>202.1</v>
      </c>
      <c r="E7" s="22">
        <v>100</v>
      </c>
      <c r="F7" s="19">
        <v>201.6</v>
      </c>
      <c r="G7" s="33">
        <v>149</v>
      </c>
      <c r="H7" s="19">
        <v>207.5</v>
      </c>
      <c r="I7" s="33">
        <v>198</v>
      </c>
      <c r="J7" s="19">
        <v>200.9</v>
      </c>
      <c r="L7" s="22">
        <v>2</v>
      </c>
      <c r="M7" s="19"/>
      <c r="N7" s="22">
        <v>51</v>
      </c>
      <c r="O7" s="19"/>
      <c r="P7" s="22">
        <v>100</v>
      </c>
      <c r="Q7" s="19"/>
      <c r="R7" s="33">
        <v>149</v>
      </c>
      <c r="S7" s="19">
        <v>207.5</v>
      </c>
      <c r="T7" s="33">
        <v>198</v>
      </c>
      <c r="U7" s="19"/>
      <c r="W7" s="22">
        <v>2</v>
      </c>
      <c r="X7" s="19">
        <v>207.3</v>
      </c>
      <c r="Y7" s="22">
        <v>51</v>
      </c>
      <c r="Z7" s="19">
        <v>202.1</v>
      </c>
      <c r="AA7" s="22">
        <v>100</v>
      </c>
      <c r="AB7" s="19">
        <v>201.6</v>
      </c>
      <c r="AC7" s="33">
        <v>149</v>
      </c>
      <c r="AD7" s="19"/>
      <c r="AE7" s="33">
        <v>198</v>
      </c>
      <c r="AF7" s="19"/>
      <c r="AH7" s="22">
        <v>2</v>
      </c>
      <c r="AI7" s="19"/>
      <c r="AJ7" s="22">
        <v>51</v>
      </c>
      <c r="AK7" s="19"/>
      <c r="AL7" s="22">
        <v>100</v>
      </c>
      <c r="AM7" s="19"/>
      <c r="AN7" s="33">
        <v>149</v>
      </c>
      <c r="AO7" s="19"/>
      <c r="AP7" s="33">
        <v>198</v>
      </c>
      <c r="AQ7" s="19">
        <v>200.9</v>
      </c>
    </row>
    <row r="8" spans="1:43" ht="15.75" x14ac:dyDescent="0.25">
      <c r="A8" s="22">
        <v>3</v>
      </c>
      <c r="B8" s="19">
        <v>204.4</v>
      </c>
      <c r="C8" s="22">
        <v>52</v>
      </c>
      <c r="D8" s="19">
        <v>201.4</v>
      </c>
      <c r="E8" s="22">
        <f t="shared" ref="E8:E54" si="0">+E7+1</f>
        <v>101</v>
      </c>
      <c r="F8" s="19">
        <v>202.4</v>
      </c>
      <c r="G8" s="33">
        <v>150</v>
      </c>
      <c r="H8" s="19">
        <v>200.9</v>
      </c>
      <c r="I8" s="33">
        <v>199</v>
      </c>
      <c r="J8" s="19">
        <v>194.6</v>
      </c>
      <c r="L8" s="22">
        <v>3</v>
      </c>
      <c r="M8" s="19"/>
      <c r="N8" s="22">
        <v>52</v>
      </c>
      <c r="O8" s="19"/>
      <c r="P8" s="22">
        <f t="shared" ref="P8:P54" si="1">+P7+1</f>
        <v>101</v>
      </c>
      <c r="Q8" s="19"/>
      <c r="R8" s="33">
        <v>150</v>
      </c>
      <c r="S8" s="19">
        <v>200.9</v>
      </c>
      <c r="T8" s="33">
        <v>199</v>
      </c>
      <c r="U8" s="19"/>
      <c r="W8" s="22">
        <v>3</v>
      </c>
      <c r="X8" s="19">
        <v>204.4</v>
      </c>
      <c r="Y8" s="22">
        <v>52</v>
      </c>
      <c r="Z8" s="19">
        <v>201.4</v>
      </c>
      <c r="AA8" s="22">
        <f t="shared" ref="AA8:AA54" si="2">+AA7+1</f>
        <v>101</v>
      </c>
      <c r="AB8" s="19">
        <v>202.4</v>
      </c>
      <c r="AC8" s="33">
        <v>150</v>
      </c>
      <c r="AD8" s="19"/>
      <c r="AE8" s="33">
        <v>199</v>
      </c>
      <c r="AF8" s="19"/>
      <c r="AH8" s="22">
        <v>3</v>
      </c>
      <c r="AI8" s="19"/>
      <c r="AJ8" s="22">
        <v>52</v>
      </c>
      <c r="AK8" s="19"/>
      <c r="AL8" s="22">
        <f t="shared" ref="AL8:AL54" si="3">+AL7+1</f>
        <v>101</v>
      </c>
      <c r="AM8" s="19"/>
      <c r="AN8" s="33">
        <v>150</v>
      </c>
      <c r="AO8" s="19"/>
      <c r="AP8" s="33">
        <v>199</v>
      </c>
      <c r="AQ8" s="19">
        <v>194.6</v>
      </c>
    </row>
    <row r="9" spans="1:43" ht="15.75" x14ac:dyDescent="0.25">
      <c r="A9" s="22">
        <v>4</v>
      </c>
      <c r="B9" s="19">
        <v>203.6</v>
      </c>
      <c r="C9" s="22">
        <v>53</v>
      </c>
      <c r="D9" s="19">
        <v>201</v>
      </c>
      <c r="E9" s="22">
        <f t="shared" si="0"/>
        <v>102</v>
      </c>
      <c r="F9" s="19">
        <v>203.4</v>
      </c>
      <c r="G9" s="33">
        <v>151</v>
      </c>
      <c r="H9" s="19">
        <v>201.2</v>
      </c>
      <c r="I9" s="33">
        <v>200</v>
      </c>
      <c r="J9" s="19">
        <v>200.4</v>
      </c>
      <c r="L9" s="22">
        <v>4</v>
      </c>
      <c r="M9" s="19"/>
      <c r="N9" s="22">
        <v>53</v>
      </c>
      <c r="O9" s="19"/>
      <c r="P9" s="22">
        <f t="shared" si="1"/>
        <v>102</v>
      </c>
      <c r="Q9" s="19"/>
      <c r="R9" s="33">
        <v>151</v>
      </c>
      <c r="S9" s="19">
        <v>201.2</v>
      </c>
      <c r="T9" s="33">
        <v>200</v>
      </c>
      <c r="U9" s="19"/>
      <c r="W9" s="22">
        <v>4</v>
      </c>
      <c r="X9" s="19">
        <v>203.6</v>
      </c>
      <c r="Y9" s="22">
        <v>53</v>
      </c>
      <c r="Z9" s="19">
        <v>201</v>
      </c>
      <c r="AA9" s="22">
        <f t="shared" si="2"/>
        <v>102</v>
      </c>
      <c r="AB9" s="19">
        <v>203.4</v>
      </c>
      <c r="AC9" s="33">
        <v>151</v>
      </c>
      <c r="AD9" s="19"/>
      <c r="AE9" s="33">
        <v>200</v>
      </c>
      <c r="AF9" s="19"/>
      <c r="AH9" s="22">
        <v>4</v>
      </c>
      <c r="AI9" s="19"/>
      <c r="AJ9" s="22">
        <v>53</v>
      </c>
      <c r="AK9" s="19"/>
      <c r="AL9" s="22">
        <f t="shared" si="3"/>
        <v>102</v>
      </c>
      <c r="AM9" s="19"/>
      <c r="AN9" s="33">
        <v>151</v>
      </c>
      <c r="AO9" s="19"/>
      <c r="AP9" s="33">
        <v>200</v>
      </c>
      <c r="AQ9" s="19">
        <v>200.4</v>
      </c>
    </row>
    <row r="10" spans="1:43" ht="15.75" x14ac:dyDescent="0.25">
      <c r="A10" s="22">
        <v>5</v>
      </c>
      <c r="B10" s="19">
        <v>205.6</v>
      </c>
      <c r="C10" s="22">
        <v>54</v>
      </c>
      <c r="D10" s="19">
        <v>199.1</v>
      </c>
      <c r="E10" s="22">
        <f t="shared" si="0"/>
        <v>103</v>
      </c>
      <c r="F10" s="19">
        <v>200.1</v>
      </c>
      <c r="G10" s="33">
        <v>152</v>
      </c>
      <c r="H10" s="19">
        <v>199.3</v>
      </c>
      <c r="I10" s="33">
        <v>201</v>
      </c>
      <c r="J10" s="19">
        <v>203.1</v>
      </c>
      <c r="L10" s="22">
        <v>5</v>
      </c>
      <c r="M10" s="19"/>
      <c r="N10" s="22">
        <v>54</v>
      </c>
      <c r="O10" s="19"/>
      <c r="P10" s="22">
        <f t="shared" si="1"/>
        <v>103</v>
      </c>
      <c r="Q10" s="19"/>
      <c r="R10" s="33">
        <v>152</v>
      </c>
      <c r="S10" s="19">
        <v>199.3</v>
      </c>
      <c r="T10" s="33">
        <v>201</v>
      </c>
      <c r="U10" s="19"/>
      <c r="W10" s="22">
        <v>5</v>
      </c>
      <c r="X10" s="19">
        <v>205.6</v>
      </c>
      <c r="Y10" s="22">
        <v>54</v>
      </c>
      <c r="Z10" s="19">
        <v>199.1</v>
      </c>
      <c r="AA10" s="22">
        <f t="shared" si="2"/>
        <v>103</v>
      </c>
      <c r="AB10" s="19">
        <v>200.1</v>
      </c>
      <c r="AC10" s="33">
        <v>152</v>
      </c>
      <c r="AD10" s="19"/>
      <c r="AE10" s="33">
        <v>201</v>
      </c>
      <c r="AF10" s="19"/>
      <c r="AH10" s="22">
        <v>5</v>
      </c>
      <c r="AI10" s="19"/>
      <c r="AJ10" s="22">
        <v>54</v>
      </c>
      <c r="AK10" s="19"/>
      <c r="AL10" s="22">
        <f t="shared" si="3"/>
        <v>103</v>
      </c>
      <c r="AM10" s="19"/>
      <c r="AN10" s="33">
        <v>152</v>
      </c>
      <c r="AO10" s="19"/>
      <c r="AP10" s="33">
        <v>201</v>
      </c>
      <c r="AQ10" s="19">
        <v>203.1</v>
      </c>
    </row>
    <row r="11" spans="1:43" ht="15.75" x14ac:dyDescent="0.25">
      <c r="A11" s="22">
        <v>6</v>
      </c>
      <c r="B11" s="19">
        <v>205.6</v>
      </c>
      <c r="C11" s="22">
        <v>55</v>
      </c>
      <c r="D11" s="19">
        <v>195.3</v>
      </c>
      <c r="E11" s="22">
        <f t="shared" si="0"/>
        <v>104</v>
      </c>
      <c r="F11" s="19">
        <v>204.5</v>
      </c>
      <c r="G11" s="33">
        <v>153</v>
      </c>
      <c r="H11" s="19">
        <v>208.7</v>
      </c>
      <c r="I11" s="33">
        <v>202</v>
      </c>
      <c r="J11" s="19">
        <v>195.2</v>
      </c>
      <c r="L11" s="22">
        <v>6</v>
      </c>
      <c r="M11" s="19"/>
      <c r="N11" s="22">
        <v>55</v>
      </c>
      <c r="O11" s="19"/>
      <c r="P11" s="22">
        <f t="shared" si="1"/>
        <v>104</v>
      </c>
      <c r="Q11" s="19"/>
      <c r="R11" s="33">
        <v>153</v>
      </c>
      <c r="S11" s="19">
        <v>208.7</v>
      </c>
      <c r="T11" s="33">
        <v>202</v>
      </c>
      <c r="U11" s="19"/>
      <c r="W11" s="22">
        <v>6</v>
      </c>
      <c r="X11" s="19">
        <v>205.6</v>
      </c>
      <c r="Y11" s="22">
        <v>55</v>
      </c>
      <c r="Z11" s="19">
        <v>195.3</v>
      </c>
      <c r="AA11" s="22">
        <f t="shared" si="2"/>
        <v>104</v>
      </c>
      <c r="AB11" s="19">
        <v>204.5</v>
      </c>
      <c r="AC11" s="33">
        <v>153</v>
      </c>
      <c r="AD11" s="19"/>
      <c r="AE11" s="33">
        <v>202</v>
      </c>
      <c r="AF11" s="19"/>
      <c r="AH11" s="22">
        <v>6</v>
      </c>
      <c r="AI11" s="19"/>
      <c r="AJ11" s="22">
        <v>55</v>
      </c>
      <c r="AK11" s="19"/>
      <c r="AL11" s="22">
        <f t="shared" si="3"/>
        <v>104</v>
      </c>
      <c r="AM11" s="19"/>
      <c r="AN11" s="33">
        <v>153</v>
      </c>
      <c r="AO11" s="19"/>
      <c r="AP11" s="33">
        <v>202</v>
      </c>
      <c r="AQ11" s="19">
        <v>195.2</v>
      </c>
    </row>
    <row r="12" spans="1:43" ht="15.75" x14ac:dyDescent="0.25">
      <c r="A12" s="22">
        <v>7</v>
      </c>
      <c r="B12" s="19">
        <v>201.4</v>
      </c>
      <c r="C12" s="22">
        <v>56</v>
      </c>
      <c r="D12" s="19">
        <v>196.9</v>
      </c>
      <c r="E12" s="22">
        <f t="shared" si="0"/>
        <v>105</v>
      </c>
      <c r="F12" s="19">
        <v>203.5</v>
      </c>
      <c r="G12" s="33">
        <v>154</v>
      </c>
      <c r="H12" s="19">
        <v>199.2</v>
      </c>
      <c r="I12" s="33">
        <v>203</v>
      </c>
      <c r="J12" s="19">
        <v>195.6</v>
      </c>
      <c r="L12" s="22">
        <v>7</v>
      </c>
      <c r="M12" s="19"/>
      <c r="N12" s="22">
        <v>56</v>
      </c>
      <c r="O12" s="19"/>
      <c r="P12" s="22">
        <f t="shared" si="1"/>
        <v>105</v>
      </c>
      <c r="Q12" s="19"/>
      <c r="R12" s="33">
        <v>154</v>
      </c>
      <c r="S12" s="19">
        <v>199.2</v>
      </c>
      <c r="T12" s="33">
        <v>203</v>
      </c>
      <c r="U12" s="19"/>
      <c r="W12" s="22">
        <v>7</v>
      </c>
      <c r="X12" s="19">
        <v>201.4</v>
      </c>
      <c r="Y12" s="22">
        <v>56</v>
      </c>
      <c r="Z12" s="19">
        <v>196.9</v>
      </c>
      <c r="AA12" s="22">
        <f t="shared" si="2"/>
        <v>105</v>
      </c>
      <c r="AB12" s="19">
        <v>203.5</v>
      </c>
      <c r="AC12" s="33">
        <v>154</v>
      </c>
      <c r="AD12" s="19"/>
      <c r="AE12" s="33">
        <v>203</v>
      </c>
      <c r="AF12" s="19"/>
      <c r="AH12" s="22">
        <v>7</v>
      </c>
      <c r="AI12" s="19"/>
      <c r="AJ12" s="22">
        <v>56</v>
      </c>
      <c r="AK12" s="19"/>
      <c r="AL12" s="22">
        <f t="shared" si="3"/>
        <v>105</v>
      </c>
      <c r="AM12" s="19"/>
      <c r="AN12" s="33">
        <v>154</v>
      </c>
      <c r="AO12" s="19"/>
      <c r="AP12" s="33">
        <v>203</v>
      </c>
      <c r="AQ12" s="19">
        <v>195.6</v>
      </c>
    </row>
    <row r="13" spans="1:43" ht="15.75" x14ac:dyDescent="0.25">
      <c r="A13" s="22">
        <v>8</v>
      </c>
      <c r="B13" s="19">
        <v>199.1</v>
      </c>
      <c r="C13" s="22">
        <v>57</v>
      </c>
      <c r="D13" s="19">
        <v>201.7</v>
      </c>
      <c r="E13" s="22">
        <f t="shared" si="0"/>
        <v>106</v>
      </c>
      <c r="F13" s="19">
        <v>202.9</v>
      </c>
      <c r="G13" s="33">
        <v>155</v>
      </c>
      <c r="H13" s="19">
        <v>199</v>
      </c>
      <c r="I13" s="33">
        <v>204</v>
      </c>
      <c r="J13" s="19">
        <v>206</v>
      </c>
      <c r="L13" s="22">
        <v>8</v>
      </c>
      <c r="M13" s="19"/>
      <c r="N13" s="22">
        <v>57</v>
      </c>
      <c r="O13" s="19"/>
      <c r="P13" s="22">
        <f t="shared" si="1"/>
        <v>106</v>
      </c>
      <c r="Q13" s="19"/>
      <c r="R13" s="33">
        <v>155</v>
      </c>
      <c r="S13" s="19">
        <v>199</v>
      </c>
      <c r="T13" s="33">
        <v>204</v>
      </c>
      <c r="U13" s="19"/>
      <c r="W13" s="22">
        <v>8</v>
      </c>
      <c r="X13" s="19">
        <v>199.1</v>
      </c>
      <c r="Y13" s="22">
        <v>57</v>
      </c>
      <c r="Z13" s="19">
        <v>201.7</v>
      </c>
      <c r="AA13" s="22">
        <f t="shared" si="2"/>
        <v>106</v>
      </c>
      <c r="AB13" s="19">
        <v>202.9</v>
      </c>
      <c r="AC13" s="33">
        <v>155</v>
      </c>
      <c r="AD13" s="19"/>
      <c r="AE13" s="33">
        <v>204</v>
      </c>
      <c r="AF13" s="19"/>
      <c r="AH13" s="22">
        <v>8</v>
      </c>
      <c r="AI13" s="19"/>
      <c r="AJ13" s="22">
        <v>57</v>
      </c>
      <c r="AK13" s="19"/>
      <c r="AL13" s="22">
        <f t="shared" si="3"/>
        <v>106</v>
      </c>
      <c r="AM13" s="19"/>
      <c r="AN13" s="33">
        <v>155</v>
      </c>
      <c r="AO13" s="19"/>
      <c r="AP13" s="33">
        <v>204</v>
      </c>
      <c r="AQ13" s="19">
        <v>206</v>
      </c>
    </row>
    <row r="14" spans="1:43" ht="15.75" x14ac:dyDescent="0.25">
      <c r="A14" s="22">
        <v>9</v>
      </c>
      <c r="B14" s="19">
        <v>204.4</v>
      </c>
      <c r="C14" s="22">
        <v>58</v>
      </c>
      <c r="D14" s="19">
        <v>207.7</v>
      </c>
      <c r="E14" s="22">
        <f t="shared" si="0"/>
        <v>107</v>
      </c>
      <c r="F14" s="19">
        <v>203.4</v>
      </c>
      <c r="G14" s="33">
        <v>156</v>
      </c>
      <c r="H14" s="19">
        <v>196.2</v>
      </c>
      <c r="I14" s="33">
        <v>205</v>
      </c>
      <c r="J14" s="19">
        <v>200</v>
      </c>
      <c r="L14" s="22">
        <v>9</v>
      </c>
      <c r="M14" s="19"/>
      <c r="N14" s="22">
        <v>58</v>
      </c>
      <c r="O14" s="19"/>
      <c r="P14" s="22">
        <f t="shared" si="1"/>
        <v>107</v>
      </c>
      <c r="Q14" s="19"/>
      <c r="R14" s="33">
        <v>156</v>
      </c>
      <c r="S14" s="19">
        <v>196.2</v>
      </c>
      <c r="T14" s="33">
        <v>205</v>
      </c>
      <c r="U14" s="19"/>
      <c r="W14" s="22">
        <v>9</v>
      </c>
      <c r="X14" s="19">
        <v>204.4</v>
      </c>
      <c r="Y14" s="22">
        <v>58</v>
      </c>
      <c r="Z14" s="19">
        <v>207.7</v>
      </c>
      <c r="AA14" s="22">
        <f t="shared" si="2"/>
        <v>107</v>
      </c>
      <c r="AB14" s="19">
        <v>203.4</v>
      </c>
      <c r="AC14" s="33">
        <v>156</v>
      </c>
      <c r="AD14" s="19"/>
      <c r="AE14" s="33">
        <v>205</v>
      </c>
      <c r="AF14" s="19"/>
      <c r="AH14" s="22">
        <v>9</v>
      </c>
      <c r="AI14" s="19"/>
      <c r="AJ14" s="22">
        <v>58</v>
      </c>
      <c r="AK14" s="19"/>
      <c r="AL14" s="22">
        <f t="shared" si="3"/>
        <v>107</v>
      </c>
      <c r="AM14" s="19"/>
      <c r="AN14" s="33">
        <v>156</v>
      </c>
      <c r="AO14" s="19"/>
      <c r="AP14" s="33">
        <v>205</v>
      </c>
      <c r="AQ14" s="19">
        <v>200</v>
      </c>
    </row>
    <row r="15" spans="1:43" ht="15.75" x14ac:dyDescent="0.25">
      <c r="A15" s="22">
        <v>10</v>
      </c>
      <c r="B15" s="19">
        <v>203.9</v>
      </c>
      <c r="C15" s="22">
        <v>59</v>
      </c>
      <c r="D15" s="19">
        <v>198.8</v>
      </c>
      <c r="E15" s="22">
        <f t="shared" si="0"/>
        <v>108</v>
      </c>
      <c r="F15" s="19">
        <v>208.2</v>
      </c>
      <c r="G15" s="33">
        <v>157</v>
      </c>
      <c r="H15" s="19">
        <v>200.1</v>
      </c>
      <c r="I15" s="33">
        <v>206</v>
      </c>
      <c r="J15" s="19">
        <v>202.9</v>
      </c>
      <c r="L15" s="22">
        <v>10</v>
      </c>
      <c r="M15" s="19"/>
      <c r="N15" s="22">
        <v>59</v>
      </c>
      <c r="O15" s="19"/>
      <c r="P15" s="22">
        <f t="shared" si="1"/>
        <v>108</v>
      </c>
      <c r="Q15" s="19"/>
      <c r="R15" s="33">
        <v>157</v>
      </c>
      <c r="S15" s="19">
        <v>200.1</v>
      </c>
      <c r="T15" s="33">
        <v>206</v>
      </c>
      <c r="U15" s="19"/>
      <c r="W15" s="22">
        <v>10</v>
      </c>
      <c r="X15" s="19">
        <v>203.9</v>
      </c>
      <c r="Y15" s="22">
        <v>59</v>
      </c>
      <c r="Z15" s="19">
        <v>198.8</v>
      </c>
      <c r="AA15" s="22">
        <f t="shared" si="2"/>
        <v>108</v>
      </c>
      <c r="AB15" s="19">
        <v>208.2</v>
      </c>
      <c r="AC15" s="33">
        <v>157</v>
      </c>
      <c r="AD15" s="19"/>
      <c r="AE15" s="33">
        <v>206</v>
      </c>
      <c r="AF15" s="19"/>
      <c r="AH15" s="22">
        <v>10</v>
      </c>
      <c r="AI15" s="19"/>
      <c r="AJ15" s="22">
        <v>59</v>
      </c>
      <c r="AK15" s="19"/>
      <c r="AL15" s="22">
        <f t="shared" si="3"/>
        <v>108</v>
      </c>
      <c r="AM15" s="19"/>
      <c r="AN15" s="33">
        <v>157</v>
      </c>
      <c r="AO15" s="19"/>
      <c r="AP15" s="33">
        <v>206</v>
      </c>
      <c r="AQ15" s="19">
        <v>202.9</v>
      </c>
    </row>
    <row r="16" spans="1:43" ht="15.75" x14ac:dyDescent="0.25">
      <c r="A16" s="22">
        <v>11</v>
      </c>
      <c r="B16" s="19">
        <v>201.5</v>
      </c>
      <c r="C16" s="22">
        <v>60</v>
      </c>
      <c r="D16" s="19">
        <v>204.2</v>
      </c>
      <c r="E16" s="22">
        <f t="shared" si="0"/>
        <v>109</v>
      </c>
      <c r="F16" s="19">
        <v>206</v>
      </c>
      <c r="G16" s="33">
        <v>158</v>
      </c>
      <c r="H16" s="19">
        <v>200.6</v>
      </c>
      <c r="I16" s="33">
        <v>207</v>
      </c>
      <c r="J16" s="19">
        <v>207.8</v>
      </c>
      <c r="L16" s="22">
        <v>11</v>
      </c>
      <c r="M16" s="19"/>
      <c r="N16" s="22">
        <v>60</v>
      </c>
      <c r="O16" s="19"/>
      <c r="P16" s="22">
        <f t="shared" si="1"/>
        <v>109</v>
      </c>
      <c r="Q16" s="19"/>
      <c r="R16" s="33">
        <v>158</v>
      </c>
      <c r="S16" s="19">
        <v>200.6</v>
      </c>
      <c r="T16" s="33">
        <v>207</v>
      </c>
      <c r="U16" s="19"/>
      <c r="W16" s="22">
        <v>11</v>
      </c>
      <c r="X16" s="19">
        <v>201.5</v>
      </c>
      <c r="Y16" s="22">
        <v>60</v>
      </c>
      <c r="Z16" s="19">
        <v>204.2</v>
      </c>
      <c r="AA16" s="22">
        <f t="shared" si="2"/>
        <v>109</v>
      </c>
      <c r="AB16" s="19">
        <v>206</v>
      </c>
      <c r="AC16" s="33">
        <v>158</v>
      </c>
      <c r="AD16" s="19"/>
      <c r="AE16" s="33">
        <v>207</v>
      </c>
      <c r="AF16" s="19"/>
      <c r="AH16" s="22">
        <v>11</v>
      </c>
      <c r="AI16" s="19"/>
      <c r="AJ16" s="22">
        <v>60</v>
      </c>
      <c r="AK16" s="19"/>
      <c r="AL16" s="22">
        <f t="shared" si="3"/>
        <v>109</v>
      </c>
      <c r="AM16" s="19"/>
      <c r="AN16" s="33">
        <v>158</v>
      </c>
      <c r="AO16" s="19"/>
      <c r="AP16" s="33">
        <v>207</v>
      </c>
      <c r="AQ16" s="19">
        <v>207.8</v>
      </c>
    </row>
    <row r="17" spans="1:43" ht="15.75" x14ac:dyDescent="0.25">
      <c r="A17" s="22">
        <v>12</v>
      </c>
      <c r="B17" s="19">
        <v>201.8</v>
      </c>
      <c r="C17" s="22">
        <v>61</v>
      </c>
      <c r="D17" s="19">
        <v>201.9</v>
      </c>
      <c r="E17" s="22">
        <f t="shared" si="0"/>
        <v>110</v>
      </c>
      <c r="F17" s="19">
        <v>203.2</v>
      </c>
      <c r="G17" s="33">
        <v>159</v>
      </c>
      <c r="H17" s="19">
        <v>197.6</v>
      </c>
      <c r="I17" s="33">
        <v>208</v>
      </c>
      <c r="J17" s="19">
        <v>205.9</v>
      </c>
      <c r="L17" s="22">
        <v>12</v>
      </c>
      <c r="M17" s="19"/>
      <c r="N17" s="22">
        <v>61</v>
      </c>
      <c r="O17" s="19"/>
      <c r="P17" s="22">
        <f t="shared" si="1"/>
        <v>110</v>
      </c>
      <c r="Q17" s="19"/>
      <c r="R17" s="33">
        <v>159</v>
      </c>
      <c r="S17" s="19">
        <v>197.6</v>
      </c>
      <c r="T17" s="33">
        <v>208</v>
      </c>
      <c r="U17" s="19"/>
      <c r="W17" s="22">
        <v>12</v>
      </c>
      <c r="X17" s="19">
        <v>201.8</v>
      </c>
      <c r="Y17" s="22">
        <v>61</v>
      </c>
      <c r="Z17" s="19">
        <v>201.9</v>
      </c>
      <c r="AA17" s="22">
        <f t="shared" si="2"/>
        <v>110</v>
      </c>
      <c r="AB17" s="19">
        <v>203.2</v>
      </c>
      <c r="AC17" s="33">
        <v>159</v>
      </c>
      <c r="AD17" s="19"/>
      <c r="AE17" s="33">
        <v>208</v>
      </c>
      <c r="AF17" s="19"/>
      <c r="AH17" s="22">
        <v>12</v>
      </c>
      <c r="AI17" s="19"/>
      <c r="AJ17" s="22">
        <v>61</v>
      </c>
      <c r="AK17" s="19"/>
      <c r="AL17" s="22">
        <f t="shared" si="3"/>
        <v>110</v>
      </c>
      <c r="AM17" s="19"/>
      <c r="AN17" s="33">
        <v>159</v>
      </c>
      <c r="AO17" s="19"/>
      <c r="AP17" s="33">
        <v>208</v>
      </c>
      <c r="AQ17" s="19">
        <v>205.9</v>
      </c>
    </row>
    <row r="18" spans="1:43" ht="15.75" x14ac:dyDescent="0.25">
      <c r="A18" s="22">
        <v>13</v>
      </c>
      <c r="B18" s="19">
        <v>204</v>
      </c>
      <c r="C18" s="22">
        <v>62</v>
      </c>
      <c r="D18" s="19">
        <v>201.5</v>
      </c>
      <c r="E18" s="22">
        <f t="shared" si="0"/>
        <v>111</v>
      </c>
      <c r="F18" s="19">
        <v>199.5</v>
      </c>
      <c r="G18" s="33">
        <v>160</v>
      </c>
      <c r="H18" s="19">
        <v>200</v>
      </c>
      <c r="I18" s="33">
        <v>209</v>
      </c>
      <c r="J18" s="19">
        <v>201.1</v>
      </c>
      <c r="L18" s="22">
        <v>13</v>
      </c>
      <c r="M18" s="19"/>
      <c r="N18" s="22">
        <v>62</v>
      </c>
      <c r="O18" s="19"/>
      <c r="P18" s="22">
        <f t="shared" si="1"/>
        <v>111</v>
      </c>
      <c r="Q18" s="19"/>
      <c r="R18" s="33">
        <v>160</v>
      </c>
      <c r="S18" s="19">
        <v>200</v>
      </c>
      <c r="T18" s="33">
        <v>209</v>
      </c>
      <c r="U18" s="19"/>
      <c r="W18" s="22">
        <v>13</v>
      </c>
      <c r="X18" s="19">
        <v>204</v>
      </c>
      <c r="Y18" s="22">
        <v>62</v>
      </c>
      <c r="Z18" s="19">
        <v>201.5</v>
      </c>
      <c r="AA18" s="22">
        <f t="shared" si="2"/>
        <v>111</v>
      </c>
      <c r="AB18" s="19">
        <v>199.5</v>
      </c>
      <c r="AC18" s="33">
        <v>160</v>
      </c>
      <c r="AD18" s="19"/>
      <c r="AE18" s="33">
        <v>209</v>
      </c>
      <c r="AF18" s="19"/>
      <c r="AH18" s="22">
        <v>13</v>
      </c>
      <c r="AI18" s="19"/>
      <c r="AJ18" s="22">
        <v>62</v>
      </c>
      <c r="AK18" s="19"/>
      <c r="AL18" s="22">
        <f t="shared" si="3"/>
        <v>111</v>
      </c>
      <c r="AM18" s="19"/>
      <c r="AN18" s="33">
        <v>160</v>
      </c>
      <c r="AO18" s="19"/>
      <c r="AP18" s="33">
        <v>209</v>
      </c>
      <c r="AQ18" s="19">
        <v>201.1</v>
      </c>
    </row>
    <row r="19" spans="1:43" ht="15.75" x14ac:dyDescent="0.25">
      <c r="A19" s="22">
        <v>14</v>
      </c>
      <c r="B19" s="19">
        <v>205.1</v>
      </c>
      <c r="C19" s="22">
        <v>63</v>
      </c>
      <c r="D19" s="19">
        <v>204.7</v>
      </c>
      <c r="E19" s="22">
        <f t="shared" si="0"/>
        <v>112</v>
      </c>
      <c r="F19" s="19">
        <v>204.7</v>
      </c>
      <c r="G19" s="33">
        <v>161</v>
      </c>
      <c r="H19" s="19">
        <v>202.2</v>
      </c>
      <c r="I19" s="33">
        <v>210</v>
      </c>
      <c r="J19" s="19">
        <v>204.1</v>
      </c>
      <c r="L19" s="22">
        <v>14</v>
      </c>
      <c r="M19" s="19"/>
      <c r="N19" s="22">
        <v>63</v>
      </c>
      <c r="O19" s="19"/>
      <c r="P19" s="22">
        <f t="shared" si="1"/>
        <v>112</v>
      </c>
      <c r="Q19" s="19"/>
      <c r="R19" s="33">
        <v>161</v>
      </c>
      <c r="S19" s="19">
        <v>202.2</v>
      </c>
      <c r="T19" s="33">
        <v>210</v>
      </c>
      <c r="U19" s="19"/>
      <c r="W19" s="22">
        <v>14</v>
      </c>
      <c r="X19" s="19">
        <v>205.1</v>
      </c>
      <c r="Y19" s="22">
        <v>63</v>
      </c>
      <c r="Z19" s="19">
        <v>204.7</v>
      </c>
      <c r="AA19" s="22">
        <f t="shared" si="2"/>
        <v>112</v>
      </c>
      <c r="AB19" s="19">
        <v>204.7</v>
      </c>
      <c r="AC19" s="33">
        <v>161</v>
      </c>
      <c r="AD19" s="19"/>
      <c r="AE19" s="33">
        <v>210</v>
      </c>
      <c r="AF19" s="19"/>
      <c r="AH19" s="22">
        <v>14</v>
      </c>
      <c r="AI19" s="19"/>
      <c r="AJ19" s="22">
        <v>63</v>
      </c>
      <c r="AK19" s="19"/>
      <c r="AL19" s="22">
        <f t="shared" si="3"/>
        <v>112</v>
      </c>
      <c r="AM19" s="19"/>
      <c r="AN19" s="33">
        <v>161</v>
      </c>
      <c r="AO19" s="19"/>
      <c r="AP19" s="33">
        <v>210</v>
      </c>
      <c r="AQ19" s="19">
        <v>204.1</v>
      </c>
    </row>
    <row r="20" spans="1:43" ht="15.75" x14ac:dyDescent="0.25">
      <c r="A20" s="22">
        <v>15</v>
      </c>
      <c r="B20" s="19">
        <v>201.3</v>
      </c>
      <c r="C20" s="22">
        <v>64</v>
      </c>
      <c r="D20" s="19">
        <v>204.9</v>
      </c>
      <c r="E20" s="22">
        <f t="shared" si="0"/>
        <v>113</v>
      </c>
      <c r="F20" s="19">
        <v>205.6</v>
      </c>
      <c r="G20" s="35">
        <v>162</v>
      </c>
      <c r="H20" s="19">
        <v>201.9</v>
      </c>
      <c r="I20" s="33">
        <v>211</v>
      </c>
      <c r="J20" s="19">
        <v>202.1</v>
      </c>
      <c r="L20" s="22">
        <v>15</v>
      </c>
      <c r="M20" s="19"/>
      <c r="N20" s="22">
        <v>64</v>
      </c>
      <c r="O20" s="19"/>
      <c r="P20" s="22">
        <f t="shared" si="1"/>
        <v>113</v>
      </c>
      <c r="Q20" s="19"/>
      <c r="R20" s="35">
        <v>162</v>
      </c>
      <c r="S20" s="19">
        <v>201.9</v>
      </c>
      <c r="T20" s="33">
        <v>211</v>
      </c>
      <c r="U20" s="19"/>
      <c r="W20" s="22">
        <v>15</v>
      </c>
      <c r="X20" s="19">
        <v>201.3</v>
      </c>
      <c r="Y20" s="22">
        <v>64</v>
      </c>
      <c r="Z20" s="19">
        <v>204.9</v>
      </c>
      <c r="AA20" s="22">
        <f t="shared" si="2"/>
        <v>113</v>
      </c>
      <c r="AB20" s="19">
        <v>205.6</v>
      </c>
      <c r="AC20" s="35">
        <v>162</v>
      </c>
      <c r="AD20" s="19"/>
      <c r="AE20" s="33">
        <v>211</v>
      </c>
      <c r="AF20" s="19"/>
      <c r="AH20" s="22">
        <v>15</v>
      </c>
      <c r="AI20" s="19"/>
      <c r="AJ20" s="22">
        <v>64</v>
      </c>
      <c r="AK20" s="19"/>
      <c r="AL20" s="22">
        <f t="shared" si="3"/>
        <v>113</v>
      </c>
      <c r="AM20" s="19"/>
      <c r="AN20" s="35">
        <v>162</v>
      </c>
      <c r="AO20" s="19"/>
      <c r="AP20" s="33">
        <v>211</v>
      </c>
      <c r="AQ20" s="19">
        <v>202.1</v>
      </c>
    </row>
    <row r="21" spans="1:43" ht="15.75" x14ac:dyDescent="0.25">
      <c r="A21" s="22">
        <v>16</v>
      </c>
      <c r="B21" s="19">
        <v>203</v>
      </c>
      <c r="C21" s="22">
        <v>65</v>
      </c>
      <c r="D21" s="19">
        <v>204.7</v>
      </c>
      <c r="E21" s="22">
        <f t="shared" si="0"/>
        <v>114</v>
      </c>
      <c r="F21" s="19">
        <v>199.8</v>
      </c>
      <c r="G21" s="35">
        <v>163</v>
      </c>
      <c r="H21" s="19">
        <v>196</v>
      </c>
      <c r="I21" s="33">
        <v>212</v>
      </c>
      <c r="J21" s="19">
        <v>204.7</v>
      </c>
      <c r="L21" s="22">
        <v>16</v>
      </c>
      <c r="M21" s="19"/>
      <c r="N21" s="22">
        <v>65</v>
      </c>
      <c r="O21" s="19"/>
      <c r="P21" s="22">
        <f t="shared" si="1"/>
        <v>114</v>
      </c>
      <c r="Q21" s="19"/>
      <c r="R21" s="35">
        <v>163</v>
      </c>
      <c r="S21" s="19">
        <v>196</v>
      </c>
      <c r="T21" s="33">
        <v>212</v>
      </c>
      <c r="U21" s="19"/>
      <c r="W21" s="22">
        <v>16</v>
      </c>
      <c r="X21" s="19">
        <v>203</v>
      </c>
      <c r="Y21" s="22">
        <v>65</v>
      </c>
      <c r="Z21" s="19">
        <v>204.7</v>
      </c>
      <c r="AA21" s="22">
        <f t="shared" si="2"/>
        <v>114</v>
      </c>
      <c r="AB21" s="19">
        <v>199.8</v>
      </c>
      <c r="AC21" s="35">
        <v>163</v>
      </c>
      <c r="AD21" s="19"/>
      <c r="AE21" s="33">
        <v>212</v>
      </c>
      <c r="AF21" s="19"/>
      <c r="AH21" s="22">
        <v>16</v>
      </c>
      <c r="AI21" s="19"/>
      <c r="AJ21" s="22">
        <v>65</v>
      </c>
      <c r="AK21" s="19"/>
      <c r="AL21" s="22">
        <f t="shared" si="3"/>
        <v>114</v>
      </c>
      <c r="AM21" s="19"/>
      <c r="AN21" s="35">
        <v>163</v>
      </c>
      <c r="AO21" s="19"/>
      <c r="AP21" s="33">
        <v>212</v>
      </c>
      <c r="AQ21" s="19">
        <v>204.7</v>
      </c>
    </row>
    <row r="22" spans="1:43" ht="15.75" x14ac:dyDescent="0.25">
      <c r="A22" s="22">
        <v>17</v>
      </c>
      <c r="B22" s="19">
        <v>199.4</v>
      </c>
      <c r="C22" s="22">
        <v>66</v>
      </c>
      <c r="D22" s="19">
        <v>205.9</v>
      </c>
      <c r="E22" s="22">
        <f t="shared" si="0"/>
        <v>115</v>
      </c>
      <c r="F22" s="19">
        <v>202.9</v>
      </c>
      <c r="G22" s="35">
        <v>164</v>
      </c>
      <c r="H22" s="19">
        <v>197.4</v>
      </c>
      <c r="I22" s="33">
        <v>213</v>
      </c>
      <c r="J22" s="19">
        <v>205.6</v>
      </c>
      <c r="L22" s="22">
        <v>17</v>
      </c>
      <c r="M22" s="19"/>
      <c r="N22" s="22">
        <v>66</v>
      </c>
      <c r="O22" s="19"/>
      <c r="P22" s="22">
        <f t="shared" si="1"/>
        <v>115</v>
      </c>
      <c r="Q22" s="19"/>
      <c r="R22" s="35">
        <v>164</v>
      </c>
      <c r="S22" s="19">
        <v>197.4</v>
      </c>
      <c r="T22" s="33">
        <v>213</v>
      </c>
      <c r="U22" s="19"/>
      <c r="W22" s="22">
        <v>17</v>
      </c>
      <c r="X22" s="19">
        <v>199.4</v>
      </c>
      <c r="Y22" s="22">
        <v>66</v>
      </c>
      <c r="Z22" s="19">
        <v>205.9</v>
      </c>
      <c r="AA22" s="22">
        <f t="shared" si="2"/>
        <v>115</v>
      </c>
      <c r="AB22" s="19">
        <v>202.9</v>
      </c>
      <c r="AC22" s="35">
        <v>164</v>
      </c>
      <c r="AD22" s="19"/>
      <c r="AE22" s="33">
        <v>213</v>
      </c>
      <c r="AF22" s="19"/>
      <c r="AH22" s="22">
        <v>17</v>
      </c>
      <c r="AI22" s="19"/>
      <c r="AJ22" s="22">
        <v>66</v>
      </c>
      <c r="AK22" s="19"/>
      <c r="AL22" s="22">
        <f t="shared" si="3"/>
        <v>115</v>
      </c>
      <c r="AM22" s="19"/>
      <c r="AN22" s="35">
        <v>164</v>
      </c>
      <c r="AO22" s="19"/>
      <c r="AP22" s="33">
        <v>213</v>
      </c>
      <c r="AQ22" s="19">
        <v>205.6</v>
      </c>
    </row>
    <row r="23" spans="1:43" ht="15.75" x14ac:dyDescent="0.25">
      <c r="A23" s="22">
        <v>18</v>
      </c>
      <c r="B23" s="19">
        <v>204.1</v>
      </c>
      <c r="C23" s="22">
        <v>67</v>
      </c>
      <c r="D23" s="19">
        <v>204.4</v>
      </c>
      <c r="E23" s="22">
        <f t="shared" si="0"/>
        <v>116</v>
      </c>
      <c r="F23" s="19">
        <v>216.4</v>
      </c>
      <c r="G23" s="35">
        <v>165</v>
      </c>
      <c r="H23" s="19">
        <v>192.9</v>
      </c>
      <c r="I23" s="33">
        <v>214</v>
      </c>
      <c r="J23" s="19">
        <v>205.9</v>
      </c>
      <c r="L23" s="22">
        <v>18</v>
      </c>
      <c r="M23" s="19"/>
      <c r="N23" s="22">
        <v>67</v>
      </c>
      <c r="O23" s="19"/>
      <c r="P23" s="22">
        <f t="shared" si="1"/>
        <v>116</v>
      </c>
      <c r="Q23" s="19"/>
      <c r="R23" s="35">
        <v>165</v>
      </c>
      <c r="S23" s="19">
        <v>192.9</v>
      </c>
      <c r="T23" s="33">
        <v>214</v>
      </c>
      <c r="U23" s="19"/>
      <c r="W23" s="22">
        <v>18</v>
      </c>
      <c r="X23" s="19">
        <v>204.1</v>
      </c>
      <c r="Y23" s="22">
        <v>67</v>
      </c>
      <c r="Z23" s="19">
        <v>204.4</v>
      </c>
      <c r="AA23" s="22">
        <f t="shared" si="2"/>
        <v>116</v>
      </c>
      <c r="AB23" s="19">
        <v>216.4</v>
      </c>
      <c r="AC23" s="35">
        <v>165</v>
      </c>
      <c r="AD23" s="19"/>
      <c r="AE23" s="33">
        <v>214</v>
      </c>
      <c r="AF23" s="19"/>
      <c r="AH23" s="22">
        <v>18</v>
      </c>
      <c r="AI23" s="19"/>
      <c r="AJ23" s="22">
        <v>67</v>
      </c>
      <c r="AK23" s="19"/>
      <c r="AL23" s="22">
        <f t="shared" si="3"/>
        <v>116</v>
      </c>
      <c r="AM23" s="19"/>
      <c r="AN23" s="35">
        <v>165</v>
      </c>
      <c r="AO23" s="19"/>
      <c r="AP23" s="33">
        <v>214</v>
      </c>
      <c r="AQ23" s="19">
        <v>205.9</v>
      </c>
    </row>
    <row r="24" spans="1:43" ht="15.75" x14ac:dyDescent="0.25">
      <c r="A24" s="22">
        <v>19</v>
      </c>
      <c r="B24" s="19">
        <v>202.6</v>
      </c>
      <c r="C24" s="22">
        <v>68</v>
      </c>
      <c r="D24" s="19">
        <v>204.2</v>
      </c>
      <c r="E24" s="22">
        <f t="shared" si="0"/>
        <v>117</v>
      </c>
      <c r="F24" s="19">
        <v>203.4</v>
      </c>
      <c r="G24" s="35">
        <v>166</v>
      </c>
      <c r="H24" s="19">
        <v>195.8</v>
      </c>
      <c r="I24" s="33">
        <v>215</v>
      </c>
      <c r="J24" s="19">
        <v>209.6</v>
      </c>
      <c r="L24" s="22">
        <v>19</v>
      </c>
      <c r="M24" s="19"/>
      <c r="N24" s="22">
        <v>68</v>
      </c>
      <c r="O24" s="19"/>
      <c r="P24" s="22">
        <f t="shared" si="1"/>
        <v>117</v>
      </c>
      <c r="Q24" s="19"/>
      <c r="R24" s="35">
        <v>166</v>
      </c>
      <c r="S24" s="19"/>
      <c r="T24" s="33">
        <v>215</v>
      </c>
      <c r="U24" s="19"/>
      <c r="W24" s="22">
        <v>19</v>
      </c>
      <c r="X24" s="19">
        <v>202.6</v>
      </c>
      <c r="Y24" s="22">
        <v>68</v>
      </c>
      <c r="Z24" s="19">
        <v>204.2</v>
      </c>
      <c r="AA24" s="22">
        <f t="shared" si="2"/>
        <v>117</v>
      </c>
      <c r="AB24" s="19">
        <v>203.4</v>
      </c>
      <c r="AC24" s="35">
        <v>166</v>
      </c>
      <c r="AD24" s="19"/>
      <c r="AE24" s="33">
        <v>215</v>
      </c>
      <c r="AF24" s="19"/>
      <c r="AH24" s="22">
        <v>19</v>
      </c>
      <c r="AI24" s="19"/>
      <c r="AJ24" s="22">
        <v>68</v>
      </c>
      <c r="AK24" s="19"/>
      <c r="AL24" s="22">
        <f t="shared" si="3"/>
        <v>117</v>
      </c>
      <c r="AM24" s="19"/>
      <c r="AN24" s="35">
        <v>166</v>
      </c>
      <c r="AO24" s="19">
        <v>195.8</v>
      </c>
      <c r="AP24" s="33">
        <v>215</v>
      </c>
      <c r="AQ24" s="19">
        <v>209.6</v>
      </c>
    </row>
    <row r="25" spans="1:43" ht="15.75" x14ac:dyDescent="0.25">
      <c r="A25" s="22">
        <v>20</v>
      </c>
      <c r="B25" s="19">
        <v>198.4</v>
      </c>
      <c r="C25" s="22">
        <v>69</v>
      </c>
      <c r="D25" s="19">
        <v>200.2</v>
      </c>
      <c r="E25" s="22">
        <f t="shared" si="0"/>
        <v>118</v>
      </c>
      <c r="F25" s="19">
        <v>208</v>
      </c>
      <c r="G25" s="35">
        <v>167</v>
      </c>
      <c r="H25" s="19">
        <v>197.1</v>
      </c>
      <c r="I25" s="33">
        <v>216</v>
      </c>
      <c r="J25" s="19">
        <v>202.1</v>
      </c>
      <c r="L25" s="22">
        <v>20</v>
      </c>
      <c r="M25" s="19"/>
      <c r="N25" s="22">
        <v>69</v>
      </c>
      <c r="O25" s="19"/>
      <c r="P25" s="22">
        <f t="shared" si="1"/>
        <v>118</v>
      </c>
      <c r="Q25" s="19"/>
      <c r="R25" s="35">
        <v>167</v>
      </c>
      <c r="S25" s="19"/>
      <c r="T25" s="33">
        <v>216</v>
      </c>
      <c r="U25" s="19"/>
      <c r="W25" s="22">
        <v>20</v>
      </c>
      <c r="X25" s="19">
        <v>198.4</v>
      </c>
      <c r="Y25" s="22">
        <v>69</v>
      </c>
      <c r="Z25" s="19">
        <v>200.2</v>
      </c>
      <c r="AA25" s="22">
        <f t="shared" si="2"/>
        <v>118</v>
      </c>
      <c r="AB25" s="19">
        <v>208</v>
      </c>
      <c r="AC25" s="35">
        <v>167</v>
      </c>
      <c r="AD25" s="19"/>
      <c r="AE25" s="33">
        <v>216</v>
      </c>
      <c r="AF25" s="19"/>
      <c r="AH25" s="22">
        <v>20</v>
      </c>
      <c r="AI25" s="19"/>
      <c r="AJ25" s="22">
        <v>69</v>
      </c>
      <c r="AK25" s="19"/>
      <c r="AL25" s="22">
        <f t="shared" si="3"/>
        <v>118</v>
      </c>
      <c r="AM25" s="19"/>
      <c r="AN25" s="35">
        <v>167</v>
      </c>
      <c r="AO25" s="19">
        <v>197.1</v>
      </c>
      <c r="AP25" s="33">
        <v>216</v>
      </c>
      <c r="AQ25" s="19">
        <v>202.1</v>
      </c>
    </row>
    <row r="26" spans="1:43" ht="15.75" x14ac:dyDescent="0.25">
      <c r="A26" s="22">
        <v>21</v>
      </c>
      <c r="B26" s="19">
        <v>208.8</v>
      </c>
      <c r="C26" s="22">
        <v>70</v>
      </c>
      <c r="D26" s="19">
        <v>202.4</v>
      </c>
      <c r="E26" s="22">
        <f t="shared" si="0"/>
        <v>119</v>
      </c>
      <c r="F26" s="19">
        <v>198.2</v>
      </c>
      <c r="G26" s="35">
        <v>168</v>
      </c>
      <c r="H26" s="19">
        <v>199.4</v>
      </c>
      <c r="I26" s="33">
        <v>217</v>
      </c>
      <c r="J26" s="19">
        <v>204.4</v>
      </c>
      <c r="L26" s="22">
        <v>21</v>
      </c>
      <c r="M26" s="19"/>
      <c r="N26" s="22">
        <v>70</v>
      </c>
      <c r="O26" s="19"/>
      <c r="P26" s="22">
        <f t="shared" si="1"/>
        <v>119</v>
      </c>
      <c r="Q26" s="19"/>
      <c r="R26" s="35">
        <v>168</v>
      </c>
      <c r="S26" s="19"/>
      <c r="T26" s="33">
        <v>217</v>
      </c>
      <c r="U26" s="19"/>
      <c r="W26" s="22">
        <v>21</v>
      </c>
      <c r="X26" s="19">
        <v>208.8</v>
      </c>
      <c r="Y26" s="22">
        <v>70</v>
      </c>
      <c r="Z26" s="19">
        <v>202.4</v>
      </c>
      <c r="AA26" s="22">
        <f t="shared" si="2"/>
        <v>119</v>
      </c>
      <c r="AB26" s="19">
        <v>198.2</v>
      </c>
      <c r="AC26" s="35">
        <v>168</v>
      </c>
      <c r="AD26" s="19"/>
      <c r="AE26" s="33">
        <v>217</v>
      </c>
      <c r="AF26" s="19"/>
      <c r="AH26" s="22">
        <v>21</v>
      </c>
      <c r="AI26" s="19"/>
      <c r="AJ26" s="22">
        <v>70</v>
      </c>
      <c r="AK26" s="19"/>
      <c r="AL26" s="22">
        <f t="shared" si="3"/>
        <v>119</v>
      </c>
      <c r="AM26" s="19"/>
      <c r="AN26" s="35">
        <v>168</v>
      </c>
      <c r="AO26" s="19">
        <v>199.4</v>
      </c>
      <c r="AP26" s="33">
        <v>217</v>
      </c>
      <c r="AQ26" s="19">
        <v>204.4</v>
      </c>
    </row>
    <row r="27" spans="1:43" ht="15.75" x14ac:dyDescent="0.25">
      <c r="A27" s="22">
        <v>22</v>
      </c>
      <c r="B27" s="19">
        <v>197.2</v>
      </c>
      <c r="C27" s="22">
        <v>71</v>
      </c>
      <c r="D27" s="19">
        <v>206.6</v>
      </c>
      <c r="E27" s="22">
        <f t="shared" si="0"/>
        <v>120</v>
      </c>
      <c r="F27" s="19">
        <v>206.4</v>
      </c>
      <c r="G27" s="35">
        <v>169</v>
      </c>
      <c r="H27" s="19">
        <v>202.4</v>
      </c>
      <c r="I27" s="33">
        <v>218</v>
      </c>
      <c r="J27" s="19">
        <v>205.9</v>
      </c>
      <c r="L27" s="22">
        <v>22</v>
      </c>
      <c r="M27" s="19"/>
      <c r="N27" s="22">
        <v>71</v>
      </c>
      <c r="O27" s="19"/>
      <c r="P27" s="22">
        <f t="shared" si="1"/>
        <v>120</v>
      </c>
      <c r="Q27" s="19"/>
      <c r="R27" s="35">
        <v>169</v>
      </c>
      <c r="S27" s="19"/>
      <c r="T27" s="33">
        <v>218</v>
      </c>
      <c r="U27" s="19"/>
      <c r="W27" s="22">
        <v>22</v>
      </c>
      <c r="X27" s="19">
        <v>197.2</v>
      </c>
      <c r="Y27" s="22">
        <v>71</v>
      </c>
      <c r="Z27" s="19">
        <v>206.6</v>
      </c>
      <c r="AA27" s="22">
        <f t="shared" si="2"/>
        <v>120</v>
      </c>
      <c r="AB27" s="19">
        <v>206.4</v>
      </c>
      <c r="AC27" s="35">
        <v>169</v>
      </c>
      <c r="AD27" s="19"/>
      <c r="AE27" s="33">
        <v>218</v>
      </c>
      <c r="AF27" s="19"/>
      <c r="AH27" s="22">
        <v>22</v>
      </c>
      <c r="AI27" s="19"/>
      <c r="AJ27" s="22">
        <v>71</v>
      </c>
      <c r="AK27" s="19"/>
      <c r="AL27" s="22">
        <f t="shared" si="3"/>
        <v>120</v>
      </c>
      <c r="AM27" s="19"/>
      <c r="AN27" s="35">
        <v>169</v>
      </c>
      <c r="AO27" s="19">
        <v>202.4</v>
      </c>
      <c r="AP27" s="33">
        <v>218</v>
      </c>
      <c r="AQ27" s="19">
        <v>205.9</v>
      </c>
    </row>
    <row r="28" spans="1:43" ht="15.75" x14ac:dyDescent="0.25">
      <c r="A28" s="22">
        <v>23</v>
      </c>
      <c r="B28" s="19">
        <v>197.9</v>
      </c>
      <c r="C28" s="22">
        <v>72</v>
      </c>
      <c r="D28" s="19">
        <v>198.2</v>
      </c>
      <c r="E28" s="22">
        <f t="shared" si="0"/>
        <v>121</v>
      </c>
      <c r="F28" s="19">
        <v>195.9</v>
      </c>
      <c r="G28" s="35">
        <v>170</v>
      </c>
      <c r="H28" s="19">
        <v>199.6</v>
      </c>
      <c r="I28" s="33">
        <v>219</v>
      </c>
      <c r="J28" s="19">
        <v>203.2</v>
      </c>
      <c r="L28" s="22">
        <v>23</v>
      </c>
      <c r="M28" s="19"/>
      <c r="N28" s="22">
        <v>72</v>
      </c>
      <c r="O28" s="19"/>
      <c r="P28" s="22">
        <f t="shared" si="1"/>
        <v>121</v>
      </c>
      <c r="Q28" s="19"/>
      <c r="R28" s="35">
        <v>170</v>
      </c>
      <c r="S28" s="19"/>
      <c r="T28" s="33">
        <v>219</v>
      </c>
      <c r="U28" s="19"/>
      <c r="W28" s="22">
        <v>23</v>
      </c>
      <c r="X28" s="19">
        <v>197.9</v>
      </c>
      <c r="Y28" s="22">
        <v>72</v>
      </c>
      <c r="Z28" s="19">
        <v>198.2</v>
      </c>
      <c r="AA28" s="22">
        <f t="shared" si="2"/>
        <v>121</v>
      </c>
      <c r="AB28" s="19">
        <v>195.9</v>
      </c>
      <c r="AC28" s="35">
        <v>170</v>
      </c>
      <c r="AD28" s="19"/>
      <c r="AE28" s="33">
        <v>219</v>
      </c>
      <c r="AF28" s="19"/>
      <c r="AH28" s="22">
        <v>23</v>
      </c>
      <c r="AI28" s="19"/>
      <c r="AJ28" s="22">
        <v>72</v>
      </c>
      <c r="AK28" s="19"/>
      <c r="AL28" s="22">
        <f t="shared" si="3"/>
        <v>121</v>
      </c>
      <c r="AM28" s="19"/>
      <c r="AN28" s="35">
        <v>170</v>
      </c>
      <c r="AO28" s="19">
        <v>199.6</v>
      </c>
      <c r="AP28" s="33">
        <v>219</v>
      </c>
      <c r="AQ28" s="19">
        <v>203.2</v>
      </c>
    </row>
    <row r="29" spans="1:43" ht="15.75" x14ac:dyDescent="0.25">
      <c r="A29" s="22">
        <v>24</v>
      </c>
      <c r="B29" s="19">
        <v>197.3</v>
      </c>
      <c r="C29" s="22">
        <v>73</v>
      </c>
      <c r="D29" s="19">
        <v>201.8</v>
      </c>
      <c r="E29" s="22">
        <f t="shared" si="0"/>
        <v>122</v>
      </c>
      <c r="F29" s="19">
        <v>196.8</v>
      </c>
      <c r="G29" s="35">
        <v>171</v>
      </c>
      <c r="H29" s="19">
        <v>206.6</v>
      </c>
      <c r="I29" s="33">
        <v>220</v>
      </c>
      <c r="J29" s="19">
        <v>203.8</v>
      </c>
      <c r="L29" s="22">
        <v>24</v>
      </c>
      <c r="M29" s="19"/>
      <c r="N29" s="22">
        <v>73</v>
      </c>
      <c r="O29" s="19"/>
      <c r="P29" s="22">
        <f t="shared" si="1"/>
        <v>122</v>
      </c>
      <c r="Q29" s="19"/>
      <c r="R29" s="35">
        <v>171</v>
      </c>
      <c r="S29" s="19"/>
      <c r="T29" s="33">
        <v>220</v>
      </c>
      <c r="U29" s="19"/>
      <c r="W29" s="22">
        <v>24</v>
      </c>
      <c r="X29" s="19">
        <v>197.3</v>
      </c>
      <c r="Y29" s="22">
        <v>73</v>
      </c>
      <c r="Z29" s="19">
        <v>201.8</v>
      </c>
      <c r="AA29" s="22">
        <f t="shared" si="2"/>
        <v>122</v>
      </c>
      <c r="AB29" s="19">
        <v>196.8</v>
      </c>
      <c r="AC29" s="35">
        <v>171</v>
      </c>
      <c r="AD29" s="19"/>
      <c r="AE29" s="33">
        <v>220</v>
      </c>
      <c r="AF29" s="19"/>
      <c r="AH29" s="22">
        <v>24</v>
      </c>
      <c r="AI29" s="19"/>
      <c r="AJ29" s="22">
        <v>73</v>
      </c>
      <c r="AK29" s="19"/>
      <c r="AL29" s="22">
        <f t="shared" si="3"/>
        <v>122</v>
      </c>
      <c r="AM29" s="19"/>
      <c r="AN29" s="35">
        <v>171</v>
      </c>
      <c r="AO29" s="19">
        <v>206.6</v>
      </c>
      <c r="AP29" s="33">
        <v>220</v>
      </c>
      <c r="AQ29" s="19">
        <v>203.8</v>
      </c>
    </row>
    <row r="30" spans="1:43" ht="15.75" x14ac:dyDescent="0.25">
      <c r="A30" s="22">
        <v>25</v>
      </c>
      <c r="B30" s="19">
        <v>216.9</v>
      </c>
      <c r="C30" s="22">
        <v>74</v>
      </c>
      <c r="D30" s="19">
        <v>206.4</v>
      </c>
      <c r="E30" s="22">
        <f t="shared" si="0"/>
        <v>123</v>
      </c>
      <c r="F30" s="19">
        <v>216.8</v>
      </c>
      <c r="G30" s="35">
        <v>172</v>
      </c>
      <c r="H30" s="19">
        <v>200.4</v>
      </c>
      <c r="I30" s="20"/>
      <c r="J30" s="36"/>
      <c r="L30" s="22">
        <v>25</v>
      </c>
      <c r="M30" s="19"/>
      <c r="N30" s="22">
        <v>74</v>
      </c>
      <c r="O30" s="19"/>
      <c r="P30" s="22">
        <f t="shared" si="1"/>
        <v>123</v>
      </c>
      <c r="Q30" s="19"/>
      <c r="R30" s="35">
        <v>172</v>
      </c>
      <c r="S30" s="19"/>
      <c r="T30" s="20"/>
      <c r="U30" s="36"/>
      <c r="W30" s="22">
        <v>25</v>
      </c>
      <c r="X30" s="19">
        <v>216.9</v>
      </c>
      <c r="Y30" s="22">
        <v>74</v>
      </c>
      <c r="Z30" s="19">
        <v>206.4</v>
      </c>
      <c r="AA30" s="22">
        <f t="shared" si="2"/>
        <v>123</v>
      </c>
      <c r="AB30" s="19">
        <v>216.8</v>
      </c>
      <c r="AC30" s="35">
        <v>172</v>
      </c>
      <c r="AD30" s="19"/>
      <c r="AE30" s="20"/>
      <c r="AF30" s="36"/>
      <c r="AH30" s="22">
        <v>25</v>
      </c>
      <c r="AI30" s="19"/>
      <c r="AJ30" s="22">
        <v>74</v>
      </c>
      <c r="AK30" s="19"/>
      <c r="AL30" s="22">
        <f t="shared" si="3"/>
        <v>123</v>
      </c>
      <c r="AM30" s="19"/>
      <c r="AN30" s="35">
        <v>172</v>
      </c>
      <c r="AO30" s="19">
        <v>200.4</v>
      </c>
      <c r="AP30" s="20"/>
      <c r="AQ30" s="36"/>
    </row>
    <row r="31" spans="1:43" ht="15.75" x14ac:dyDescent="0.25">
      <c r="A31" s="22">
        <v>26</v>
      </c>
      <c r="B31" s="19">
        <v>199</v>
      </c>
      <c r="C31" s="22">
        <v>75</v>
      </c>
      <c r="D31" s="19">
        <v>201.6</v>
      </c>
      <c r="E31" s="22">
        <f t="shared" si="0"/>
        <v>124</v>
      </c>
      <c r="F31" s="19">
        <v>213.7</v>
      </c>
      <c r="G31" s="35">
        <v>173</v>
      </c>
      <c r="H31" s="19">
        <v>201.1</v>
      </c>
      <c r="I31" s="20"/>
      <c r="J31" s="36"/>
      <c r="L31" s="22">
        <v>26</v>
      </c>
      <c r="M31" s="19"/>
      <c r="N31" s="22">
        <v>75</v>
      </c>
      <c r="O31" s="19"/>
      <c r="P31" s="22">
        <f t="shared" si="1"/>
        <v>124</v>
      </c>
      <c r="Q31" s="19"/>
      <c r="R31" s="35">
        <v>173</v>
      </c>
      <c r="S31" s="19"/>
      <c r="T31" s="20"/>
      <c r="U31" s="36"/>
      <c r="W31" s="22">
        <v>26</v>
      </c>
      <c r="X31" s="19">
        <v>199</v>
      </c>
      <c r="Y31" s="22">
        <v>75</v>
      </c>
      <c r="Z31" s="19">
        <v>201.6</v>
      </c>
      <c r="AA31" s="22">
        <f t="shared" si="2"/>
        <v>124</v>
      </c>
      <c r="AB31" s="19">
        <v>213.7</v>
      </c>
      <c r="AC31" s="35">
        <v>173</v>
      </c>
      <c r="AD31" s="19"/>
      <c r="AE31" s="20"/>
      <c r="AF31" s="36"/>
      <c r="AH31" s="22">
        <v>26</v>
      </c>
      <c r="AI31" s="19"/>
      <c r="AJ31" s="22">
        <v>75</v>
      </c>
      <c r="AK31" s="19"/>
      <c r="AL31" s="22">
        <f t="shared" si="3"/>
        <v>124</v>
      </c>
      <c r="AM31" s="19"/>
      <c r="AN31" s="35">
        <v>173</v>
      </c>
      <c r="AO31" s="19">
        <v>201.1</v>
      </c>
      <c r="AP31" s="20"/>
      <c r="AQ31" s="36"/>
    </row>
    <row r="32" spans="1:43" ht="15.75" x14ac:dyDescent="0.25">
      <c r="A32" s="22">
        <v>27</v>
      </c>
      <c r="B32" s="19">
        <v>204</v>
      </c>
      <c r="C32" s="22">
        <v>76</v>
      </c>
      <c r="D32" s="19">
        <v>196.6</v>
      </c>
      <c r="E32" s="22">
        <f t="shared" si="0"/>
        <v>125</v>
      </c>
      <c r="F32" s="19">
        <v>197.6</v>
      </c>
      <c r="G32" s="33">
        <v>174</v>
      </c>
      <c r="H32" s="19">
        <v>196.5</v>
      </c>
      <c r="I32" s="21"/>
      <c r="J32" s="36"/>
      <c r="L32" s="22">
        <v>27</v>
      </c>
      <c r="M32" s="19"/>
      <c r="N32" s="22">
        <v>76</v>
      </c>
      <c r="O32" s="19"/>
      <c r="P32" s="22">
        <f t="shared" si="1"/>
        <v>125</v>
      </c>
      <c r="Q32" s="19"/>
      <c r="R32" s="33">
        <v>174</v>
      </c>
      <c r="S32" s="19"/>
      <c r="T32" s="21"/>
      <c r="U32" s="36"/>
      <c r="W32" s="22">
        <v>27</v>
      </c>
      <c r="X32" s="19">
        <v>204</v>
      </c>
      <c r="Y32" s="22">
        <v>76</v>
      </c>
      <c r="Z32" s="19">
        <v>196.6</v>
      </c>
      <c r="AA32" s="22">
        <f t="shared" si="2"/>
        <v>125</v>
      </c>
      <c r="AB32" s="19">
        <v>197.6</v>
      </c>
      <c r="AC32" s="33">
        <v>174</v>
      </c>
      <c r="AD32" s="19"/>
      <c r="AE32" s="21"/>
      <c r="AF32" s="36"/>
      <c r="AH32" s="22">
        <v>27</v>
      </c>
      <c r="AI32" s="19"/>
      <c r="AJ32" s="22">
        <v>76</v>
      </c>
      <c r="AK32" s="19"/>
      <c r="AL32" s="22">
        <f t="shared" si="3"/>
        <v>125</v>
      </c>
      <c r="AM32" s="19"/>
      <c r="AN32" s="33">
        <v>174</v>
      </c>
      <c r="AO32" s="19">
        <v>196.5</v>
      </c>
      <c r="AP32" s="21"/>
      <c r="AQ32" s="36"/>
    </row>
    <row r="33" spans="1:43" ht="15.75" x14ac:dyDescent="0.25">
      <c r="A33" s="22">
        <v>28</v>
      </c>
      <c r="B33" s="19">
        <v>200.5</v>
      </c>
      <c r="C33" s="22">
        <v>77</v>
      </c>
      <c r="D33" s="19">
        <v>200.2</v>
      </c>
      <c r="E33" s="22">
        <f t="shared" si="0"/>
        <v>126</v>
      </c>
      <c r="F33" s="19">
        <v>197.4</v>
      </c>
      <c r="G33" s="33">
        <v>175</v>
      </c>
      <c r="H33" s="19">
        <v>196.9</v>
      </c>
      <c r="I33" s="20"/>
      <c r="J33" s="36"/>
      <c r="L33" s="22">
        <v>28</v>
      </c>
      <c r="M33" s="19"/>
      <c r="N33" s="22">
        <v>77</v>
      </c>
      <c r="O33" s="19"/>
      <c r="P33" s="22">
        <f t="shared" si="1"/>
        <v>126</v>
      </c>
      <c r="Q33" s="19"/>
      <c r="R33" s="33">
        <v>175</v>
      </c>
      <c r="S33" s="19"/>
      <c r="T33" s="20"/>
      <c r="U33" s="36"/>
      <c r="W33" s="22">
        <v>28</v>
      </c>
      <c r="X33" s="19">
        <v>200.5</v>
      </c>
      <c r="Y33" s="22">
        <v>77</v>
      </c>
      <c r="Z33" s="19">
        <v>200.2</v>
      </c>
      <c r="AA33" s="22">
        <f t="shared" si="2"/>
        <v>126</v>
      </c>
      <c r="AB33" s="19">
        <v>197.4</v>
      </c>
      <c r="AC33" s="33">
        <v>175</v>
      </c>
      <c r="AD33" s="19"/>
      <c r="AE33" s="20"/>
      <c r="AF33" s="36"/>
      <c r="AH33" s="22">
        <v>28</v>
      </c>
      <c r="AI33" s="19"/>
      <c r="AJ33" s="22">
        <v>77</v>
      </c>
      <c r="AK33" s="19"/>
      <c r="AL33" s="22">
        <f t="shared" si="3"/>
        <v>126</v>
      </c>
      <c r="AM33" s="19"/>
      <c r="AN33" s="33">
        <v>175</v>
      </c>
      <c r="AO33" s="19">
        <v>196.9</v>
      </c>
      <c r="AP33" s="20"/>
      <c r="AQ33" s="36"/>
    </row>
    <row r="34" spans="1:43" ht="15.75" x14ac:dyDescent="0.25">
      <c r="A34" s="22">
        <v>29</v>
      </c>
      <c r="B34" s="19">
        <v>205.8</v>
      </c>
      <c r="C34" s="22">
        <v>78</v>
      </c>
      <c r="D34" s="19">
        <v>196.8</v>
      </c>
      <c r="E34" s="22">
        <f t="shared" si="0"/>
        <v>127</v>
      </c>
      <c r="F34" s="19">
        <v>193.6</v>
      </c>
      <c r="G34" s="33">
        <v>176</v>
      </c>
      <c r="H34" s="19">
        <v>207</v>
      </c>
      <c r="I34" s="20"/>
      <c r="J34" s="36"/>
      <c r="L34" s="22">
        <v>29</v>
      </c>
      <c r="M34" s="19"/>
      <c r="N34" s="22">
        <v>78</v>
      </c>
      <c r="O34" s="19"/>
      <c r="P34" s="22">
        <f t="shared" si="1"/>
        <v>127</v>
      </c>
      <c r="Q34" s="19"/>
      <c r="R34" s="33">
        <v>176</v>
      </c>
      <c r="S34" s="19"/>
      <c r="T34" s="20"/>
      <c r="U34" s="36"/>
      <c r="W34" s="22">
        <v>29</v>
      </c>
      <c r="X34" s="19">
        <v>205.8</v>
      </c>
      <c r="Y34" s="22">
        <v>78</v>
      </c>
      <c r="Z34" s="19">
        <v>196.8</v>
      </c>
      <c r="AA34" s="22">
        <f t="shared" si="2"/>
        <v>127</v>
      </c>
      <c r="AB34" s="19">
        <v>193.6</v>
      </c>
      <c r="AC34" s="33">
        <v>176</v>
      </c>
      <c r="AD34" s="19"/>
      <c r="AE34" s="20"/>
      <c r="AF34" s="36"/>
      <c r="AH34" s="22">
        <v>29</v>
      </c>
      <c r="AI34" s="19"/>
      <c r="AJ34" s="22">
        <v>78</v>
      </c>
      <c r="AK34" s="19"/>
      <c r="AL34" s="22">
        <f t="shared" si="3"/>
        <v>127</v>
      </c>
      <c r="AM34" s="19"/>
      <c r="AN34" s="33">
        <v>176</v>
      </c>
      <c r="AO34" s="19">
        <v>207</v>
      </c>
      <c r="AP34" s="20"/>
      <c r="AQ34" s="36"/>
    </row>
    <row r="35" spans="1:43" ht="15.75" x14ac:dyDescent="0.25">
      <c r="A35" s="22">
        <v>30</v>
      </c>
      <c r="B35" s="19">
        <v>196.3</v>
      </c>
      <c r="C35" s="22">
        <v>79</v>
      </c>
      <c r="D35" s="19">
        <v>202.2</v>
      </c>
      <c r="E35" s="22">
        <f t="shared" si="0"/>
        <v>128</v>
      </c>
      <c r="F35" s="19">
        <v>193.7</v>
      </c>
      <c r="G35" s="33">
        <v>177</v>
      </c>
      <c r="H35" s="19">
        <v>208.9</v>
      </c>
      <c r="I35" s="21"/>
      <c r="J35" s="36"/>
      <c r="L35" s="22">
        <v>30</v>
      </c>
      <c r="M35" s="19"/>
      <c r="N35" s="22">
        <v>79</v>
      </c>
      <c r="O35" s="19"/>
      <c r="P35" s="22">
        <f t="shared" si="1"/>
        <v>128</v>
      </c>
      <c r="Q35" s="19"/>
      <c r="R35" s="33">
        <v>177</v>
      </c>
      <c r="S35" s="19"/>
      <c r="T35" s="21"/>
      <c r="U35" s="36"/>
      <c r="W35" s="22">
        <v>30</v>
      </c>
      <c r="X35" s="19">
        <v>196.3</v>
      </c>
      <c r="Y35" s="22">
        <v>79</v>
      </c>
      <c r="Z35" s="19">
        <v>202.2</v>
      </c>
      <c r="AA35" s="22">
        <f t="shared" si="2"/>
        <v>128</v>
      </c>
      <c r="AB35" s="19">
        <v>193.7</v>
      </c>
      <c r="AC35" s="33">
        <v>177</v>
      </c>
      <c r="AD35" s="19"/>
      <c r="AE35" s="21"/>
      <c r="AF35" s="36"/>
      <c r="AH35" s="22">
        <v>30</v>
      </c>
      <c r="AI35" s="19"/>
      <c r="AJ35" s="22">
        <v>79</v>
      </c>
      <c r="AK35" s="19"/>
      <c r="AL35" s="22">
        <f t="shared" si="3"/>
        <v>128</v>
      </c>
      <c r="AM35" s="19"/>
      <c r="AN35" s="33">
        <v>177</v>
      </c>
      <c r="AO35" s="19">
        <v>208.9</v>
      </c>
      <c r="AP35" s="21"/>
      <c r="AQ35" s="36"/>
    </row>
    <row r="36" spans="1:43" ht="15.75" x14ac:dyDescent="0.25">
      <c r="A36" s="22">
        <v>31</v>
      </c>
      <c r="B36" s="19">
        <v>199.3</v>
      </c>
      <c r="C36" s="22">
        <v>80</v>
      </c>
      <c r="D36" s="19">
        <v>203.1</v>
      </c>
      <c r="E36" s="22">
        <f t="shared" si="0"/>
        <v>129</v>
      </c>
      <c r="F36" s="19">
        <v>202.6</v>
      </c>
      <c r="G36" s="33">
        <v>178</v>
      </c>
      <c r="H36" s="19">
        <v>200.3</v>
      </c>
      <c r="I36" s="20"/>
      <c r="J36" s="36"/>
      <c r="L36" s="22">
        <v>31</v>
      </c>
      <c r="M36" s="19"/>
      <c r="N36" s="22">
        <v>80</v>
      </c>
      <c r="O36" s="19"/>
      <c r="P36" s="22">
        <f t="shared" si="1"/>
        <v>129</v>
      </c>
      <c r="Q36" s="19"/>
      <c r="R36" s="33">
        <v>178</v>
      </c>
      <c r="S36" s="19"/>
      <c r="T36" s="20"/>
      <c r="U36" s="36"/>
      <c r="W36" s="22">
        <v>31</v>
      </c>
      <c r="X36" s="19">
        <v>199.3</v>
      </c>
      <c r="Y36" s="22">
        <v>80</v>
      </c>
      <c r="Z36" s="19">
        <v>203.1</v>
      </c>
      <c r="AA36" s="22">
        <f t="shared" si="2"/>
        <v>129</v>
      </c>
      <c r="AB36" s="19">
        <v>202.6</v>
      </c>
      <c r="AC36" s="33">
        <v>178</v>
      </c>
      <c r="AD36" s="19"/>
      <c r="AE36" s="20"/>
      <c r="AF36" s="36"/>
      <c r="AH36" s="22">
        <v>31</v>
      </c>
      <c r="AI36" s="19"/>
      <c r="AJ36" s="22">
        <v>80</v>
      </c>
      <c r="AK36" s="19"/>
      <c r="AL36" s="22">
        <f t="shared" si="3"/>
        <v>129</v>
      </c>
      <c r="AM36" s="19"/>
      <c r="AN36" s="33">
        <v>178</v>
      </c>
      <c r="AO36" s="19">
        <v>200.3</v>
      </c>
      <c r="AP36" s="20"/>
      <c r="AQ36" s="36"/>
    </row>
    <row r="37" spans="1:43" ht="15.75" x14ac:dyDescent="0.25">
      <c r="A37" s="22">
        <v>32</v>
      </c>
      <c r="B37" s="19">
        <v>199.7</v>
      </c>
      <c r="C37" s="22">
        <v>81</v>
      </c>
      <c r="D37" s="19">
        <v>202.3</v>
      </c>
      <c r="E37" s="22">
        <f t="shared" si="0"/>
        <v>130</v>
      </c>
      <c r="F37" s="19">
        <v>198.3</v>
      </c>
      <c r="G37" s="33">
        <v>179</v>
      </c>
      <c r="H37" s="19">
        <v>204.9</v>
      </c>
      <c r="I37" s="20"/>
      <c r="J37" s="36"/>
      <c r="L37" s="22">
        <v>32</v>
      </c>
      <c r="M37" s="19"/>
      <c r="N37" s="22">
        <v>81</v>
      </c>
      <c r="O37" s="19"/>
      <c r="P37" s="22">
        <f t="shared" si="1"/>
        <v>130</v>
      </c>
      <c r="Q37" s="19">
        <v>198.3</v>
      </c>
      <c r="R37" s="33">
        <v>179</v>
      </c>
      <c r="S37" s="19"/>
      <c r="T37" s="20"/>
      <c r="U37" s="36"/>
      <c r="W37" s="22">
        <v>32</v>
      </c>
      <c r="X37" s="19">
        <v>199.7</v>
      </c>
      <c r="Y37" s="22">
        <v>81</v>
      </c>
      <c r="Z37" s="19">
        <v>202.3</v>
      </c>
      <c r="AA37" s="22">
        <f t="shared" si="2"/>
        <v>130</v>
      </c>
      <c r="AB37" s="19"/>
      <c r="AC37" s="33">
        <v>179</v>
      </c>
      <c r="AD37" s="19"/>
      <c r="AE37" s="20"/>
      <c r="AF37" s="36"/>
      <c r="AH37" s="22">
        <v>32</v>
      </c>
      <c r="AI37" s="19"/>
      <c r="AJ37" s="22">
        <v>81</v>
      </c>
      <c r="AK37" s="19"/>
      <c r="AL37" s="22">
        <f t="shared" si="3"/>
        <v>130</v>
      </c>
      <c r="AM37" s="19"/>
      <c r="AN37" s="33">
        <v>179</v>
      </c>
      <c r="AO37" s="19">
        <v>204.9</v>
      </c>
      <c r="AP37" s="20"/>
      <c r="AQ37" s="36"/>
    </row>
    <row r="38" spans="1:43" ht="15.75" x14ac:dyDescent="0.25">
      <c r="A38" s="22">
        <v>33</v>
      </c>
      <c r="B38" s="19">
        <v>197.2</v>
      </c>
      <c r="C38" s="22">
        <v>82</v>
      </c>
      <c r="D38" s="19">
        <v>197.1</v>
      </c>
      <c r="E38" s="22">
        <f t="shared" si="0"/>
        <v>131</v>
      </c>
      <c r="F38" s="19">
        <v>195.1</v>
      </c>
      <c r="G38" s="33">
        <v>180</v>
      </c>
      <c r="H38" s="19">
        <v>197.7</v>
      </c>
      <c r="I38" s="21"/>
      <c r="J38" s="36"/>
      <c r="L38" s="22">
        <v>33</v>
      </c>
      <c r="M38" s="19"/>
      <c r="N38" s="22">
        <v>82</v>
      </c>
      <c r="O38" s="19"/>
      <c r="P38" s="22">
        <f t="shared" si="1"/>
        <v>131</v>
      </c>
      <c r="Q38" s="19">
        <v>195.1</v>
      </c>
      <c r="R38" s="33">
        <v>180</v>
      </c>
      <c r="S38" s="19"/>
      <c r="T38" s="21"/>
      <c r="U38" s="36"/>
      <c r="W38" s="22">
        <v>33</v>
      </c>
      <c r="X38" s="19">
        <v>197.2</v>
      </c>
      <c r="Y38" s="22">
        <v>82</v>
      </c>
      <c r="Z38" s="19">
        <v>197.1</v>
      </c>
      <c r="AA38" s="22">
        <f t="shared" si="2"/>
        <v>131</v>
      </c>
      <c r="AB38" s="19"/>
      <c r="AC38" s="33">
        <v>180</v>
      </c>
      <c r="AD38" s="19"/>
      <c r="AE38" s="21"/>
      <c r="AF38" s="36"/>
      <c r="AH38" s="22">
        <v>33</v>
      </c>
      <c r="AI38" s="19"/>
      <c r="AJ38" s="22">
        <v>82</v>
      </c>
      <c r="AK38" s="19"/>
      <c r="AL38" s="22">
        <f t="shared" si="3"/>
        <v>131</v>
      </c>
      <c r="AM38" s="19"/>
      <c r="AN38" s="33">
        <v>180</v>
      </c>
      <c r="AO38" s="19">
        <v>197.7</v>
      </c>
      <c r="AP38" s="21"/>
      <c r="AQ38" s="36"/>
    </row>
    <row r="39" spans="1:43" ht="15.75" x14ac:dyDescent="0.25">
      <c r="A39" s="22">
        <v>34</v>
      </c>
      <c r="B39" s="19">
        <v>201</v>
      </c>
      <c r="C39" s="22">
        <v>83</v>
      </c>
      <c r="D39" s="19">
        <v>203.5</v>
      </c>
      <c r="E39" s="22">
        <f t="shared" si="0"/>
        <v>132</v>
      </c>
      <c r="F39" s="19">
        <v>195.8</v>
      </c>
      <c r="G39" s="33">
        <v>181</v>
      </c>
      <c r="H39" s="19">
        <v>201.6</v>
      </c>
      <c r="I39" s="21"/>
      <c r="J39" s="36"/>
      <c r="L39" s="22">
        <v>34</v>
      </c>
      <c r="M39" s="19"/>
      <c r="N39" s="22">
        <v>83</v>
      </c>
      <c r="O39" s="19"/>
      <c r="P39" s="22">
        <f t="shared" si="1"/>
        <v>132</v>
      </c>
      <c r="Q39" s="19">
        <v>195.8</v>
      </c>
      <c r="R39" s="33">
        <v>181</v>
      </c>
      <c r="S39" s="19"/>
      <c r="T39" s="21"/>
      <c r="U39" s="36"/>
      <c r="W39" s="22">
        <v>34</v>
      </c>
      <c r="X39" s="19">
        <v>201</v>
      </c>
      <c r="Y39" s="22">
        <v>83</v>
      </c>
      <c r="Z39" s="19">
        <v>203.5</v>
      </c>
      <c r="AA39" s="22">
        <f t="shared" si="2"/>
        <v>132</v>
      </c>
      <c r="AB39" s="19"/>
      <c r="AC39" s="33">
        <v>181</v>
      </c>
      <c r="AD39" s="19"/>
      <c r="AE39" s="21"/>
      <c r="AF39" s="36"/>
      <c r="AH39" s="22">
        <v>34</v>
      </c>
      <c r="AI39" s="19"/>
      <c r="AJ39" s="22">
        <v>83</v>
      </c>
      <c r="AK39" s="19"/>
      <c r="AL39" s="22">
        <f t="shared" si="3"/>
        <v>132</v>
      </c>
      <c r="AM39" s="19"/>
      <c r="AN39" s="33">
        <v>181</v>
      </c>
      <c r="AO39" s="19">
        <v>201.6</v>
      </c>
      <c r="AP39" s="21"/>
      <c r="AQ39" s="36"/>
    </row>
    <row r="40" spans="1:43" ht="15.75" x14ac:dyDescent="0.25">
      <c r="A40" s="22">
        <v>35</v>
      </c>
      <c r="B40" s="19">
        <v>208.8</v>
      </c>
      <c r="C40" s="22">
        <v>84</v>
      </c>
      <c r="D40" s="19">
        <v>204.4</v>
      </c>
      <c r="E40" s="22">
        <f t="shared" si="0"/>
        <v>133</v>
      </c>
      <c r="F40" s="19">
        <v>202</v>
      </c>
      <c r="G40" s="33">
        <v>182</v>
      </c>
      <c r="H40" s="19">
        <v>197</v>
      </c>
      <c r="I40" s="20"/>
      <c r="J40" s="36"/>
      <c r="L40" s="22">
        <v>35</v>
      </c>
      <c r="M40" s="19"/>
      <c r="N40" s="22">
        <v>84</v>
      </c>
      <c r="O40" s="19"/>
      <c r="P40" s="22">
        <f t="shared" si="1"/>
        <v>133</v>
      </c>
      <c r="Q40" s="19">
        <v>202</v>
      </c>
      <c r="R40" s="33">
        <v>182</v>
      </c>
      <c r="S40" s="19"/>
      <c r="T40" s="20"/>
      <c r="U40" s="36"/>
      <c r="W40" s="22">
        <v>35</v>
      </c>
      <c r="X40" s="19">
        <v>208.8</v>
      </c>
      <c r="Y40" s="22">
        <v>84</v>
      </c>
      <c r="Z40" s="19">
        <v>204.4</v>
      </c>
      <c r="AA40" s="22">
        <f t="shared" si="2"/>
        <v>133</v>
      </c>
      <c r="AB40" s="19"/>
      <c r="AC40" s="33">
        <v>182</v>
      </c>
      <c r="AD40" s="19"/>
      <c r="AE40" s="20"/>
      <c r="AF40" s="36"/>
      <c r="AH40" s="22">
        <v>35</v>
      </c>
      <c r="AI40" s="19"/>
      <c r="AJ40" s="22">
        <v>84</v>
      </c>
      <c r="AK40" s="19"/>
      <c r="AL40" s="22">
        <f t="shared" si="3"/>
        <v>133</v>
      </c>
      <c r="AM40" s="19"/>
      <c r="AN40" s="33">
        <v>182</v>
      </c>
      <c r="AO40" s="19">
        <v>197</v>
      </c>
      <c r="AP40" s="20"/>
      <c r="AQ40" s="36"/>
    </row>
    <row r="41" spans="1:43" ht="15.75" x14ac:dyDescent="0.25">
      <c r="A41" s="22">
        <v>36</v>
      </c>
      <c r="B41" s="19">
        <v>204.8</v>
      </c>
      <c r="C41" s="22">
        <v>85</v>
      </c>
      <c r="D41" s="19">
        <v>197.2</v>
      </c>
      <c r="E41" s="22">
        <f t="shared" si="0"/>
        <v>134</v>
      </c>
      <c r="F41" s="19">
        <v>187.2</v>
      </c>
      <c r="G41" s="33">
        <v>183</v>
      </c>
      <c r="H41" s="19">
        <v>207</v>
      </c>
      <c r="I41" s="20"/>
      <c r="J41" s="36"/>
      <c r="L41" s="22">
        <v>36</v>
      </c>
      <c r="M41" s="19"/>
      <c r="N41" s="22">
        <v>85</v>
      </c>
      <c r="O41" s="19"/>
      <c r="P41" s="22">
        <f t="shared" si="1"/>
        <v>134</v>
      </c>
      <c r="Q41" s="19">
        <v>187.2</v>
      </c>
      <c r="R41" s="33">
        <v>183</v>
      </c>
      <c r="S41" s="19"/>
      <c r="T41" s="20"/>
      <c r="U41" s="36"/>
      <c r="W41" s="22">
        <v>36</v>
      </c>
      <c r="X41" s="19">
        <v>204.8</v>
      </c>
      <c r="Y41" s="22">
        <v>85</v>
      </c>
      <c r="Z41" s="19">
        <v>197.2</v>
      </c>
      <c r="AA41" s="22">
        <f t="shared" si="2"/>
        <v>134</v>
      </c>
      <c r="AB41" s="19"/>
      <c r="AC41" s="33">
        <v>183</v>
      </c>
      <c r="AD41" s="19"/>
      <c r="AE41" s="20"/>
      <c r="AF41" s="36"/>
      <c r="AH41" s="22">
        <v>36</v>
      </c>
      <c r="AI41" s="19"/>
      <c r="AJ41" s="22">
        <v>85</v>
      </c>
      <c r="AK41" s="19"/>
      <c r="AL41" s="22">
        <f t="shared" si="3"/>
        <v>134</v>
      </c>
      <c r="AM41" s="19"/>
      <c r="AN41" s="33">
        <v>183</v>
      </c>
      <c r="AO41" s="19">
        <v>207</v>
      </c>
      <c r="AP41" s="20"/>
      <c r="AQ41" s="36"/>
    </row>
    <row r="42" spans="1:43" ht="15.75" x14ac:dyDescent="0.25">
      <c r="A42" s="22">
        <v>37</v>
      </c>
      <c r="B42" s="19">
        <v>193.1</v>
      </c>
      <c r="C42" s="22">
        <v>86</v>
      </c>
      <c r="D42" s="19">
        <v>200.8</v>
      </c>
      <c r="E42" s="22">
        <f t="shared" si="0"/>
        <v>135</v>
      </c>
      <c r="F42" s="19">
        <v>195.9</v>
      </c>
      <c r="G42" s="33">
        <v>184</v>
      </c>
      <c r="H42" s="19">
        <v>204.7</v>
      </c>
      <c r="I42" s="21"/>
      <c r="J42" s="36"/>
      <c r="L42" s="22">
        <v>37</v>
      </c>
      <c r="M42" s="19"/>
      <c r="N42" s="22">
        <v>86</v>
      </c>
      <c r="O42" s="19"/>
      <c r="P42" s="22">
        <f t="shared" si="1"/>
        <v>135</v>
      </c>
      <c r="Q42" s="19">
        <v>195.9</v>
      </c>
      <c r="R42" s="33">
        <v>184</v>
      </c>
      <c r="S42" s="19"/>
      <c r="T42" s="21"/>
      <c r="U42" s="36"/>
      <c r="W42" s="22">
        <v>37</v>
      </c>
      <c r="X42" s="19">
        <v>193.1</v>
      </c>
      <c r="Y42" s="22">
        <v>86</v>
      </c>
      <c r="Z42" s="19">
        <v>200.8</v>
      </c>
      <c r="AA42" s="22">
        <f t="shared" si="2"/>
        <v>135</v>
      </c>
      <c r="AB42" s="19"/>
      <c r="AC42" s="33">
        <v>184</v>
      </c>
      <c r="AD42" s="19"/>
      <c r="AE42" s="21"/>
      <c r="AF42" s="36"/>
      <c r="AH42" s="22">
        <v>37</v>
      </c>
      <c r="AI42" s="19"/>
      <c r="AJ42" s="22">
        <v>86</v>
      </c>
      <c r="AK42" s="19"/>
      <c r="AL42" s="22">
        <f t="shared" si="3"/>
        <v>135</v>
      </c>
      <c r="AM42" s="19"/>
      <c r="AN42" s="33">
        <v>184</v>
      </c>
      <c r="AO42" s="19">
        <v>204.7</v>
      </c>
      <c r="AP42" s="21"/>
      <c r="AQ42" s="36"/>
    </row>
    <row r="43" spans="1:43" ht="15.75" x14ac:dyDescent="0.25">
      <c r="A43" s="22">
        <v>38</v>
      </c>
      <c r="B43" s="19">
        <v>197.6</v>
      </c>
      <c r="C43" s="22">
        <v>87</v>
      </c>
      <c r="D43" s="19">
        <v>196</v>
      </c>
      <c r="E43" s="22">
        <f t="shared" si="0"/>
        <v>136</v>
      </c>
      <c r="F43" s="19">
        <v>199.6</v>
      </c>
      <c r="G43" s="33">
        <v>185</v>
      </c>
      <c r="H43" s="19">
        <v>196.7</v>
      </c>
      <c r="I43" s="20"/>
      <c r="J43" s="36"/>
      <c r="L43" s="22">
        <v>38</v>
      </c>
      <c r="M43" s="19"/>
      <c r="N43" s="22">
        <v>87</v>
      </c>
      <c r="O43" s="19"/>
      <c r="P43" s="22">
        <f t="shared" si="1"/>
        <v>136</v>
      </c>
      <c r="Q43" s="19">
        <v>199.6</v>
      </c>
      <c r="R43" s="33">
        <v>185</v>
      </c>
      <c r="S43" s="19"/>
      <c r="T43" s="20"/>
      <c r="U43" s="36"/>
      <c r="W43" s="22">
        <v>38</v>
      </c>
      <c r="X43" s="19">
        <v>197.6</v>
      </c>
      <c r="Y43" s="22">
        <v>87</v>
      </c>
      <c r="Z43" s="19">
        <v>196</v>
      </c>
      <c r="AA43" s="22">
        <f t="shared" si="2"/>
        <v>136</v>
      </c>
      <c r="AB43" s="19"/>
      <c r="AC43" s="33">
        <v>185</v>
      </c>
      <c r="AD43" s="19"/>
      <c r="AE43" s="20"/>
      <c r="AF43" s="36"/>
      <c r="AH43" s="22">
        <v>38</v>
      </c>
      <c r="AI43" s="19"/>
      <c r="AJ43" s="22">
        <v>87</v>
      </c>
      <c r="AK43" s="19"/>
      <c r="AL43" s="22">
        <f t="shared" si="3"/>
        <v>136</v>
      </c>
      <c r="AM43" s="19"/>
      <c r="AN43" s="33">
        <v>185</v>
      </c>
      <c r="AO43" s="19">
        <v>196.7</v>
      </c>
      <c r="AP43" s="20"/>
      <c r="AQ43" s="36"/>
    </row>
    <row r="44" spans="1:43" ht="15.75" x14ac:dyDescent="0.25">
      <c r="A44" s="22">
        <v>39</v>
      </c>
      <c r="B44" s="19">
        <v>195.1</v>
      </c>
      <c r="C44" s="22">
        <v>88</v>
      </c>
      <c r="D44" s="19">
        <v>206</v>
      </c>
      <c r="E44" s="22">
        <f t="shared" si="0"/>
        <v>137</v>
      </c>
      <c r="F44" s="19">
        <v>195.4</v>
      </c>
      <c r="G44" s="33">
        <v>186</v>
      </c>
      <c r="H44" s="19">
        <v>201.1</v>
      </c>
      <c r="I44" s="20"/>
      <c r="J44" s="36"/>
      <c r="L44" s="22">
        <v>39</v>
      </c>
      <c r="M44" s="19"/>
      <c r="N44" s="22">
        <v>88</v>
      </c>
      <c r="O44" s="19"/>
      <c r="P44" s="22">
        <f t="shared" si="1"/>
        <v>137</v>
      </c>
      <c r="Q44" s="19">
        <v>195.4</v>
      </c>
      <c r="R44" s="33">
        <v>186</v>
      </c>
      <c r="S44" s="19"/>
      <c r="T44" s="20"/>
      <c r="U44" s="36"/>
      <c r="W44" s="22">
        <v>39</v>
      </c>
      <c r="X44" s="19">
        <v>195.1</v>
      </c>
      <c r="Y44" s="22">
        <v>88</v>
      </c>
      <c r="Z44" s="19">
        <v>206</v>
      </c>
      <c r="AA44" s="22">
        <f t="shared" si="2"/>
        <v>137</v>
      </c>
      <c r="AB44" s="19"/>
      <c r="AC44" s="33">
        <v>186</v>
      </c>
      <c r="AD44" s="19"/>
      <c r="AE44" s="20"/>
      <c r="AF44" s="36"/>
      <c r="AH44" s="22">
        <v>39</v>
      </c>
      <c r="AI44" s="19"/>
      <c r="AJ44" s="22">
        <v>88</v>
      </c>
      <c r="AK44" s="19"/>
      <c r="AL44" s="22">
        <f t="shared" si="3"/>
        <v>137</v>
      </c>
      <c r="AM44" s="19"/>
      <c r="AN44" s="33">
        <v>186</v>
      </c>
      <c r="AO44" s="19">
        <v>201.1</v>
      </c>
      <c r="AP44" s="20"/>
      <c r="AQ44" s="36"/>
    </row>
    <row r="45" spans="1:43" ht="15.75" x14ac:dyDescent="0.25">
      <c r="A45" s="22">
        <v>40</v>
      </c>
      <c r="B45" s="19">
        <v>204.4</v>
      </c>
      <c r="C45" s="22">
        <v>89</v>
      </c>
      <c r="D45" s="19">
        <v>203.8</v>
      </c>
      <c r="E45" s="22">
        <f t="shared" si="0"/>
        <v>138</v>
      </c>
      <c r="F45" s="19">
        <v>197.7</v>
      </c>
      <c r="G45" s="33">
        <v>187</v>
      </c>
      <c r="H45" s="19">
        <v>196.7</v>
      </c>
      <c r="I45" s="21"/>
      <c r="J45" s="36"/>
      <c r="L45" s="22">
        <v>40</v>
      </c>
      <c r="M45" s="19"/>
      <c r="N45" s="22">
        <v>89</v>
      </c>
      <c r="O45" s="19"/>
      <c r="P45" s="22">
        <f t="shared" si="1"/>
        <v>138</v>
      </c>
      <c r="Q45" s="19">
        <v>197.7</v>
      </c>
      <c r="R45" s="33">
        <v>187</v>
      </c>
      <c r="S45" s="19"/>
      <c r="T45" s="21"/>
      <c r="U45" s="36"/>
      <c r="W45" s="22">
        <v>40</v>
      </c>
      <c r="X45" s="19">
        <v>204.4</v>
      </c>
      <c r="Y45" s="22">
        <v>89</v>
      </c>
      <c r="Z45" s="19">
        <v>203.8</v>
      </c>
      <c r="AA45" s="22">
        <f t="shared" si="2"/>
        <v>138</v>
      </c>
      <c r="AB45" s="19"/>
      <c r="AC45" s="33">
        <v>187</v>
      </c>
      <c r="AD45" s="19"/>
      <c r="AE45" s="21"/>
      <c r="AF45" s="36"/>
      <c r="AH45" s="22">
        <v>40</v>
      </c>
      <c r="AI45" s="19"/>
      <c r="AJ45" s="22">
        <v>89</v>
      </c>
      <c r="AK45" s="19"/>
      <c r="AL45" s="22">
        <f t="shared" si="3"/>
        <v>138</v>
      </c>
      <c r="AM45" s="19"/>
      <c r="AN45" s="33">
        <v>187</v>
      </c>
      <c r="AO45" s="19">
        <v>196.7</v>
      </c>
      <c r="AP45" s="21"/>
      <c r="AQ45" s="36"/>
    </row>
    <row r="46" spans="1:43" ht="15.75" x14ac:dyDescent="0.25">
      <c r="A46" s="22">
        <v>41</v>
      </c>
      <c r="B46" s="19">
        <v>198.6</v>
      </c>
      <c r="C46" s="22">
        <v>90</v>
      </c>
      <c r="D46" s="19">
        <v>204.6</v>
      </c>
      <c r="E46" s="22">
        <f t="shared" si="0"/>
        <v>139</v>
      </c>
      <c r="F46" s="19">
        <v>199.5</v>
      </c>
      <c r="G46" s="33">
        <v>188</v>
      </c>
      <c r="H46" s="19">
        <v>198</v>
      </c>
      <c r="I46" s="20"/>
      <c r="J46" s="36"/>
      <c r="L46" s="22">
        <v>41</v>
      </c>
      <c r="M46" s="19"/>
      <c r="N46" s="22">
        <v>90</v>
      </c>
      <c r="O46" s="19"/>
      <c r="P46" s="22">
        <f t="shared" si="1"/>
        <v>139</v>
      </c>
      <c r="Q46" s="19">
        <v>199.5</v>
      </c>
      <c r="R46" s="33">
        <v>188</v>
      </c>
      <c r="S46" s="19"/>
      <c r="T46" s="20"/>
      <c r="U46" s="36"/>
      <c r="W46" s="22">
        <v>41</v>
      </c>
      <c r="X46" s="19">
        <v>198.6</v>
      </c>
      <c r="Y46" s="22">
        <v>90</v>
      </c>
      <c r="Z46" s="19">
        <v>204.6</v>
      </c>
      <c r="AA46" s="22">
        <f t="shared" si="2"/>
        <v>139</v>
      </c>
      <c r="AB46" s="19"/>
      <c r="AC46" s="33">
        <v>188</v>
      </c>
      <c r="AD46" s="19"/>
      <c r="AE46" s="20"/>
      <c r="AF46" s="36"/>
      <c r="AH46" s="22">
        <v>41</v>
      </c>
      <c r="AI46" s="19"/>
      <c r="AJ46" s="22">
        <v>90</v>
      </c>
      <c r="AK46" s="19"/>
      <c r="AL46" s="22">
        <f t="shared" si="3"/>
        <v>139</v>
      </c>
      <c r="AM46" s="19"/>
      <c r="AN46" s="33">
        <v>188</v>
      </c>
      <c r="AO46" s="19">
        <v>198</v>
      </c>
      <c r="AP46" s="20"/>
      <c r="AQ46" s="36"/>
    </row>
    <row r="47" spans="1:43" ht="15.75" x14ac:dyDescent="0.25">
      <c r="A47" s="22">
        <v>42</v>
      </c>
      <c r="B47" s="19">
        <v>204.4</v>
      </c>
      <c r="C47" s="22">
        <v>91</v>
      </c>
      <c r="D47" s="19">
        <v>200</v>
      </c>
      <c r="E47" s="22">
        <f t="shared" si="0"/>
        <v>140</v>
      </c>
      <c r="F47" s="19">
        <v>202.9</v>
      </c>
      <c r="G47" s="33">
        <v>189</v>
      </c>
      <c r="H47" s="19">
        <v>205.1</v>
      </c>
      <c r="I47" s="20"/>
      <c r="J47" s="36"/>
      <c r="L47" s="22">
        <v>42</v>
      </c>
      <c r="M47" s="19"/>
      <c r="N47" s="22">
        <v>91</v>
      </c>
      <c r="O47" s="19"/>
      <c r="P47" s="22">
        <f t="shared" si="1"/>
        <v>140</v>
      </c>
      <c r="Q47" s="19">
        <v>202.9</v>
      </c>
      <c r="R47" s="33">
        <v>189</v>
      </c>
      <c r="S47" s="19"/>
      <c r="T47" s="20"/>
      <c r="U47" s="36"/>
      <c r="W47" s="22">
        <v>42</v>
      </c>
      <c r="X47" s="19">
        <v>204.4</v>
      </c>
      <c r="Y47" s="22">
        <v>91</v>
      </c>
      <c r="Z47" s="19">
        <v>200</v>
      </c>
      <c r="AA47" s="22">
        <f t="shared" si="2"/>
        <v>140</v>
      </c>
      <c r="AB47" s="19"/>
      <c r="AC47" s="33">
        <v>189</v>
      </c>
      <c r="AD47" s="19"/>
      <c r="AE47" s="20"/>
      <c r="AF47" s="36"/>
      <c r="AH47" s="22">
        <v>42</v>
      </c>
      <c r="AI47" s="19"/>
      <c r="AJ47" s="22">
        <v>91</v>
      </c>
      <c r="AK47" s="19"/>
      <c r="AL47" s="22">
        <f t="shared" si="3"/>
        <v>140</v>
      </c>
      <c r="AM47" s="19"/>
      <c r="AN47" s="33">
        <v>189</v>
      </c>
      <c r="AO47" s="19">
        <v>205.1</v>
      </c>
      <c r="AP47" s="20"/>
      <c r="AQ47" s="36"/>
    </row>
    <row r="48" spans="1:43" ht="15.75" x14ac:dyDescent="0.25">
      <c r="A48" s="22">
        <v>43</v>
      </c>
      <c r="B48" s="19">
        <v>203.1</v>
      </c>
      <c r="C48" s="22">
        <v>92</v>
      </c>
      <c r="D48" s="19">
        <v>200.2</v>
      </c>
      <c r="E48" s="22">
        <f t="shared" si="0"/>
        <v>141</v>
      </c>
      <c r="F48" s="19">
        <v>196.6</v>
      </c>
      <c r="G48" s="33">
        <v>190</v>
      </c>
      <c r="H48" s="19">
        <v>204</v>
      </c>
      <c r="I48" s="21"/>
      <c r="J48" s="36"/>
      <c r="L48" s="22">
        <v>43</v>
      </c>
      <c r="M48" s="19"/>
      <c r="N48" s="22">
        <v>92</v>
      </c>
      <c r="O48" s="19"/>
      <c r="P48" s="22">
        <f t="shared" si="1"/>
        <v>141</v>
      </c>
      <c r="Q48" s="19">
        <v>196.6</v>
      </c>
      <c r="R48" s="33">
        <v>190</v>
      </c>
      <c r="S48" s="19"/>
      <c r="T48" s="21"/>
      <c r="U48" s="36"/>
      <c r="W48" s="22">
        <v>43</v>
      </c>
      <c r="X48" s="19">
        <v>203.1</v>
      </c>
      <c r="Y48" s="22">
        <v>92</v>
      </c>
      <c r="Z48" s="19">
        <v>200.2</v>
      </c>
      <c r="AA48" s="22">
        <f t="shared" si="2"/>
        <v>141</v>
      </c>
      <c r="AB48" s="19"/>
      <c r="AC48" s="33">
        <v>190</v>
      </c>
      <c r="AD48" s="19"/>
      <c r="AE48" s="21"/>
      <c r="AF48" s="36"/>
      <c r="AH48" s="22">
        <v>43</v>
      </c>
      <c r="AI48" s="19"/>
      <c r="AJ48" s="22">
        <v>92</v>
      </c>
      <c r="AK48" s="19"/>
      <c r="AL48" s="22">
        <f t="shared" si="3"/>
        <v>141</v>
      </c>
      <c r="AM48" s="19"/>
      <c r="AN48" s="33">
        <v>190</v>
      </c>
      <c r="AO48" s="19">
        <v>204</v>
      </c>
      <c r="AP48" s="21"/>
      <c r="AQ48" s="36"/>
    </row>
    <row r="49" spans="1:43" ht="15.75" x14ac:dyDescent="0.25">
      <c r="A49" s="22">
        <v>44</v>
      </c>
      <c r="B49" s="19">
        <v>202</v>
      </c>
      <c r="C49" s="22">
        <v>93</v>
      </c>
      <c r="D49" s="19">
        <v>201.6</v>
      </c>
      <c r="E49" s="22">
        <f t="shared" si="0"/>
        <v>142</v>
      </c>
      <c r="F49" s="19">
        <v>201.3</v>
      </c>
      <c r="G49" s="33">
        <v>191</v>
      </c>
      <c r="H49" s="19">
        <v>212.4</v>
      </c>
      <c r="I49" s="21"/>
      <c r="J49" s="36"/>
      <c r="L49" s="22">
        <v>44</v>
      </c>
      <c r="M49" s="19"/>
      <c r="N49" s="22">
        <v>93</v>
      </c>
      <c r="O49" s="19"/>
      <c r="P49" s="22">
        <f t="shared" si="1"/>
        <v>142</v>
      </c>
      <c r="Q49" s="19">
        <v>201.3</v>
      </c>
      <c r="R49" s="33">
        <v>191</v>
      </c>
      <c r="S49" s="19"/>
      <c r="T49" s="21"/>
      <c r="U49" s="36"/>
      <c r="W49" s="22">
        <v>44</v>
      </c>
      <c r="X49" s="19">
        <v>202</v>
      </c>
      <c r="Y49" s="22">
        <v>93</v>
      </c>
      <c r="Z49" s="19">
        <v>201.6</v>
      </c>
      <c r="AA49" s="22">
        <f t="shared" si="2"/>
        <v>142</v>
      </c>
      <c r="AB49" s="19"/>
      <c r="AC49" s="33">
        <v>191</v>
      </c>
      <c r="AD49" s="19"/>
      <c r="AE49" s="21"/>
      <c r="AF49" s="36"/>
      <c r="AH49" s="22">
        <v>44</v>
      </c>
      <c r="AI49" s="19"/>
      <c r="AJ49" s="22">
        <v>93</v>
      </c>
      <c r="AK49" s="19"/>
      <c r="AL49" s="22">
        <f t="shared" si="3"/>
        <v>142</v>
      </c>
      <c r="AM49" s="19"/>
      <c r="AN49" s="33">
        <v>191</v>
      </c>
      <c r="AO49" s="19">
        <v>212.4</v>
      </c>
      <c r="AP49" s="21"/>
      <c r="AQ49" s="36"/>
    </row>
    <row r="50" spans="1:43" ht="15.75" x14ac:dyDescent="0.25">
      <c r="A50" s="22">
        <v>45</v>
      </c>
      <c r="B50" s="19">
        <v>202.8</v>
      </c>
      <c r="C50" s="22">
        <v>94</v>
      </c>
      <c r="D50" s="19">
        <v>204.5</v>
      </c>
      <c r="E50" s="22">
        <f t="shared" si="0"/>
        <v>143</v>
      </c>
      <c r="F50" s="19">
        <v>200.2</v>
      </c>
      <c r="G50" s="33">
        <v>192</v>
      </c>
      <c r="H50" s="19">
        <v>207.2</v>
      </c>
      <c r="I50" s="20"/>
      <c r="J50" s="36"/>
      <c r="L50" s="22">
        <v>45</v>
      </c>
      <c r="M50" s="19"/>
      <c r="N50" s="22">
        <v>94</v>
      </c>
      <c r="O50" s="19"/>
      <c r="P50" s="22">
        <f t="shared" si="1"/>
        <v>143</v>
      </c>
      <c r="Q50" s="19">
        <v>200.2</v>
      </c>
      <c r="R50" s="33">
        <v>192</v>
      </c>
      <c r="S50" s="19"/>
      <c r="T50" s="20"/>
      <c r="U50" s="36"/>
      <c r="W50" s="22">
        <v>45</v>
      </c>
      <c r="X50" s="19">
        <v>202.8</v>
      </c>
      <c r="Y50" s="22">
        <v>94</v>
      </c>
      <c r="Z50" s="19">
        <v>204.5</v>
      </c>
      <c r="AA50" s="22">
        <f t="shared" si="2"/>
        <v>143</v>
      </c>
      <c r="AB50" s="19"/>
      <c r="AC50" s="33">
        <v>192</v>
      </c>
      <c r="AD50" s="19"/>
      <c r="AE50" s="20"/>
      <c r="AF50" s="36"/>
      <c r="AH50" s="22">
        <v>45</v>
      </c>
      <c r="AI50" s="19"/>
      <c r="AJ50" s="22">
        <v>94</v>
      </c>
      <c r="AK50" s="19"/>
      <c r="AL50" s="22">
        <f t="shared" si="3"/>
        <v>143</v>
      </c>
      <c r="AM50" s="19"/>
      <c r="AN50" s="33">
        <v>192</v>
      </c>
      <c r="AO50" s="19">
        <v>207.2</v>
      </c>
      <c r="AP50" s="20"/>
      <c r="AQ50" s="36"/>
    </row>
    <row r="51" spans="1:43" ht="15.75" x14ac:dyDescent="0.25">
      <c r="A51" s="22">
        <v>46</v>
      </c>
      <c r="B51" s="19">
        <v>202.4</v>
      </c>
      <c r="C51" s="22">
        <v>95</v>
      </c>
      <c r="D51" s="19">
        <v>202.9</v>
      </c>
      <c r="E51" s="22">
        <f t="shared" si="0"/>
        <v>144</v>
      </c>
      <c r="F51" s="19">
        <v>201.2</v>
      </c>
      <c r="G51" s="33">
        <v>193</v>
      </c>
      <c r="H51" s="19">
        <v>205.5</v>
      </c>
      <c r="I51" s="20"/>
      <c r="J51" s="36"/>
      <c r="L51" s="22">
        <v>46</v>
      </c>
      <c r="M51" s="19"/>
      <c r="N51" s="22">
        <v>95</v>
      </c>
      <c r="O51" s="19"/>
      <c r="P51" s="22">
        <f t="shared" si="1"/>
        <v>144</v>
      </c>
      <c r="Q51" s="19">
        <v>201.2</v>
      </c>
      <c r="R51" s="33">
        <v>193</v>
      </c>
      <c r="S51" s="19"/>
      <c r="T51" s="20"/>
      <c r="U51" s="36"/>
      <c r="W51" s="22">
        <v>46</v>
      </c>
      <c r="X51" s="19">
        <v>202.4</v>
      </c>
      <c r="Y51" s="22">
        <v>95</v>
      </c>
      <c r="Z51" s="19">
        <v>202.9</v>
      </c>
      <c r="AA51" s="22">
        <f t="shared" si="2"/>
        <v>144</v>
      </c>
      <c r="AB51" s="19"/>
      <c r="AC51" s="33">
        <v>193</v>
      </c>
      <c r="AD51" s="19"/>
      <c r="AE51" s="20"/>
      <c r="AF51" s="36"/>
      <c r="AH51" s="22">
        <v>46</v>
      </c>
      <c r="AI51" s="19"/>
      <c r="AJ51" s="22">
        <v>95</v>
      </c>
      <c r="AK51" s="19"/>
      <c r="AL51" s="22">
        <f t="shared" si="3"/>
        <v>144</v>
      </c>
      <c r="AM51" s="19"/>
      <c r="AN51" s="33">
        <v>193</v>
      </c>
      <c r="AO51" s="19">
        <v>205.5</v>
      </c>
      <c r="AP51" s="20"/>
      <c r="AQ51" s="36"/>
    </row>
    <row r="52" spans="1:43" ht="15.75" x14ac:dyDescent="0.25">
      <c r="A52" s="22">
        <v>47</v>
      </c>
      <c r="B52" s="19">
        <v>204.4</v>
      </c>
      <c r="C52" s="22">
        <v>96</v>
      </c>
      <c r="D52" s="19">
        <v>199.9</v>
      </c>
      <c r="E52" s="22">
        <f t="shared" si="0"/>
        <v>145</v>
      </c>
      <c r="F52" s="19">
        <v>205.1</v>
      </c>
      <c r="G52" s="33">
        <v>194</v>
      </c>
      <c r="H52" s="19">
        <v>209.3</v>
      </c>
      <c r="I52" s="21"/>
      <c r="J52" s="36"/>
      <c r="L52" s="22">
        <v>47</v>
      </c>
      <c r="M52" s="19"/>
      <c r="N52" s="22">
        <v>96</v>
      </c>
      <c r="O52" s="19"/>
      <c r="P52" s="22">
        <f t="shared" si="1"/>
        <v>145</v>
      </c>
      <c r="Q52" s="19">
        <v>205.1</v>
      </c>
      <c r="R52" s="33">
        <v>194</v>
      </c>
      <c r="S52" s="19"/>
      <c r="T52" s="21"/>
      <c r="U52" s="36"/>
      <c r="W52" s="22">
        <v>47</v>
      </c>
      <c r="X52" s="19">
        <v>204.4</v>
      </c>
      <c r="Y52" s="22">
        <v>96</v>
      </c>
      <c r="Z52" s="19">
        <v>199.9</v>
      </c>
      <c r="AA52" s="22">
        <f t="shared" si="2"/>
        <v>145</v>
      </c>
      <c r="AB52" s="19"/>
      <c r="AC52" s="33">
        <v>194</v>
      </c>
      <c r="AD52" s="19"/>
      <c r="AE52" s="21"/>
      <c r="AF52" s="36"/>
      <c r="AH52" s="22">
        <v>47</v>
      </c>
      <c r="AI52" s="19"/>
      <c r="AJ52" s="22">
        <v>96</v>
      </c>
      <c r="AK52" s="19"/>
      <c r="AL52" s="22">
        <f t="shared" si="3"/>
        <v>145</v>
      </c>
      <c r="AM52" s="19"/>
      <c r="AN52" s="33">
        <v>194</v>
      </c>
      <c r="AO52" s="19">
        <v>209.3</v>
      </c>
      <c r="AP52" s="21"/>
      <c r="AQ52" s="36"/>
    </row>
    <row r="53" spans="1:43" ht="15.75" x14ac:dyDescent="0.25">
      <c r="A53" s="22">
        <v>48</v>
      </c>
      <c r="B53" s="19">
        <v>199.3</v>
      </c>
      <c r="C53" s="22">
        <v>97</v>
      </c>
      <c r="D53" s="19">
        <v>204.4</v>
      </c>
      <c r="E53" s="22">
        <f t="shared" si="0"/>
        <v>146</v>
      </c>
      <c r="F53" s="19">
        <v>200.9</v>
      </c>
      <c r="G53" s="33">
        <v>195</v>
      </c>
      <c r="H53" s="19">
        <v>206.1</v>
      </c>
      <c r="I53" s="20"/>
      <c r="J53" s="36"/>
      <c r="L53" s="22">
        <v>48</v>
      </c>
      <c r="M53" s="19"/>
      <c r="N53" s="22">
        <v>97</v>
      </c>
      <c r="O53" s="19"/>
      <c r="P53" s="22">
        <f t="shared" si="1"/>
        <v>146</v>
      </c>
      <c r="Q53" s="19">
        <v>200.9</v>
      </c>
      <c r="R53" s="33">
        <v>195</v>
      </c>
      <c r="S53" s="19"/>
      <c r="T53" s="20"/>
      <c r="U53" s="36"/>
      <c r="W53" s="22">
        <v>48</v>
      </c>
      <c r="X53" s="19">
        <v>199.3</v>
      </c>
      <c r="Y53" s="22">
        <v>97</v>
      </c>
      <c r="Z53" s="19">
        <v>204.4</v>
      </c>
      <c r="AA53" s="22">
        <f t="shared" si="2"/>
        <v>146</v>
      </c>
      <c r="AB53" s="19"/>
      <c r="AC53" s="33">
        <v>195</v>
      </c>
      <c r="AD53" s="19"/>
      <c r="AE53" s="20"/>
      <c r="AF53" s="36"/>
      <c r="AH53" s="22">
        <v>48</v>
      </c>
      <c r="AI53" s="19"/>
      <c r="AJ53" s="22">
        <v>97</v>
      </c>
      <c r="AK53" s="19"/>
      <c r="AL53" s="22">
        <f t="shared" si="3"/>
        <v>146</v>
      </c>
      <c r="AM53" s="19"/>
      <c r="AN53" s="33">
        <v>195</v>
      </c>
      <c r="AO53" s="19">
        <v>206.1</v>
      </c>
      <c r="AP53" s="20"/>
      <c r="AQ53" s="36"/>
    </row>
    <row r="54" spans="1:43" ht="15.75" x14ac:dyDescent="0.25">
      <c r="A54" s="37">
        <v>49</v>
      </c>
      <c r="B54" s="19">
        <v>202.7</v>
      </c>
      <c r="C54" s="37">
        <v>98</v>
      </c>
      <c r="D54" s="19">
        <v>201</v>
      </c>
      <c r="E54" s="22">
        <f t="shared" si="0"/>
        <v>147</v>
      </c>
      <c r="F54" s="19">
        <v>197.1</v>
      </c>
      <c r="G54" s="38">
        <v>196</v>
      </c>
      <c r="H54" s="19">
        <v>201.7</v>
      </c>
      <c r="I54" s="39"/>
      <c r="J54" s="40"/>
      <c r="L54" s="37">
        <v>49</v>
      </c>
      <c r="M54" s="19"/>
      <c r="N54" s="37">
        <v>98</v>
      </c>
      <c r="O54" s="19"/>
      <c r="P54" s="22">
        <f t="shared" si="1"/>
        <v>147</v>
      </c>
      <c r="Q54" s="19">
        <v>197.1</v>
      </c>
      <c r="R54" s="38">
        <v>196</v>
      </c>
      <c r="S54" s="19"/>
      <c r="T54" s="39"/>
      <c r="U54" s="40"/>
      <c r="W54" s="37">
        <v>49</v>
      </c>
      <c r="X54" s="19">
        <v>202.7</v>
      </c>
      <c r="Y54" s="37">
        <v>98</v>
      </c>
      <c r="Z54" s="19">
        <v>201</v>
      </c>
      <c r="AA54" s="22">
        <f t="shared" si="2"/>
        <v>147</v>
      </c>
      <c r="AB54" s="19"/>
      <c r="AC54" s="38">
        <v>196</v>
      </c>
      <c r="AD54" s="19"/>
      <c r="AE54" s="39"/>
      <c r="AF54" s="40"/>
      <c r="AH54" s="37">
        <v>49</v>
      </c>
      <c r="AI54" s="19"/>
      <c r="AJ54" s="37">
        <v>98</v>
      </c>
      <c r="AK54" s="19"/>
      <c r="AL54" s="22">
        <f t="shared" si="3"/>
        <v>147</v>
      </c>
      <c r="AM54" s="19"/>
      <c r="AN54" s="38">
        <v>196</v>
      </c>
      <c r="AO54" s="19">
        <v>201.7</v>
      </c>
      <c r="AP54" s="39"/>
      <c r="AQ54" s="40"/>
    </row>
    <row r="55" spans="1:43" ht="15.75" x14ac:dyDescent="0.25">
      <c r="A55" s="41"/>
      <c r="B55" s="23">
        <f>SUM(B6:B54)</f>
        <v>9901</v>
      </c>
      <c r="C55" s="23"/>
      <c r="D55" s="23">
        <f>SUM(D6:D54)</f>
        <v>9886.1</v>
      </c>
      <c r="E55" s="23"/>
      <c r="F55" s="23">
        <f>SUM(F6:F54)</f>
        <v>9863.9000000000015</v>
      </c>
      <c r="G55" s="23"/>
      <c r="H55" s="23">
        <f>SUM(H6:H54)</f>
        <v>9870.3000000000011</v>
      </c>
      <c r="I55" s="41"/>
      <c r="J55" s="41">
        <f>SUM(J6:J54)</f>
        <v>4865.9999999999991</v>
      </c>
      <c r="L55" s="41"/>
      <c r="M55" s="23">
        <f>SUM(M6:M54)</f>
        <v>0</v>
      </c>
      <c r="N55" s="23"/>
      <c r="O55" s="23">
        <f>SUM(O6:O54)</f>
        <v>0</v>
      </c>
      <c r="P55" s="23"/>
      <c r="Q55" s="23">
        <f>SUM(Q6:Q54)</f>
        <v>3571.7999999999997</v>
      </c>
      <c r="R55" s="23"/>
      <c r="S55" s="23">
        <f>SUM(S6:S54)</f>
        <v>3601.6</v>
      </c>
      <c r="T55" s="41"/>
      <c r="U55" s="41">
        <f>SUM(U6:U54)</f>
        <v>0</v>
      </c>
      <c r="W55" s="41"/>
      <c r="X55" s="23">
        <f>SUM(X6:X54)</f>
        <v>9901</v>
      </c>
      <c r="Y55" s="23"/>
      <c r="Z55" s="23">
        <f>SUM(Z6:Z54)</f>
        <v>9886.1</v>
      </c>
      <c r="AA55" s="23"/>
      <c r="AB55" s="23">
        <f>SUM(AB6:AB54)</f>
        <v>6292.1</v>
      </c>
      <c r="AC55" s="23"/>
      <c r="AD55" s="23">
        <f>SUM(AD6:AD54)</f>
        <v>0</v>
      </c>
      <c r="AE55" s="41"/>
      <c r="AF55" s="41">
        <f>SUM(AF6:AF54)</f>
        <v>0</v>
      </c>
      <c r="AH55" s="41"/>
      <c r="AI55" s="23">
        <f>SUM(AI6:AI54)</f>
        <v>0</v>
      </c>
      <c r="AJ55" s="23"/>
      <c r="AK55" s="23">
        <f>SUM(AK6:AK54)</f>
        <v>0</v>
      </c>
      <c r="AL55" s="23"/>
      <c r="AM55" s="23">
        <f>SUM(AM6:AM54)</f>
        <v>0</v>
      </c>
      <c r="AN55" s="23"/>
      <c r="AO55" s="23">
        <f>SUM(AO6:AO54)</f>
        <v>6268.7</v>
      </c>
      <c r="AP55" s="41"/>
      <c r="AQ55" s="41">
        <f>SUM(AQ6:AQ54)</f>
        <v>4865.9999999999991</v>
      </c>
    </row>
    <row r="56" spans="1:43" ht="15.75" x14ac:dyDescent="0.25">
      <c r="A56" s="42" t="s">
        <v>5</v>
      </c>
      <c r="B56" s="43">
        <f>COUNT(B6:B54,D6:D54,F6:F54,H6:H54,J6:J54)</f>
        <v>220</v>
      </c>
      <c r="C56" s="13" t="s">
        <v>6</v>
      </c>
      <c r="D56" s="44"/>
      <c r="E56" s="45">
        <f>B55+D55+F55+H55+J55</f>
        <v>44387.3</v>
      </c>
      <c r="F56" s="24" t="s">
        <v>7</v>
      </c>
      <c r="G56" s="1">
        <f>B56*2.2</f>
        <v>484.00000000000006</v>
      </c>
      <c r="H56" s="13" t="s">
        <v>8</v>
      </c>
      <c r="I56" s="44"/>
      <c r="J56" s="45">
        <f>E56-G56</f>
        <v>43903.3</v>
      </c>
      <c r="L56" s="42" t="s">
        <v>5</v>
      </c>
      <c r="M56" s="43">
        <f>COUNT(M6:M54,O6:O54,Q6:Q54,S6:S54,U6:U54)</f>
        <v>36</v>
      </c>
      <c r="N56" s="13" t="s">
        <v>6</v>
      </c>
      <c r="O56" s="44"/>
      <c r="P56" s="45">
        <f>M55+O55+Q55+S55+U55</f>
        <v>7173.4</v>
      </c>
      <c r="Q56" s="24" t="s">
        <v>7</v>
      </c>
      <c r="R56" s="1">
        <f>M56*2.2</f>
        <v>79.2</v>
      </c>
      <c r="S56" s="13" t="s">
        <v>8</v>
      </c>
      <c r="T56" s="44"/>
      <c r="U56" s="45">
        <f>P56-R56</f>
        <v>7094.2</v>
      </c>
      <c r="W56" s="42" t="s">
        <v>5</v>
      </c>
      <c r="X56" s="43">
        <f>COUNT(X6:X54,Z6:Z54,AB6:AB54,AD6:AD54,AF6:AF54)</f>
        <v>129</v>
      </c>
      <c r="Y56" s="13" t="s">
        <v>6</v>
      </c>
      <c r="Z56" s="44"/>
      <c r="AA56" s="45">
        <f>X55+Z55+AB55+AD55+AF55</f>
        <v>26079.199999999997</v>
      </c>
      <c r="AB56" s="24" t="s">
        <v>7</v>
      </c>
      <c r="AC56" s="1">
        <f>X56*2.2</f>
        <v>283.8</v>
      </c>
      <c r="AD56" s="13" t="s">
        <v>8</v>
      </c>
      <c r="AE56" s="44"/>
      <c r="AF56" s="45">
        <f>AA56-AC56</f>
        <v>25795.399999999998</v>
      </c>
      <c r="AH56" s="42" t="s">
        <v>5</v>
      </c>
      <c r="AI56" s="43">
        <f>COUNT(AI6:AI54,AK6:AK54,AM6:AM54,AO6:AO54,AQ6:AQ54)</f>
        <v>55</v>
      </c>
      <c r="AJ56" s="13" t="s">
        <v>6</v>
      </c>
      <c r="AK56" s="44"/>
      <c r="AL56" s="45">
        <f>AI55+AK55+AM55+AO55+AQ55</f>
        <v>11134.699999999999</v>
      </c>
      <c r="AM56" s="24" t="s">
        <v>7</v>
      </c>
      <c r="AN56" s="1">
        <f>AI56*2.2</f>
        <v>121.00000000000001</v>
      </c>
      <c r="AO56" s="13" t="s">
        <v>8</v>
      </c>
      <c r="AP56" s="44"/>
      <c r="AQ56" s="45">
        <f>AL56-AN56</f>
        <v>11013.699999999999</v>
      </c>
    </row>
    <row r="57" spans="1:43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  <c r="L57" s="42" t="s">
        <v>9</v>
      </c>
      <c r="M57" s="25"/>
      <c r="N57" s="46"/>
      <c r="O57" s="44"/>
      <c r="P57" s="47"/>
      <c r="Q57" s="25"/>
      <c r="R57" s="48"/>
      <c r="S57" s="46"/>
      <c r="T57" s="44"/>
      <c r="U57" s="49"/>
      <c r="W57" s="42" t="s">
        <v>9</v>
      </c>
      <c r="X57" s="25"/>
      <c r="Y57" s="46"/>
      <c r="Z57" s="44"/>
      <c r="AA57" s="47"/>
      <c r="AB57" s="25"/>
      <c r="AC57" s="48"/>
      <c r="AD57" s="46"/>
      <c r="AE57" s="44"/>
      <c r="AF57" s="49"/>
      <c r="AH57" s="42" t="s">
        <v>9</v>
      </c>
      <c r="AI57" s="25"/>
      <c r="AJ57" s="46"/>
      <c r="AK57" s="44"/>
      <c r="AL57" s="47"/>
      <c r="AM57" s="25"/>
      <c r="AN57" s="48"/>
      <c r="AO57" s="46"/>
      <c r="AP57" s="44"/>
      <c r="AQ57" s="49"/>
    </row>
    <row r="58" spans="1:43" x14ac:dyDescent="0.25">
      <c r="B58">
        <f>M56+X56+AI56</f>
        <v>220</v>
      </c>
      <c r="E58" s="80">
        <f>P56+AA56+AL56</f>
        <v>44387.299999999996</v>
      </c>
      <c r="J58" s="80">
        <f>U56+AF56+AQ56</f>
        <v>43903.299999999996</v>
      </c>
    </row>
    <row r="59" spans="1:43" x14ac:dyDescent="0.25">
      <c r="F59" s="112" t="s">
        <v>61</v>
      </c>
      <c r="G59" s="112">
        <v>2.2000000000000002</v>
      </c>
      <c r="Q59" s="112" t="s">
        <v>61</v>
      </c>
      <c r="R59" s="112">
        <v>2.2000000000000002</v>
      </c>
      <c r="AB59" s="112" t="s">
        <v>61</v>
      </c>
      <c r="AC59" s="112">
        <v>2.2000000000000002</v>
      </c>
      <c r="AM59" s="112" t="s">
        <v>61</v>
      </c>
      <c r="AN59" s="112">
        <v>2.2000000000000002</v>
      </c>
    </row>
  </sheetData>
  <protectedRanges>
    <protectedRange password="CCE1" sqref="C6:C54 G6:G54 E6:E54 I6:I29 N6:N54 R6:R54 P6:P54 T6:T29 Y6:Y54 AC6:AC54 AA6:AA54 AE6:AE29 AJ6:AJ54 AN6:AN54 AL6:AL54 AP6:AP29" name="Диапазон1_3_1_7_2_1_1_1_1_1_1_1"/>
  </protectedRanges>
  <mergeCells count="8">
    <mergeCell ref="AH1:AQ1"/>
    <mergeCell ref="AP4:AQ4"/>
    <mergeCell ref="A1:J1"/>
    <mergeCell ref="I4:J4"/>
    <mergeCell ref="L1:U1"/>
    <mergeCell ref="T4:U4"/>
    <mergeCell ref="W1:AF1"/>
    <mergeCell ref="AE4:AF4"/>
  </mergeCells>
  <pageMargins left="0.7" right="0.7" top="0.75" bottom="0.75" header="0.3" footer="0.3"/>
  <pageSetup paperSize="9" scale="83" orientation="portrait" verticalDpi="0" r:id="rId1"/>
  <rowBreaks count="1" manualBreakCount="1">
    <brk id="57" max="16383" man="1"/>
  </rowBreaks>
  <colBreaks count="3" manualBreakCount="3">
    <brk id="10" max="56" man="1"/>
    <brk id="21" max="56" man="1"/>
    <brk id="32" max="56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9"/>
  <sheetViews>
    <sheetView topLeftCell="A47" zoomScale="90" zoomScaleNormal="90" workbookViewId="0">
      <selection activeCell="D65" sqref="D65"/>
    </sheetView>
  </sheetViews>
  <sheetFormatPr defaultRowHeight="15" x14ac:dyDescent="0.25"/>
  <cols>
    <col min="2" max="2" width="9.28515625" bestFit="1" customWidth="1"/>
    <col min="4" max="4" width="9.28515625" bestFit="1" customWidth="1"/>
    <col min="6" max="6" width="10.140625" bestFit="1" customWidth="1"/>
    <col min="8" max="8" width="9.28515625" bestFit="1" customWidth="1"/>
    <col min="10" max="10" width="9.28515625" bestFit="1" customWidth="1"/>
    <col min="11" max="11" width="2.85546875" customWidth="1"/>
    <col min="22" max="22" width="1.85546875" customWidth="1"/>
  </cols>
  <sheetData>
    <row r="1" spans="1:32" ht="18.75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L1" s="204" t="s">
        <v>0</v>
      </c>
      <c r="M1" s="204"/>
      <c r="N1" s="204"/>
      <c r="O1" s="204"/>
      <c r="P1" s="204"/>
      <c r="Q1" s="204"/>
      <c r="R1" s="204"/>
      <c r="S1" s="204"/>
      <c r="T1" s="204"/>
      <c r="U1" s="204"/>
      <c r="W1" s="204" t="s">
        <v>0</v>
      </c>
      <c r="X1" s="204"/>
      <c r="Y1" s="204"/>
      <c r="Z1" s="204"/>
      <c r="AA1" s="204"/>
      <c r="AB1" s="204"/>
      <c r="AC1" s="204"/>
      <c r="AD1" s="204"/>
      <c r="AE1" s="204"/>
      <c r="AF1" s="204"/>
    </row>
    <row r="2" spans="1:32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  <c r="L2" s="13" t="s">
        <v>1</v>
      </c>
      <c r="M2" s="13"/>
      <c r="N2" s="13"/>
      <c r="O2" s="13"/>
      <c r="P2" s="13"/>
      <c r="Q2" s="13"/>
      <c r="R2" s="27"/>
      <c r="S2" s="13"/>
      <c r="T2" s="13"/>
      <c r="U2" s="13"/>
      <c r="W2" s="13" t="s">
        <v>1</v>
      </c>
      <c r="X2" s="13"/>
      <c r="Y2" s="13"/>
      <c r="Z2" s="13"/>
      <c r="AA2" s="13"/>
      <c r="AB2" s="13"/>
      <c r="AC2" s="27"/>
      <c r="AD2" s="13"/>
      <c r="AE2" s="13"/>
      <c r="AF2" s="13"/>
    </row>
    <row r="3" spans="1:32" ht="15.75" x14ac:dyDescent="0.25">
      <c r="A3" s="25" t="s">
        <v>2</v>
      </c>
      <c r="B3" s="27">
        <v>215</v>
      </c>
      <c r="C3" s="14"/>
      <c r="D3" s="15"/>
      <c r="E3" s="16"/>
      <c r="F3" s="16"/>
      <c r="G3" s="16"/>
      <c r="H3" s="16"/>
      <c r="I3" s="16" t="s">
        <v>33</v>
      </c>
      <c r="J3" s="16"/>
      <c r="L3" s="25" t="s">
        <v>2</v>
      </c>
      <c r="M3" s="27">
        <v>215</v>
      </c>
      <c r="N3" s="14"/>
      <c r="O3" s="15"/>
      <c r="P3" s="16"/>
      <c r="Q3" s="16"/>
      <c r="R3" s="16"/>
      <c r="S3" s="16"/>
      <c r="T3" s="16" t="s">
        <v>33</v>
      </c>
      <c r="U3" s="16"/>
      <c r="W3" s="25" t="s">
        <v>2</v>
      </c>
      <c r="X3" s="27">
        <v>215</v>
      </c>
      <c r="Y3" s="14"/>
      <c r="Z3" s="15"/>
      <c r="AA3" s="16"/>
      <c r="AB3" s="16"/>
      <c r="AC3" s="16"/>
      <c r="AD3" s="16"/>
      <c r="AE3" s="16" t="s">
        <v>33</v>
      </c>
      <c r="AF3" s="16"/>
    </row>
    <row r="4" spans="1:32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  <c r="L4" s="17"/>
      <c r="M4" s="17"/>
      <c r="N4" s="17"/>
      <c r="O4" s="17"/>
      <c r="P4" s="17"/>
      <c r="Q4" s="17"/>
      <c r="R4" s="17"/>
      <c r="S4" s="28"/>
      <c r="T4" s="205" t="s">
        <v>48</v>
      </c>
      <c r="U4" s="206"/>
      <c r="W4" s="17"/>
      <c r="X4" s="17"/>
      <c r="Y4" s="17"/>
      <c r="Z4" s="17"/>
      <c r="AA4" s="17"/>
      <c r="AB4" s="17"/>
      <c r="AC4" s="17"/>
      <c r="AD4" s="28"/>
      <c r="AE4" s="205" t="s">
        <v>50</v>
      </c>
      <c r="AF4" s="206"/>
    </row>
    <row r="5" spans="1:32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  <c r="L5" s="29" t="s">
        <v>3</v>
      </c>
      <c r="M5" s="18" t="s">
        <v>4</v>
      </c>
      <c r="N5" s="29" t="s">
        <v>3</v>
      </c>
      <c r="O5" s="18" t="s">
        <v>4</v>
      </c>
      <c r="P5" s="29" t="s">
        <v>3</v>
      </c>
      <c r="Q5" s="18" t="s">
        <v>4</v>
      </c>
      <c r="R5" s="29" t="s">
        <v>3</v>
      </c>
      <c r="S5" s="30" t="s">
        <v>4</v>
      </c>
      <c r="T5" s="31" t="s">
        <v>3</v>
      </c>
      <c r="U5" s="32" t="s">
        <v>4</v>
      </c>
      <c r="W5" s="29" t="s">
        <v>3</v>
      </c>
      <c r="X5" s="18" t="s">
        <v>4</v>
      </c>
      <c r="Y5" s="29" t="s">
        <v>3</v>
      </c>
      <c r="Z5" s="18" t="s">
        <v>4</v>
      </c>
      <c r="AA5" s="29" t="s">
        <v>3</v>
      </c>
      <c r="AB5" s="18" t="s">
        <v>4</v>
      </c>
      <c r="AC5" s="29" t="s">
        <v>3</v>
      </c>
      <c r="AD5" s="30" t="s">
        <v>4</v>
      </c>
      <c r="AE5" s="31" t="s">
        <v>3</v>
      </c>
      <c r="AF5" s="32" t="s">
        <v>4</v>
      </c>
    </row>
    <row r="6" spans="1:32" ht="15.75" x14ac:dyDescent="0.25">
      <c r="A6" s="22">
        <v>1</v>
      </c>
      <c r="B6" s="19">
        <v>203.8</v>
      </c>
      <c r="C6" s="22">
        <v>50</v>
      </c>
      <c r="D6" s="19">
        <v>204.2</v>
      </c>
      <c r="E6" s="22">
        <v>99</v>
      </c>
      <c r="F6" s="19">
        <v>201.3</v>
      </c>
      <c r="G6" s="33">
        <v>148</v>
      </c>
      <c r="H6" s="119">
        <v>204.1</v>
      </c>
      <c r="I6" s="34">
        <v>197</v>
      </c>
      <c r="J6" s="19">
        <v>201.5</v>
      </c>
      <c r="L6" s="22">
        <v>1</v>
      </c>
      <c r="M6" s="19">
        <v>203.8</v>
      </c>
      <c r="N6" s="22">
        <v>50</v>
      </c>
      <c r="O6" s="19">
        <v>204.2</v>
      </c>
      <c r="P6" s="22">
        <v>99</v>
      </c>
      <c r="Q6" s="19"/>
      <c r="R6" s="33">
        <v>148</v>
      </c>
      <c r="S6" s="19"/>
      <c r="T6" s="34">
        <v>197</v>
      </c>
      <c r="U6" s="19">
        <v>201.5</v>
      </c>
      <c r="W6" s="22">
        <v>1</v>
      </c>
      <c r="X6" s="19"/>
      <c r="Y6" s="22">
        <v>50</v>
      </c>
      <c r="Z6" s="19"/>
      <c r="AA6" s="22">
        <v>99</v>
      </c>
      <c r="AB6" s="19">
        <v>201.3</v>
      </c>
      <c r="AC6" s="33">
        <v>148</v>
      </c>
      <c r="AD6" s="19">
        <v>204.1</v>
      </c>
      <c r="AE6" s="34">
        <v>197</v>
      </c>
      <c r="AF6" s="19"/>
    </row>
    <row r="7" spans="1:32" ht="15.75" x14ac:dyDescent="0.25">
      <c r="A7" s="22">
        <v>2</v>
      </c>
      <c r="B7" s="19">
        <v>201.8</v>
      </c>
      <c r="C7" s="22">
        <v>51</v>
      </c>
      <c r="D7" s="19">
        <v>200.8</v>
      </c>
      <c r="E7" s="22">
        <v>100</v>
      </c>
      <c r="F7" s="19">
        <v>201.3</v>
      </c>
      <c r="G7" s="33">
        <v>149</v>
      </c>
      <c r="H7" s="119">
        <v>205.6</v>
      </c>
      <c r="I7" s="33">
        <v>198</v>
      </c>
      <c r="J7" s="19">
        <v>195.2</v>
      </c>
      <c r="L7" s="22">
        <v>2</v>
      </c>
      <c r="M7" s="19">
        <v>201.8</v>
      </c>
      <c r="N7" s="22">
        <v>51</v>
      </c>
      <c r="O7" s="19">
        <v>200.8</v>
      </c>
      <c r="P7" s="22">
        <v>100</v>
      </c>
      <c r="Q7" s="19"/>
      <c r="R7" s="33">
        <v>149</v>
      </c>
      <c r="S7" s="19"/>
      <c r="T7" s="33">
        <v>198</v>
      </c>
      <c r="U7" s="19">
        <v>195.2</v>
      </c>
      <c r="W7" s="22">
        <v>2</v>
      </c>
      <c r="X7" s="19"/>
      <c r="Y7" s="22">
        <v>51</v>
      </c>
      <c r="Z7" s="19"/>
      <c r="AA7" s="22">
        <v>100</v>
      </c>
      <c r="AB7" s="19">
        <v>201.3</v>
      </c>
      <c r="AC7" s="33">
        <v>149</v>
      </c>
      <c r="AD7" s="19">
        <v>205.6</v>
      </c>
      <c r="AE7" s="33">
        <v>198</v>
      </c>
      <c r="AF7" s="19"/>
    </row>
    <row r="8" spans="1:32" ht="15.75" x14ac:dyDescent="0.25">
      <c r="A8" s="22">
        <v>3</v>
      </c>
      <c r="B8" s="19">
        <v>202.9</v>
      </c>
      <c r="C8" s="22">
        <v>52</v>
      </c>
      <c r="D8" s="19">
        <v>204.9</v>
      </c>
      <c r="E8" s="22">
        <f t="shared" ref="E8:E54" si="0">+E7+1</f>
        <v>101</v>
      </c>
      <c r="F8" s="19">
        <v>200.1</v>
      </c>
      <c r="G8" s="33">
        <v>150</v>
      </c>
      <c r="H8" s="119">
        <v>202.7</v>
      </c>
      <c r="I8" s="33">
        <v>199</v>
      </c>
      <c r="J8" s="19">
        <v>205.2</v>
      </c>
      <c r="L8" s="22">
        <v>3</v>
      </c>
      <c r="M8" s="19">
        <v>202.9</v>
      </c>
      <c r="N8" s="22">
        <v>52</v>
      </c>
      <c r="O8" s="19">
        <v>204.9</v>
      </c>
      <c r="P8" s="22">
        <f t="shared" ref="P8:P54" si="1">+P7+1</f>
        <v>101</v>
      </c>
      <c r="Q8" s="19"/>
      <c r="R8" s="33">
        <v>150</v>
      </c>
      <c r="S8" s="19"/>
      <c r="T8" s="33">
        <v>199</v>
      </c>
      <c r="U8" s="19">
        <v>205.2</v>
      </c>
      <c r="W8" s="22">
        <v>3</v>
      </c>
      <c r="X8" s="19"/>
      <c r="Y8" s="22">
        <v>52</v>
      </c>
      <c r="Z8" s="19"/>
      <c r="AA8" s="22">
        <f t="shared" ref="AA8:AA54" si="2">+AA7+1</f>
        <v>101</v>
      </c>
      <c r="AB8" s="19">
        <v>200.1</v>
      </c>
      <c r="AC8" s="33">
        <v>150</v>
      </c>
      <c r="AD8" s="19">
        <v>202.7</v>
      </c>
      <c r="AE8" s="33">
        <v>199</v>
      </c>
      <c r="AF8" s="19"/>
    </row>
    <row r="9" spans="1:32" ht="15.75" x14ac:dyDescent="0.25">
      <c r="A9" s="22">
        <v>4</v>
      </c>
      <c r="B9" s="19">
        <v>198.1</v>
      </c>
      <c r="C9" s="22">
        <v>53</v>
      </c>
      <c r="D9" s="19">
        <v>203.5</v>
      </c>
      <c r="E9" s="22">
        <f t="shared" si="0"/>
        <v>102</v>
      </c>
      <c r="F9" s="19">
        <v>205.2</v>
      </c>
      <c r="G9" s="33">
        <v>151</v>
      </c>
      <c r="H9" s="119">
        <v>201.8</v>
      </c>
      <c r="I9" s="33">
        <v>200</v>
      </c>
      <c r="J9" s="19">
        <v>200.3</v>
      </c>
      <c r="L9" s="22">
        <v>4</v>
      </c>
      <c r="M9" s="19">
        <v>198.1</v>
      </c>
      <c r="N9" s="22">
        <v>53</v>
      </c>
      <c r="O9" s="19">
        <v>203.5</v>
      </c>
      <c r="P9" s="22">
        <f t="shared" si="1"/>
        <v>102</v>
      </c>
      <c r="Q9" s="19"/>
      <c r="R9" s="33">
        <v>151</v>
      </c>
      <c r="S9" s="19"/>
      <c r="T9" s="33">
        <v>200</v>
      </c>
      <c r="U9" s="19">
        <v>200.3</v>
      </c>
      <c r="W9" s="22">
        <v>4</v>
      </c>
      <c r="X9" s="19"/>
      <c r="Y9" s="22">
        <v>53</v>
      </c>
      <c r="Z9" s="19"/>
      <c r="AA9" s="22">
        <f t="shared" si="2"/>
        <v>102</v>
      </c>
      <c r="AB9" s="19">
        <v>205.2</v>
      </c>
      <c r="AC9" s="33">
        <v>151</v>
      </c>
      <c r="AD9" s="19">
        <v>201.8</v>
      </c>
      <c r="AE9" s="33">
        <v>200</v>
      </c>
      <c r="AF9" s="19"/>
    </row>
    <row r="10" spans="1:32" ht="15.75" x14ac:dyDescent="0.25">
      <c r="A10" s="22">
        <v>5</v>
      </c>
      <c r="B10" s="19">
        <v>195.4</v>
      </c>
      <c r="C10" s="22">
        <v>54</v>
      </c>
      <c r="D10" s="19">
        <v>196.5</v>
      </c>
      <c r="E10" s="22">
        <f t="shared" si="0"/>
        <v>103</v>
      </c>
      <c r="F10" s="19">
        <v>205.1</v>
      </c>
      <c r="G10" s="33">
        <v>152</v>
      </c>
      <c r="H10" s="119">
        <v>201.4</v>
      </c>
      <c r="I10" s="33">
        <v>201</v>
      </c>
      <c r="J10" s="19">
        <v>201.8</v>
      </c>
      <c r="L10" s="22">
        <v>5</v>
      </c>
      <c r="M10" s="19">
        <v>195.4</v>
      </c>
      <c r="N10" s="22">
        <v>54</v>
      </c>
      <c r="O10" s="19">
        <v>196.5</v>
      </c>
      <c r="P10" s="22">
        <f t="shared" si="1"/>
        <v>103</v>
      </c>
      <c r="Q10" s="19"/>
      <c r="R10" s="33">
        <v>152</v>
      </c>
      <c r="S10" s="19"/>
      <c r="T10" s="33">
        <v>201</v>
      </c>
      <c r="U10" s="19">
        <v>201.8</v>
      </c>
      <c r="W10" s="22">
        <v>5</v>
      </c>
      <c r="X10" s="19"/>
      <c r="Y10" s="22">
        <v>54</v>
      </c>
      <c r="Z10" s="19"/>
      <c r="AA10" s="22">
        <f t="shared" si="2"/>
        <v>103</v>
      </c>
      <c r="AB10" s="19">
        <v>205.1</v>
      </c>
      <c r="AC10" s="33">
        <v>152</v>
      </c>
      <c r="AD10" s="19">
        <v>201.4</v>
      </c>
      <c r="AE10" s="33">
        <v>201</v>
      </c>
      <c r="AF10" s="19"/>
    </row>
    <row r="11" spans="1:32" ht="15.75" x14ac:dyDescent="0.25">
      <c r="A11" s="22">
        <v>6</v>
      </c>
      <c r="B11" s="19">
        <v>198</v>
      </c>
      <c r="C11" s="22">
        <v>55</v>
      </c>
      <c r="D11" s="19">
        <v>201.7</v>
      </c>
      <c r="E11" s="22">
        <f t="shared" si="0"/>
        <v>104</v>
      </c>
      <c r="F11" s="19">
        <v>202.4</v>
      </c>
      <c r="G11" s="33">
        <v>153</v>
      </c>
      <c r="H11" s="119">
        <v>203.9</v>
      </c>
      <c r="I11" s="33">
        <v>202</v>
      </c>
      <c r="J11" s="19">
        <v>202.1</v>
      </c>
      <c r="L11" s="22">
        <v>6</v>
      </c>
      <c r="M11" s="19">
        <v>198</v>
      </c>
      <c r="N11" s="22">
        <v>55</v>
      </c>
      <c r="O11" s="19">
        <v>201.7</v>
      </c>
      <c r="P11" s="22">
        <f t="shared" si="1"/>
        <v>104</v>
      </c>
      <c r="Q11" s="19"/>
      <c r="R11" s="33">
        <v>153</v>
      </c>
      <c r="S11" s="19"/>
      <c r="T11" s="33">
        <v>202</v>
      </c>
      <c r="U11" s="19">
        <v>202.1</v>
      </c>
      <c r="W11" s="22">
        <v>6</v>
      </c>
      <c r="X11" s="19"/>
      <c r="Y11" s="22">
        <v>55</v>
      </c>
      <c r="Z11" s="19"/>
      <c r="AA11" s="22">
        <f t="shared" si="2"/>
        <v>104</v>
      </c>
      <c r="AB11" s="19">
        <v>202.4</v>
      </c>
      <c r="AC11" s="33">
        <v>153</v>
      </c>
      <c r="AD11" s="19">
        <v>203.9</v>
      </c>
      <c r="AE11" s="33">
        <v>202</v>
      </c>
      <c r="AF11" s="19"/>
    </row>
    <row r="12" spans="1:32" ht="15.75" x14ac:dyDescent="0.25">
      <c r="A12" s="22">
        <v>7</v>
      </c>
      <c r="B12" s="19">
        <v>199.8</v>
      </c>
      <c r="C12" s="22">
        <v>56</v>
      </c>
      <c r="D12" s="19">
        <v>199.9</v>
      </c>
      <c r="E12" s="22">
        <f t="shared" si="0"/>
        <v>105</v>
      </c>
      <c r="F12" s="19">
        <v>195.7</v>
      </c>
      <c r="G12" s="33">
        <v>154</v>
      </c>
      <c r="H12" s="119">
        <v>201.2</v>
      </c>
      <c r="I12" s="33">
        <v>203</v>
      </c>
      <c r="J12" s="19">
        <v>200.2</v>
      </c>
      <c r="L12" s="22">
        <v>7</v>
      </c>
      <c r="M12" s="19">
        <v>199.8</v>
      </c>
      <c r="N12" s="22">
        <v>56</v>
      </c>
      <c r="O12" s="19">
        <v>199.9</v>
      </c>
      <c r="P12" s="22">
        <f t="shared" si="1"/>
        <v>105</v>
      </c>
      <c r="Q12" s="19"/>
      <c r="R12" s="33">
        <v>154</v>
      </c>
      <c r="S12" s="19"/>
      <c r="T12" s="33">
        <v>203</v>
      </c>
      <c r="U12" s="19">
        <v>200.2</v>
      </c>
      <c r="W12" s="22">
        <v>7</v>
      </c>
      <c r="X12" s="19"/>
      <c r="Y12" s="22">
        <v>56</v>
      </c>
      <c r="Z12" s="19"/>
      <c r="AA12" s="22">
        <f t="shared" si="2"/>
        <v>105</v>
      </c>
      <c r="AB12" s="19">
        <v>195.7</v>
      </c>
      <c r="AC12" s="33">
        <v>154</v>
      </c>
      <c r="AD12" s="19">
        <v>201.2</v>
      </c>
      <c r="AE12" s="33">
        <v>203</v>
      </c>
      <c r="AF12" s="19"/>
    </row>
    <row r="13" spans="1:32" ht="15.75" x14ac:dyDescent="0.25">
      <c r="A13" s="22">
        <v>8</v>
      </c>
      <c r="B13" s="19">
        <v>201.4</v>
      </c>
      <c r="C13" s="22">
        <v>57</v>
      </c>
      <c r="D13" s="19">
        <v>202.5</v>
      </c>
      <c r="E13" s="22">
        <f t="shared" si="0"/>
        <v>106</v>
      </c>
      <c r="F13" s="19">
        <v>202.5</v>
      </c>
      <c r="G13" s="33">
        <v>155</v>
      </c>
      <c r="H13" s="119">
        <v>204.7</v>
      </c>
      <c r="I13" s="33">
        <v>204</v>
      </c>
      <c r="J13" s="19">
        <v>197.6</v>
      </c>
      <c r="L13" s="22">
        <v>8</v>
      </c>
      <c r="M13" s="19">
        <v>201.4</v>
      </c>
      <c r="N13" s="22">
        <v>57</v>
      </c>
      <c r="O13" s="19">
        <v>202.5</v>
      </c>
      <c r="P13" s="22">
        <f t="shared" si="1"/>
        <v>106</v>
      </c>
      <c r="Q13" s="19">
        <v>202.5</v>
      </c>
      <c r="R13" s="33">
        <v>155</v>
      </c>
      <c r="S13" s="19"/>
      <c r="T13" s="33">
        <v>204</v>
      </c>
      <c r="U13" s="19">
        <v>197.6</v>
      </c>
      <c r="W13" s="22">
        <v>8</v>
      </c>
      <c r="X13" s="19"/>
      <c r="Y13" s="22">
        <v>57</v>
      </c>
      <c r="Z13" s="19"/>
      <c r="AA13" s="22">
        <f t="shared" si="2"/>
        <v>106</v>
      </c>
      <c r="AB13" s="19"/>
      <c r="AC13" s="33">
        <v>155</v>
      </c>
      <c r="AD13" s="19">
        <v>204.7</v>
      </c>
      <c r="AE13" s="33">
        <v>204</v>
      </c>
      <c r="AF13" s="19"/>
    </row>
    <row r="14" spans="1:32" ht="15.75" x14ac:dyDescent="0.25">
      <c r="A14" s="22">
        <v>9</v>
      </c>
      <c r="B14" s="19">
        <v>201</v>
      </c>
      <c r="C14" s="22">
        <v>58</v>
      </c>
      <c r="D14" s="19">
        <v>196.9</v>
      </c>
      <c r="E14" s="22">
        <f t="shared" si="0"/>
        <v>107</v>
      </c>
      <c r="F14" s="19">
        <v>203.9</v>
      </c>
      <c r="G14" s="33">
        <v>156</v>
      </c>
      <c r="H14" s="119">
        <v>205.6</v>
      </c>
      <c r="I14" s="33">
        <v>205</v>
      </c>
      <c r="J14" s="19">
        <v>203.2</v>
      </c>
      <c r="L14" s="22">
        <v>9</v>
      </c>
      <c r="M14" s="19">
        <v>201</v>
      </c>
      <c r="N14" s="22">
        <v>58</v>
      </c>
      <c r="O14" s="19">
        <v>196.9</v>
      </c>
      <c r="P14" s="22">
        <f t="shared" si="1"/>
        <v>107</v>
      </c>
      <c r="Q14" s="19">
        <v>203.9</v>
      </c>
      <c r="R14" s="33">
        <v>156</v>
      </c>
      <c r="S14" s="19"/>
      <c r="T14" s="33">
        <v>205</v>
      </c>
      <c r="U14" s="19">
        <v>203.2</v>
      </c>
      <c r="W14" s="22">
        <v>9</v>
      </c>
      <c r="X14" s="19"/>
      <c r="Y14" s="22">
        <v>58</v>
      </c>
      <c r="Z14" s="19"/>
      <c r="AA14" s="22">
        <f t="shared" si="2"/>
        <v>107</v>
      </c>
      <c r="AB14" s="19"/>
      <c r="AC14" s="33">
        <v>156</v>
      </c>
      <c r="AD14" s="19">
        <v>205.6</v>
      </c>
      <c r="AE14" s="33">
        <v>205</v>
      </c>
      <c r="AF14" s="19"/>
    </row>
    <row r="15" spans="1:32" ht="15.75" x14ac:dyDescent="0.25">
      <c r="A15" s="22">
        <v>10</v>
      </c>
      <c r="B15" s="19">
        <v>202.2</v>
      </c>
      <c r="C15" s="22">
        <v>59</v>
      </c>
      <c r="D15" s="19">
        <v>197.9</v>
      </c>
      <c r="E15" s="22">
        <f t="shared" si="0"/>
        <v>108</v>
      </c>
      <c r="F15" s="19">
        <v>203.7</v>
      </c>
      <c r="G15" s="33">
        <v>157</v>
      </c>
      <c r="H15" s="119">
        <v>203</v>
      </c>
      <c r="I15" s="33">
        <v>206</v>
      </c>
      <c r="J15" s="19">
        <v>205.8</v>
      </c>
      <c r="L15" s="22">
        <v>10</v>
      </c>
      <c r="M15" s="19">
        <v>202.2</v>
      </c>
      <c r="N15" s="22">
        <v>59</v>
      </c>
      <c r="O15" s="19">
        <v>197.9</v>
      </c>
      <c r="P15" s="22">
        <f t="shared" si="1"/>
        <v>108</v>
      </c>
      <c r="Q15" s="19">
        <v>203.7</v>
      </c>
      <c r="R15" s="33">
        <v>157</v>
      </c>
      <c r="S15" s="19"/>
      <c r="T15" s="33">
        <v>206</v>
      </c>
      <c r="U15" s="19">
        <v>205.8</v>
      </c>
      <c r="W15" s="22">
        <v>10</v>
      </c>
      <c r="X15" s="19"/>
      <c r="Y15" s="22">
        <v>59</v>
      </c>
      <c r="Z15" s="19"/>
      <c r="AA15" s="22">
        <f t="shared" si="2"/>
        <v>108</v>
      </c>
      <c r="AB15" s="19"/>
      <c r="AC15" s="33">
        <v>157</v>
      </c>
      <c r="AD15" s="19">
        <v>203</v>
      </c>
      <c r="AE15" s="33">
        <v>206</v>
      </c>
      <c r="AF15" s="19"/>
    </row>
    <row r="16" spans="1:32" ht="15.75" x14ac:dyDescent="0.25">
      <c r="A16" s="22">
        <v>11</v>
      </c>
      <c r="B16" s="19">
        <v>204.2</v>
      </c>
      <c r="C16" s="22">
        <v>60</v>
      </c>
      <c r="D16" s="19">
        <v>196.8</v>
      </c>
      <c r="E16" s="22">
        <f t="shared" si="0"/>
        <v>109</v>
      </c>
      <c r="F16" s="19">
        <v>197.4</v>
      </c>
      <c r="G16" s="33">
        <v>158</v>
      </c>
      <c r="H16" s="119">
        <v>204.1</v>
      </c>
      <c r="I16" s="33">
        <v>207</v>
      </c>
      <c r="J16" s="19">
        <v>201.6</v>
      </c>
      <c r="L16" s="22">
        <v>11</v>
      </c>
      <c r="M16" s="19">
        <v>204.2</v>
      </c>
      <c r="N16" s="22">
        <v>60</v>
      </c>
      <c r="O16" s="19">
        <v>196.8</v>
      </c>
      <c r="P16" s="22">
        <f t="shared" si="1"/>
        <v>109</v>
      </c>
      <c r="Q16" s="19">
        <v>197.4</v>
      </c>
      <c r="R16" s="33">
        <v>158</v>
      </c>
      <c r="S16" s="19"/>
      <c r="T16" s="33">
        <v>207</v>
      </c>
      <c r="U16" s="19">
        <v>201.6</v>
      </c>
      <c r="W16" s="22">
        <v>11</v>
      </c>
      <c r="X16" s="19"/>
      <c r="Y16" s="22">
        <v>60</v>
      </c>
      <c r="Z16" s="19"/>
      <c r="AA16" s="22">
        <f t="shared" si="2"/>
        <v>109</v>
      </c>
      <c r="AB16" s="19"/>
      <c r="AC16" s="33">
        <v>158</v>
      </c>
      <c r="AD16" s="19">
        <v>204.1</v>
      </c>
      <c r="AE16" s="33">
        <v>207</v>
      </c>
      <c r="AF16" s="19"/>
    </row>
    <row r="17" spans="1:32" ht="15.75" x14ac:dyDescent="0.25">
      <c r="A17" s="22">
        <v>12</v>
      </c>
      <c r="B17" s="19">
        <v>206.8</v>
      </c>
      <c r="C17" s="22">
        <v>61</v>
      </c>
      <c r="D17" s="19">
        <v>202.1</v>
      </c>
      <c r="E17" s="22">
        <f t="shared" si="0"/>
        <v>110</v>
      </c>
      <c r="F17" s="19">
        <v>206.3</v>
      </c>
      <c r="G17" s="33">
        <v>159</v>
      </c>
      <c r="H17" s="119">
        <v>197</v>
      </c>
      <c r="I17" s="33">
        <v>208</v>
      </c>
      <c r="J17" s="19">
        <v>207.9</v>
      </c>
      <c r="L17" s="22">
        <v>12</v>
      </c>
      <c r="M17" s="19">
        <v>206.8</v>
      </c>
      <c r="N17" s="22">
        <v>61</v>
      </c>
      <c r="O17" s="19">
        <v>202.1</v>
      </c>
      <c r="P17" s="22">
        <f t="shared" si="1"/>
        <v>110</v>
      </c>
      <c r="Q17" s="19">
        <v>206.3</v>
      </c>
      <c r="R17" s="33">
        <v>159</v>
      </c>
      <c r="S17" s="19"/>
      <c r="T17" s="33">
        <v>208</v>
      </c>
      <c r="U17" s="19">
        <v>207.9</v>
      </c>
      <c r="W17" s="22">
        <v>12</v>
      </c>
      <c r="X17" s="19"/>
      <c r="Y17" s="22">
        <v>61</v>
      </c>
      <c r="Z17" s="19"/>
      <c r="AA17" s="22">
        <f t="shared" si="2"/>
        <v>110</v>
      </c>
      <c r="AB17" s="19"/>
      <c r="AC17" s="33">
        <v>159</v>
      </c>
      <c r="AD17" s="19">
        <v>197</v>
      </c>
      <c r="AE17" s="33">
        <v>208</v>
      </c>
      <c r="AF17" s="19"/>
    </row>
    <row r="18" spans="1:32" ht="15.75" x14ac:dyDescent="0.25">
      <c r="A18" s="22">
        <v>13</v>
      </c>
      <c r="B18" s="19">
        <v>205.1</v>
      </c>
      <c r="C18" s="22">
        <v>62</v>
      </c>
      <c r="D18" s="19">
        <v>199.2</v>
      </c>
      <c r="E18" s="22">
        <f t="shared" si="0"/>
        <v>111</v>
      </c>
      <c r="F18" s="19">
        <v>202.4</v>
      </c>
      <c r="G18" s="33">
        <v>160</v>
      </c>
      <c r="H18" s="119">
        <v>198.8</v>
      </c>
      <c r="I18" s="33">
        <v>209</v>
      </c>
      <c r="J18" s="19">
        <v>201.1</v>
      </c>
      <c r="L18" s="22">
        <v>13</v>
      </c>
      <c r="M18" s="19">
        <v>205.1</v>
      </c>
      <c r="N18" s="22">
        <v>62</v>
      </c>
      <c r="O18" s="19">
        <v>199.2</v>
      </c>
      <c r="P18" s="22">
        <f t="shared" si="1"/>
        <v>111</v>
      </c>
      <c r="Q18" s="19">
        <v>202.4</v>
      </c>
      <c r="R18" s="33">
        <v>160</v>
      </c>
      <c r="S18" s="19"/>
      <c r="T18" s="33">
        <v>209</v>
      </c>
      <c r="U18" s="19">
        <v>201.1</v>
      </c>
      <c r="W18" s="22">
        <v>13</v>
      </c>
      <c r="X18" s="19"/>
      <c r="Y18" s="22">
        <v>62</v>
      </c>
      <c r="Z18" s="19"/>
      <c r="AA18" s="22">
        <f t="shared" si="2"/>
        <v>111</v>
      </c>
      <c r="AB18" s="19"/>
      <c r="AC18" s="33">
        <v>160</v>
      </c>
      <c r="AD18" s="19">
        <v>198.8</v>
      </c>
      <c r="AE18" s="33">
        <v>209</v>
      </c>
      <c r="AF18" s="19"/>
    </row>
    <row r="19" spans="1:32" ht="15.75" x14ac:dyDescent="0.25">
      <c r="A19" s="22">
        <v>14</v>
      </c>
      <c r="B19" s="19">
        <v>204.9</v>
      </c>
      <c r="C19" s="22">
        <v>63</v>
      </c>
      <c r="D19" s="19">
        <v>197.5</v>
      </c>
      <c r="E19" s="22">
        <f t="shared" si="0"/>
        <v>112</v>
      </c>
      <c r="F19" s="19">
        <v>204.7</v>
      </c>
      <c r="G19" s="33">
        <v>161</v>
      </c>
      <c r="H19" s="119">
        <v>199.5</v>
      </c>
      <c r="I19" s="33">
        <v>210</v>
      </c>
      <c r="J19" s="19">
        <v>204.1</v>
      </c>
      <c r="L19" s="22">
        <v>14</v>
      </c>
      <c r="M19" s="19">
        <v>204.9</v>
      </c>
      <c r="N19" s="22">
        <v>63</v>
      </c>
      <c r="O19" s="19">
        <v>197.5</v>
      </c>
      <c r="P19" s="22">
        <f t="shared" si="1"/>
        <v>112</v>
      </c>
      <c r="Q19" s="19">
        <v>204.7</v>
      </c>
      <c r="R19" s="33">
        <v>161</v>
      </c>
      <c r="S19" s="19"/>
      <c r="T19" s="33">
        <v>210</v>
      </c>
      <c r="U19" s="19">
        <v>204.1</v>
      </c>
      <c r="W19" s="22">
        <v>14</v>
      </c>
      <c r="X19" s="19"/>
      <c r="Y19" s="22">
        <v>63</v>
      </c>
      <c r="Z19" s="19"/>
      <c r="AA19" s="22">
        <f t="shared" si="2"/>
        <v>112</v>
      </c>
      <c r="AB19" s="19"/>
      <c r="AC19" s="33">
        <v>161</v>
      </c>
      <c r="AD19" s="19">
        <v>199.5</v>
      </c>
      <c r="AE19" s="33">
        <v>210</v>
      </c>
      <c r="AF19" s="19"/>
    </row>
    <row r="20" spans="1:32" ht="15.75" x14ac:dyDescent="0.25">
      <c r="A20" s="22">
        <v>15</v>
      </c>
      <c r="B20" s="19">
        <v>202.4</v>
      </c>
      <c r="C20" s="22">
        <v>64</v>
      </c>
      <c r="D20" s="19">
        <v>197.8</v>
      </c>
      <c r="E20" s="22">
        <f t="shared" si="0"/>
        <v>113</v>
      </c>
      <c r="F20" s="19">
        <v>199.7</v>
      </c>
      <c r="G20" s="35">
        <v>162</v>
      </c>
      <c r="H20" s="119">
        <v>204.1</v>
      </c>
      <c r="I20" s="33">
        <v>211</v>
      </c>
      <c r="J20" s="19">
        <v>227.8</v>
      </c>
      <c r="L20" s="22">
        <v>15</v>
      </c>
      <c r="M20" s="19">
        <v>202.4</v>
      </c>
      <c r="N20" s="22">
        <v>64</v>
      </c>
      <c r="O20" s="19">
        <v>197.8</v>
      </c>
      <c r="P20" s="22">
        <f t="shared" si="1"/>
        <v>113</v>
      </c>
      <c r="Q20" s="19">
        <v>199.7</v>
      </c>
      <c r="R20" s="35">
        <v>162</v>
      </c>
      <c r="S20" s="19"/>
      <c r="T20" s="33">
        <v>211</v>
      </c>
      <c r="U20" s="19">
        <v>227.8</v>
      </c>
      <c r="W20" s="22">
        <v>15</v>
      </c>
      <c r="X20" s="19"/>
      <c r="Y20" s="22">
        <v>64</v>
      </c>
      <c r="Z20" s="19"/>
      <c r="AA20" s="22">
        <f t="shared" si="2"/>
        <v>113</v>
      </c>
      <c r="AB20" s="19"/>
      <c r="AC20" s="35">
        <v>162</v>
      </c>
      <c r="AD20" s="19">
        <v>204.1</v>
      </c>
      <c r="AE20" s="33">
        <v>211</v>
      </c>
      <c r="AF20" s="19"/>
    </row>
    <row r="21" spans="1:32" ht="15.75" x14ac:dyDescent="0.25">
      <c r="A21" s="22">
        <v>16</v>
      </c>
      <c r="B21" s="19">
        <v>202</v>
      </c>
      <c r="C21" s="22">
        <v>65</v>
      </c>
      <c r="D21" s="19">
        <v>201</v>
      </c>
      <c r="E21" s="22">
        <f t="shared" si="0"/>
        <v>114</v>
      </c>
      <c r="F21" s="19">
        <v>203.5</v>
      </c>
      <c r="G21" s="35">
        <v>163</v>
      </c>
      <c r="H21" s="119">
        <v>201.4</v>
      </c>
      <c r="I21" s="33">
        <v>212</v>
      </c>
      <c r="J21" s="19">
        <v>203.9</v>
      </c>
      <c r="L21" s="22">
        <v>16</v>
      </c>
      <c r="M21" s="19">
        <v>202</v>
      </c>
      <c r="N21" s="22">
        <v>65</v>
      </c>
      <c r="O21" s="19">
        <v>201</v>
      </c>
      <c r="P21" s="22">
        <f t="shared" si="1"/>
        <v>114</v>
      </c>
      <c r="Q21" s="19">
        <v>203.5</v>
      </c>
      <c r="R21" s="35">
        <v>163</v>
      </c>
      <c r="S21" s="19"/>
      <c r="T21" s="33">
        <v>212</v>
      </c>
      <c r="U21" s="19">
        <v>203.9</v>
      </c>
      <c r="W21" s="22">
        <v>16</v>
      </c>
      <c r="X21" s="19"/>
      <c r="Y21" s="22">
        <v>65</v>
      </c>
      <c r="Z21" s="19"/>
      <c r="AA21" s="22">
        <f t="shared" si="2"/>
        <v>114</v>
      </c>
      <c r="AB21" s="19"/>
      <c r="AC21" s="35">
        <v>163</v>
      </c>
      <c r="AD21" s="19">
        <v>201.4</v>
      </c>
      <c r="AE21" s="33">
        <v>212</v>
      </c>
      <c r="AF21" s="19"/>
    </row>
    <row r="22" spans="1:32" ht="15.75" x14ac:dyDescent="0.25">
      <c r="A22" s="22">
        <v>17</v>
      </c>
      <c r="B22" s="19">
        <v>204.8</v>
      </c>
      <c r="C22" s="22">
        <v>66</v>
      </c>
      <c r="D22" s="19">
        <v>206.9</v>
      </c>
      <c r="E22" s="22">
        <f t="shared" si="0"/>
        <v>115</v>
      </c>
      <c r="F22" s="19">
        <v>200.6</v>
      </c>
      <c r="G22" s="35">
        <v>164</v>
      </c>
      <c r="H22" s="119">
        <v>197.9</v>
      </c>
      <c r="I22" s="33">
        <v>213</v>
      </c>
      <c r="J22" s="19">
        <v>201</v>
      </c>
      <c r="L22" s="22">
        <v>17</v>
      </c>
      <c r="M22" s="19">
        <v>204.8</v>
      </c>
      <c r="N22" s="22">
        <v>66</v>
      </c>
      <c r="O22" s="19"/>
      <c r="P22" s="22">
        <f t="shared" si="1"/>
        <v>115</v>
      </c>
      <c r="Q22" s="19">
        <v>200.6</v>
      </c>
      <c r="R22" s="35">
        <v>164</v>
      </c>
      <c r="S22" s="19"/>
      <c r="T22" s="33">
        <v>213</v>
      </c>
      <c r="U22" s="19">
        <v>201</v>
      </c>
      <c r="W22" s="22">
        <v>17</v>
      </c>
      <c r="X22" s="19"/>
      <c r="Y22" s="22">
        <v>66</v>
      </c>
      <c r="Z22" s="19">
        <v>206.9</v>
      </c>
      <c r="AA22" s="22">
        <f t="shared" si="2"/>
        <v>115</v>
      </c>
      <c r="AB22" s="19"/>
      <c r="AC22" s="35">
        <v>164</v>
      </c>
      <c r="AD22" s="19">
        <v>197.9</v>
      </c>
      <c r="AE22" s="33">
        <v>213</v>
      </c>
      <c r="AF22" s="19"/>
    </row>
    <row r="23" spans="1:32" ht="15.75" x14ac:dyDescent="0.25">
      <c r="A23" s="22">
        <v>18</v>
      </c>
      <c r="B23" s="19">
        <v>199.9</v>
      </c>
      <c r="C23" s="22">
        <v>67</v>
      </c>
      <c r="D23" s="19">
        <v>202.9</v>
      </c>
      <c r="E23" s="22">
        <f t="shared" si="0"/>
        <v>116</v>
      </c>
      <c r="F23" s="19">
        <v>203.7</v>
      </c>
      <c r="G23" s="35">
        <v>165</v>
      </c>
      <c r="H23" s="119">
        <v>201.5</v>
      </c>
      <c r="I23" s="33">
        <v>214</v>
      </c>
      <c r="J23" s="19">
        <v>200.6</v>
      </c>
      <c r="L23" s="22">
        <v>18</v>
      </c>
      <c r="M23" s="19">
        <v>199.9</v>
      </c>
      <c r="N23" s="22">
        <v>67</v>
      </c>
      <c r="O23" s="19"/>
      <c r="P23" s="22">
        <f t="shared" si="1"/>
        <v>116</v>
      </c>
      <c r="Q23" s="19">
        <v>203.7</v>
      </c>
      <c r="R23" s="35">
        <v>165</v>
      </c>
      <c r="S23" s="19"/>
      <c r="T23" s="33">
        <v>214</v>
      </c>
      <c r="U23" s="19">
        <v>200.6</v>
      </c>
      <c r="W23" s="22">
        <v>18</v>
      </c>
      <c r="X23" s="19"/>
      <c r="Y23" s="22">
        <v>67</v>
      </c>
      <c r="Z23" s="19">
        <v>202.9</v>
      </c>
      <c r="AA23" s="22">
        <f t="shared" si="2"/>
        <v>116</v>
      </c>
      <c r="AB23" s="19"/>
      <c r="AC23" s="35">
        <v>165</v>
      </c>
      <c r="AD23" s="19">
        <v>201.5</v>
      </c>
      <c r="AE23" s="33">
        <v>214</v>
      </c>
      <c r="AF23" s="19"/>
    </row>
    <row r="24" spans="1:32" ht="15.75" x14ac:dyDescent="0.25">
      <c r="A24" s="22">
        <v>19</v>
      </c>
      <c r="B24" s="19">
        <v>204.9</v>
      </c>
      <c r="C24" s="22">
        <v>68</v>
      </c>
      <c r="D24" s="19">
        <v>197.7</v>
      </c>
      <c r="E24" s="22">
        <f t="shared" si="0"/>
        <v>117</v>
      </c>
      <c r="F24" s="19">
        <v>202.5</v>
      </c>
      <c r="G24" s="35">
        <v>166</v>
      </c>
      <c r="H24" s="119">
        <v>197.9</v>
      </c>
      <c r="I24" s="33">
        <v>215</v>
      </c>
      <c r="J24" s="19">
        <v>208</v>
      </c>
      <c r="L24" s="22">
        <v>19</v>
      </c>
      <c r="M24" s="19">
        <v>204.9</v>
      </c>
      <c r="N24" s="22">
        <v>68</v>
      </c>
      <c r="O24" s="19"/>
      <c r="P24" s="22">
        <f t="shared" si="1"/>
        <v>117</v>
      </c>
      <c r="Q24" s="19">
        <v>202.5</v>
      </c>
      <c r="R24" s="35">
        <v>166</v>
      </c>
      <c r="S24" s="19"/>
      <c r="T24" s="33">
        <v>215</v>
      </c>
      <c r="U24" s="19">
        <v>208</v>
      </c>
      <c r="W24" s="22">
        <v>19</v>
      </c>
      <c r="X24" s="19"/>
      <c r="Y24" s="22">
        <v>68</v>
      </c>
      <c r="Z24" s="19">
        <v>197.7</v>
      </c>
      <c r="AA24" s="22">
        <f t="shared" si="2"/>
        <v>117</v>
      </c>
      <c r="AB24" s="19"/>
      <c r="AC24" s="35">
        <v>166</v>
      </c>
      <c r="AD24" s="19">
        <v>197.9</v>
      </c>
      <c r="AE24" s="33">
        <v>215</v>
      </c>
      <c r="AF24" s="19"/>
    </row>
    <row r="25" spans="1:32" ht="15.75" x14ac:dyDescent="0.25">
      <c r="A25" s="22">
        <v>20</v>
      </c>
      <c r="B25" s="19">
        <v>201.7</v>
      </c>
      <c r="C25" s="22">
        <v>69</v>
      </c>
      <c r="D25" s="19">
        <v>203.4</v>
      </c>
      <c r="E25" s="22">
        <f t="shared" si="0"/>
        <v>118</v>
      </c>
      <c r="F25" s="19">
        <v>199.7</v>
      </c>
      <c r="G25" s="35">
        <v>167</v>
      </c>
      <c r="H25" s="119">
        <v>197.6</v>
      </c>
      <c r="I25" s="33">
        <v>216</v>
      </c>
      <c r="J25" s="19">
        <v>207.9</v>
      </c>
      <c r="L25" s="22">
        <v>20</v>
      </c>
      <c r="M25" s="19">
        <v>201.7</v>
      </c>
      <c r="N25" s="22">
        <v>69</v>
      </c>
      <c r="O25" s="19"/>
      <c r="P25" s="22">
        <f t="shared" si="1"/>
        <v>118</v>
      </c>
      <c r="Q25" s="19">
        <v>199.7</v>
      </c>
      <c r="R25" s="35">
        <v>167</v>
      </c>
      <c r="S25" s="19"/>
      <c r="T25" s="33">
        <v>216</v>
      </c>
      <c r="U25" s="19">
        <v>207.9</v>
      </c>
      <c r="W25" s="22">
        <v>20</v>
      </c>
      <c r="X25" s="19"/>
      <c r="Y25" s="22">
        <v>69</v>
      </c>
      <c r="Z25" s="19">
        <v>203.4</v>
      </c>
      <c r="AA25" s="22">
        <f t="shared" si="2"/>
        <v>118</v>
      </c>
      <c r="AB25" s="19"/>
      <c r="AC25" s="35">
        <v>167</v>
      </c>
      <c r="AD25" s="19">
        <v>197.6</v>
      </c>
      <c r="AE25" s="33">
        <v>216</v>
      </c>
      <c r="AF25" s="19"/>
    </row>
    <row r="26" spans="1:32" ht="15.75" x14ac:dyDescent="0.25">
      <c r="A26" s="22">
        <v>21</v>
      </c>
      <c r="B26" s="19">
        <v>205</v>
      </c>
      <c r="C26" s="22">
        <v>70</v>
      </c>
      <c r="D26" s="19">
        <v>197.1</v>
      </c>
      <c r="E26" s="22">
        <f t="shared" si="0"/>
        <v>119</v>
      </c>
      <c r="F26" s="19">
        <v>204</v>
      </c>
      <c r="G26" s="35">
        <v>168</v>
      </c>
      <c r="H26" s="119">
        <v>202.3</v>
      </c>
      <c r="I26" s="33">
        <v>217</v>
      </c>
      <c r="J26" s="19">
        <v>205.8</v>
      </c>
      <c r="L26" s="22">
        <v>21</v>
      </c>
      <c r="M26" s="19">
        <v>205</v>
      </c>
      <c r="N26" s="22">
        <v>70</v>
      </c>
      <c r="O26" s="19"/>
      <c r="P26" s="22">
        <f t="shared" si="1"/>
        <v>119</v>
      </c>
      <c r="Q26" s="19">
        <v>204</v>
      </c>
      <c r="R26" s="35">
        <v>168</v>
      </c>
      <c r="S26" s="19"/>
      <c r="T26" s="33">
        <v>217</v>
      </c>
      <c r="U26" s="19">
        <v>205.8</v>
      </c>
      <c r="W26" s="22">
        <v>21</v>
      </c>
      <c r="X26" s="19"/>
      <c r="Y26" s="22">
        <v>70</v>
      </c>
      <c r="Z26" s="19">
        <v>197.1</v>
      </c>
      <c r="AA26" s="22">
        <f t="shared" si="2"/>
        <v>119</v>
      </c>
      <c r="AB26" s="19"/>
      <c r="AC26" s="35">
        <v>168</v>
      </c>
      <c r="AD26" s="19">
        <v>202.3</v>
      </c>
      <c r="AE26" s="33">
        <v>217</v>
      </c>
      <c r="AF26" s="19"/>
    </row>
    <row r="27" spans="1:32" ht="15.75" x14ac:dyDescent="0.25">
      <c r="A27" s="22">
        <v>22</v>
      </c>
      <c r="B27" s="19">
        <v>199.5</v>
      </c>
      <c r="C27" s="22">
        <v>71</v>
      </c>
      <c r="D27" s="19">
        <v>202</v>
      </c>
      <c r="E27" s="22">
        <f t="shared" si="0"/>
        <v>120</v>
      </c>
      <c r="F27" s="19">
        <v>200</v>
      </c>
      <c r="G27" s="35">
        <v>169</v>
      </c>
      <c r="H27" s="119">
        <v>201.3</v>
      </c>
      <c r="I27" s="33">
        <v>218</v>
      </c>
      <c r="J27" s="19">
        <v>205.8</v>
      </c>
      <c r="L27" s="22">
        <v>22</v>
      </c>
      <c r="M27" s="19">
        <v>199.5</v>
      </c>
      <c r="N27" s="22">
        <v>71</v>
      </c>
      <c r="O27" s="19"/>
      <c r="P27" s="22">
        <f t="shared" si="1"/>
        <v>120</v>
      </c>
      <c r="Q27" s="19">
        <v>200</v>
      </c>
      <c r="R27" s="35">
        <v>169</v>
      </c>
      <c r="S27" s="19"/>
      <c r="T27" s="33">
        <v>218</v>
      </c>
      <c r="U27" s="19">
        <v>205.8</v>
      </c>
      <c r="W27" s="22">
        <v>22</v>
      </c>
      <c r="X27" s="19"/>
      <c r="Y27" s="22">
        <v>71</v>
      </c>
      <c r="Z27" s="19">
        <v>202</v>
      </c>
      <c r="AA27" s="22">
        <f t="shared" si="2"/>
        <v>120</v>
      </c>
      <c r="AB27" s="19"/>
      <c r="AC27" s="35">
        <v>169</v>
      </c>
      <c r="AD27" s="19">
        <v>201.3</v>
      </c>
      <c r="AE27" s="33">
        <v>218</v>
      </c>
      <c r="AF27" s="19"/>
    </row>
    <row r="28" spans="1:32" ht="15.75" x14ac:dyDescent="0.25">
      <c r="A28" s="22">
        <v>23</v>
      </c>
      <c r="B28" s="19">
        <v>197.8</v>
      </c>
      <c r="C28" s="22">
        <v>72</v>
      </c>
      <c r="D28" s="19">
        <v>198</v>
      </c>
      <c r="E28" s="22">
        <f t="shared" si="0"/>
        <v>121</v>
      </c>
      <c r="F28" s="19">
        <v>199</v>
      </c>
      <c r="G28" s="35">
        <v>170</v>
      </c>
      <c r="H28" s="119">
        <v>203.4</v>
      </c>
      <c r="I28" s="33">
        <v>219</v>
      </c>
      <c r="J28" s="19">
        <v>200.7</v>
      </c>
      <c r="L28" s="22">
        <v>23</v>
      </c>
      <c r="M28" s="19">
        <v>197.8</v>
      </c>
      <c r="N28" s="22">
        <v>72</v>
      </c>
      <c r="O28" s="19"/>
      <c r="P28" s="22">
        <f t="shared" si="1"/>
        <v>121</v>
      </c>
      <c r="Q28" s="19">
        <v>199</v>
      </c>
      <c r="R28" s="35">
        <v>170</v>
      </c>
      <c r="S28" s="19">
        <v>203.4</v>
      </c>
      <c r="T28" s="33">
        <v>219</v>
      </c>
      <c r="U28" s="19">
        <v>200.7</v>
      </c>
      <c r="W28" s="22">
        <v>23</v>
      </c>
      <c r="X28" s="19"/>
      <c r="Y28" s="22">
        <v>72</v>
      </c>
      <c r="Z28" s="19">
        <v>198</v>
      </c>
      <c r="AA28" s="22">
        <f t="shared" si="2"/>
        <v>121</v>
      </c>
      <c r="AB28" s="19"/>
      <c r="AC28" s="35">
        <v>170</v>
      </c>
      <c r="AD28" s="19"/>
      <c r="AE28" s="33">
        <v>219</v>
      </c>
      <c r="AF28" s="19"/>
    </row>
    <row r="29" spans="1:32" ht="15.75" x14ac:dyDescent="0.25">
      <c r="A29" s="22">
        <v>24</v>
      </c>
      <c r="B29" s="19">
        <v>197.5</v>
      </c>
      <c r="C29" s="22">
        <v>73</v>
      </c>
      <c r="D29" s="19">
        <v>201.2</v>
      </c>
      <c r="E29" s="22">
        <f t="shared" si="0"/>
        <v>122</v>
      </c>
      <c r="F29" s="19">
        <v>203.1</v>
      </c>
      <c r="G29" s="35">
        <v>171</v>
      </c>
      <c r="H29" s="119">
        <v>197.7</v>
      </c>
      <c r="I29" s="33">
        <v>220</v>
      </c>
      <c r="J29" s="19">
        <v>202.4</v>
      </c>
      <c r="L29" s="22">
        <v>24</v>
      </c>
      <c r="M29" s="19">
        <v>197.5</v>
      </c>
      <c r="N29" s="22">
        <v>73</v>
      </c>
      <c r="O29" s="19"/>
      <c r="P29" s="22">
        <f t="shared" si="1"/>
        <v>122</v>
      </c>
      <c r="Q29" s="19">
        <v>203.1</v>
      </c>
      <c r="R29" s="35">
        <v>171</v>
      </c>
      <c r="S29" s="19">
        <v>197.7</v>
      </c>
      <c r="T29" s="33">
        <v>220</v>
      </c>
      <c r="U29" s="19">
        <v>202.4</v>
      </c>
      <c r="W29" s="22">
        <v>24</v>
      </c>
      <c r="X29" s="19"/>
      <c r="Y29" s="22">
        <v>73</v>
      </c>
      <c r="Z29" s="19">
        <v>201.2</v>
      </c>
      <c r="AA29" s="22">
        <f t="shared" si="2"/>
        <v>122</v>
      </c>
      <c r="AB29" s="19"/>
      <c r="AC29" s="35">
        <v>171</v>
      </c>
      <c r="AD29" s="19"/>
      <c r="AE29" s="33">
        <v>220</v>
      </c>
      <c r="AF29" s="19"/>
    </row>
    <row r="30" spans="1:32" ht="15.75" x14ac:dyDescent="0.25">
      <c r="A30" s="22">
        <v>25</v>
      </c>
      <c r="B30" s="19">
        <v>201.6</v>
      </c>
      <c r="C30" s="22">
        <v>74</v>
      </c>
      <c r="D30" s="19">
        <v>201.1</v>
      </c>
      <c r="E30" s="22">
        <f t="shared" si="0"/>
        <v>123</v>
      </c>
      <c r="F30" s="19">
        <v>195.2</v>
      </c>
      <c r="G30" s="35">
        <v>172</v>
      </c>
      <c r="H30" s="119">
        <v>198.4</v>
      </c>
      <c r="I30" s="20"/>
      <c r="J30" s="36"/>
      <c r="L30" s="22">
        <v>25</v>
      </c>
      <c r="M30" s="19">
        <v>201.6</v>
      </c>
      <c r="N30" s="22">
        <v>74</v>
      </c>
      <c r="O30" s="19"/>
      <c r="P30" s="22">
        <f t="shared" si="1"/>
        <v>123</v>
      </c>
      <c r="Q30" s="19">
        <v>195.2</v>
      </c>
      <c r="R30" s="35">
        <v>172</v>
      </c>
      <c r="S30" s="19">
        <v>198.4</v>
      </c>
      <c r="T30" s="20"/>
      <c r="U30" s="36"/>
      <c r="W30" s="22">
        <v>25</v>
      </c>
      <c r="X30" s="19"/>
      <c r="Y30" s="22">
        <v>74</v>
      </c>
      <c r="Z30" s="19">
        <v>201.1</v>
      </c>
      <c r="AA30" s="22">
        <f t="shared" si="2"/>
        <v>123</v>
      </c>
      <c r="AB30" s="19"/>
      <c r="AC30" s="35">
        <v>172</v>
      </c>
      <c r="AD30" s="19"/>
      <c r="AE30" s="20"/>
      <c r="AF30" s="36"/>
    </row>
    <row r="31" spans="1:32" ht="15.75" x14ac:dyDescent="0.25">
      <c r="A31" s="22">
        <v>26</v>
      </c>
      <c r="B31" s="19">
        <v>202.2</v>
      </c>
      <c r="C31" s="22">
        <v>75</v>
      </c>
      <c r="D31" s="19">
        <v>202.1</v>
      </c>
      <c r="E31" s="22">
        <f t="shared" si="0"/>
        <v>124</v>
      </c>
      <c r="F31" s="19">
        <v>198</v>
      </c>
      <c r="G31" s="35">
        <v>173</v>
      </c>
      <c r="H31" s="119">
        <v>204.1</v>
      </c>
      <c r="I31" s="20"/>
      <c r="J31" s="36"/>
      <c r="L31" s="22">
        <v>26</v>
      </c>
      <c r="M31" s="19">
        <v>202.2</v>
      </c>
      <c r="N31" s="22">
        <v>75</v>
      </c>
      <c r="O31" s="19"/>
      <c r="P31" s="22">
        <f t="shared" si="1"/>
        <v>124</v>
      </c>
      <c r="Q31" s="19">
        <v>198</v>
      </c>
      <c r="R31" s="35">
        <v>173</v>
      </c>
      <c r="S31" s="19">
        <v>204.1</v>
      </c>
      <c r="T31" s="20"/>
      <c r="U31" s="36"/>
      <c r="W31" s="22">
        <v>26</v>
      </c>
      <c r="X31" s="19"/>
      <c r="Y31" s="22">
        <v>75</v>
      </c>
      <c r="Z31" s="19">
        <v>202.1</v>
      </c>
      <c r="AA31" s="22">
        <f t="shared" si="2"/>
        <v>124</v>
      </c>
      <c r="AB31" s="19"/>
      <c r="AC31" s="35">
        <v>173</v>
      </c>
      <c r="AD31" s="19"/>
      <c r="AE31" s="20"/>
      <c r="AF31" s="36"/>
    </row>
    <row r="32" spans="1:32" ht="15.75" x14ac:dyDescent="0.25">
      <c r="A32" s="22">
        <v>27</v>
      </c>
      <c r="B32" s="19">
        <v>196.2</v>
      </c>
      <c r="C32" s="22">
        <v>76</v>
      </c>
      <c r="D32" s="19">
        <v>202.1</v>
      </c>
      <c r="E32" s="22">
        <f t="shared" si="0"/>
        <v>125</v>
      </c>
      <c r="F32" s="19">
        <v>202.7</v>
      </c>
      <c r="G32" s="33">
        <v>174</v>
      </c>
      <c r="H32" s="119">
        <v>200.8</v>
      </c>
      <c r="I32" s="21"/>
      <c r="J32" s="36"/>
      <c r="L32" s="22">
        <v>27</v>
      </c>
      <c r="M32" s="19">
        <v>196.2</v>
      </c>
      <c r="N32" s="22">
        <v>76</v>
      </c>
      <c r="O32" s="19"/>
      <c r="P32" s="22">
        <f t="shared" si="1"/>
        <v>125</v>
      </c>
      <c r="Q32" s="19">
        <v>202.7</v>
      </c>
      <c r="R32" s="33">
        <v>174</v>
      </c>
      <c r="S32" s="19">
        <v>200.8</v>
      </c>
      <c r="T32" s="21"/>
      <c r="U32" s="36"/>
      <c r="W32" s="22">
        <v>27</v>
      </c>
      <c r="X32" s="19"/>
      <c r="Y32" s="22">
        <v>76</v>
      </c>
      <c r="Z32" s="19">
        <v>202.1</v>
      </c>
      <c r="AA32" s="22">
        <f t="shared" si="2"/>
        <v>125</v>
      </c>
      <c r="AB32" s="19"/>
      <c r="AC32" s="33">
        <v>174</v>
      </c>
      <c r="AD32" s="19"/>
      <c r="AE32" s="21"/>
      <c r="AF32" s="36"/>
    </row>
    <row r="33" spans="1:32" ht="15.75" x14ac:dyDescent="0.25">
      <c r="A33" s="22">
        <v>28</v>
      </c>
      <c r="B33" s="19">
        <v>201.5</v>
      </c>
      <c r="C33" s="22">
        <v>77</v>
      </c>
      <c r="D33" s="19">
        <v>204.9</v>
      </c>
      <c r="E33" s="22">
        <f t="shared" si="0"/>
        <v>126</v>
      </c>
      <c r="F33" s="19">
        <v>202.8</v>
      </c>
      <c r="G33" s="33">
        <v>175</v>
      </c>
      <c r="H33" s="119">
        <v>203.7</v>
      </c>
      <c r="I33" s="20"/>
      <c r="J33" s="36"/>
      <c r="L33" s="22">
        <v>28</v>
      </c>
      <c r="M33" s="19">
        <v>201.5</v>
      </c>
      <c r="N33" s="22">
        <v>77</v>
      </c>
      <c r="O33" s="19"/>
      <c r="P33" s="22">
        <f t="shared" si="1"/>
        <v>126</v>
      </c>
      <c r="Q33" s="19">
        <v>202.8</v>
      </c>
      <c r="R33" s="33">
        <v>175</v>
      </c>
      <c r="S33" s="19">
        <v>203.7</v>
      </c>
      <c r="T33" s="20"/>
      <c r="U33" s="36"/>
      <c r="W33" s="22">
        <v>28</v>
      </c>
      <c r="X33" s="19"/>
      <c r="Y33" s="22">
        <v>77</v>
      </c>
      <c r="Z33" s="19">
        <v>204.9</v>
      </c>
      <c r="AA33" s="22">
        <f t="shared" si="2"/>
        <v>126</v>
      </c>
      <c r="AB33" s="19"/>
      <c r="AC33" s="33">
        <v>175</v>
      </c>
      <c r="AD33" s="19"/>
      <c r="AE33" s="20"/>
      <c r="AF33" s="36"/>
    </row>
    <row r="34" spans="1:32" ht="15.75" x14ac:dyDescent="0.25">
      <c r="A34" s="22">
        <v>29</v>
      </c>
      <c r="B34" s="19">
        <v>201.3</v>
      </c>
      <c r="C34" s="22">
        <v>78</v>
      </c>
      <c r="D34" s="19">
        <v>203</v>
      </c>
      <c r="E34" s="22">
        <f t="shared" si="0"/>
        <v>127</v>
      </c>
      <c r="F34" s="19">
        <v>206.9</v>
      </c>
      <c r="G34" s="33">
        <v>176</v>
      </c>
      <c r="H34" s="119">
        <v>202</v>
      </c>
      <c r="I34" s="20"/>
      <c r="J34" s="36"/>
      <c r="L34" s="22">
        <v>29</v>
      </c>
      <c r="M34" s="19">
        <v>201.3</v>
      </c>
      <c r="N34" s="22">
        <v>78</v>
      </c>
      <c r="O34" s="19"/>
      <c r="P34" s="22">
        <f t="shared" si="1"/>
        <v>127</v>
      </c>
      <c r="Q34" s="19">
        <v>206.9</v>
      </c>
      <c r="R34" s="33">
        <v>176</v>
      </c>
      <c r="S34" s="19">
        <v>202</v>
      </c>
      <c r="T34" s="20"/>
      <c r="U34" s="36"/>
      <c r="W34" s="22">
        <v>29</v>
      </c>
      <c r="X34" s="19"/>
      <c r="Y34" s="22">
        <v>78</v>
      </c>
      <c r="Z34" s="19">
        <v>203</v>
      </c>
      <c r="AA34" s="22">
        <f t="shared" si="2"/>
        <v>127</v>
      </c>
      <c r="AB34" s="19"/>
      <c r="AC34" s="33">
        <v>176</v>
      </c>
      <c r="AD34" s="19"/>
      <c r="AE34" s="20"/>
      <c r="AF34" s="36"/>
    </row>
    <row r="35" spans="1:32" ht="15.75" x14ac:dyDescent="0.25">
      <c r="A35" s="22">
        <v>30</v>
      </c>
      <c r="B35" s="19">
        <v>200.2</v>
      </c>
      <c r="C35" s="22">
        <v>79</v>
      </c>
      <c r="D35" s="19">
        <v>198.6</v>
      </c>
      <c r="E35" s="22">
        <f t="shared" si="0"/>
        <v>128</v>
      </c>
      <c r="F35" s="19">
        <v>203.6</v>
      </c>
      <c r="G35" s="33">
        <v>177</v>
      </c>
      <c r="H35" s="119">
        <v>196.5</v>
      </c>
      <c r="I35" s="21"/>
      <c r="J35" s="36"/>
      <c r="L35" s="22">
        <v>30</v>
      </c>
      <c r="M35" s="19">
        <v>200.2</v>
      </c>
      <c r="N35" s="22">
        <v>79</v>
      </c>
      <c r="O35" s="19"/>
      <c r="P35" s="22">
        <f t="shared" si="1"/>
        <v>128</v>
      </c>
      <c r="Q35" s="19">
        <v>203.6</v>
      </c>
      <c r="R35" s="33">
        <v>177</v>
      </c>
      <c r="S35" s="19">
        <v>196.5</v>
      </c>
      <c r="T35" s="21"/>
      <c r="U35" s="36"/>
      <c r="W35" s="22">
        <v>30</v>
      </c>
      <c r="X35" s="19"/>
      <c r="Y35" s="22">
        <v>79</v>
      </c>
      <c r="Z35" s="19">
        <v>198.6</v>
      </c>
      <c r="AA35" s="22">
        <f t="shared" si="2"/>
        <v>128</v>
      </c>
      <c r="AB35" s="19"/>
      <c r="AC35" s="33">
        <v>177</v>
      </c>
      <c r="AD35" s="19"/>
      <c r="AE35" s="21"/>
      <c r="AF35" s="36"/>
    </row>
    <row r="36" spans="1:32" ht="15.75" x14ac:dyDescent="0.25">
      <c r="A36" s="22">
        <v>31</v>
      </c>
      <c r="B36" s="19">
        <v>198.7</v>
      </c>
      <c r="C36" s="22">
        <v>80</v>
      </c>
      <c r="D36" s="19">
        <v>205.7</v>
      </c>
      <c r="E36" s="22">
        <f t="shared" si="0"/>
        <v>129</v>
      </c>
      <c r="F36" s="19">
        <v>209.3</v>
      </c>
      <c r="G36" s="33">
        <v>178</v>
      </c>
      <c r="H36" s="119">
        <v>198.8</v>
      </c>
      <c r="I36" s="20"/>
      <c r="J36" s="36"/>
      <c r="L36" s="22">
        <v>31</v>
      </c>
      <c r="M36" s="19">
        <v>198.7</v>
      </c>
      <c r="N36" s="22">
        <v>80</v>
      </c>
      <c r="O36" s="19"/>
      <c r="P36" s="22">
        <f t="shared" si="1"/>
        <v>129</v>
      </c>
      <c r="Q36" s="19">
        <v>209.3</v>
      </c>
      <c r="R36" s="33">
        <v>178</v>
      </c>
      <c r="S36" s="19">
        <v>198.8</v>
      </c>
      <c r="T36" s="20"/>
      <c r="U36" s="36"/>
      <c r="W36" s="22">
        <v>31</v>
      </c>
      <c r="X36" s="19"/>
      <c r="Y36" s="22">
        <v>80</v>
      </c>
      <c r="Z36" s="19">
        <v>205.7</v>
      </c>
      <c r="AA36" s="22">
        <f t="shared" si="2"/>
        <v>129</v>
      </c>
      <c r="AB36" s="19"/>
      <c r="AC36" s="33">
        <v>178</v>
      </c>
      <c r="AD36" s="19"/>
      <c r="AE36" s="20"/>
      <c r="AF36" s="36"/>
    </row>
    <row r="37" spans="1:32" ht="15.75" x14ac:dyDescent="0.25">
      <c r="A37" s="22">
        <v>32</v>
      </c>
      <c r="B37" s="19">
        <v>198.9</v>
      </c>
      <c r="C37" s="22">
        <v>81</v>
      </c>
      <c r="D37" s="19">
        <v>201.5</v>
      </c>
      <c r="E37" s="22">
        <f t="shared" si="0"/>
        <v>130</v>
      </c>
      <c r="F37" s="19">
        <v>207.1</v>
      </c>
      <c r="G37" s="33">
        <v>179</v>
      </c>
      <c r="H37" s="119">
        <v>204.3</v>
      </c>
      <c r="I37" s="20"/>
      <c r="J37" s="36"/>
      <c r="L37" s="22">
        <v>32</v>
      </c>
      <c r="M37" s="19">
        <v>198.9</v>
      </c>
      <c r="N37" s="22">
        <v>81</v>
      </c>
      <c r="O37" s="19"/>
      <c r="P37" s="22">
        <f t="shared" si="1"/>
        <v>130</v>
      </c>
      <c r="Q37" s="19">
        <v>207.1</v>
      </c>
      <c r="R37" s="33">
        <v>179</v>
      </c>
      <c r="S37" s="19">
        <v>204.3</v>
      </c>
      <c r="T37" s="20"/>
      <c r="U37" s="36"/>
      <c r="W37" s="22">
        <v>32</v>
      </c>
      <c r="X37" s="19"/>
      <c r="Y37" s="22">
        <v>81</v>
      </c>
      <c r="Z37" s="19">
        <v>201.5</v>
      </c>
      <c r="AA37" s="22">
        <f t="shared" si="2"/>
        <v>130</v>
      </c>
      <c r="AB37" s="19"/>
      <c r="AC37" s="33">
        <v>179</v>
      </c>
      <c r="AD37" s="19"/>
      <c r="AE37" s="20"/>
      <c r="AF37" s="36"/>
    </row>
    <row r="38" spans="1:32" ht="15.75" x14ac:dyDescent="0.25">
      <c r="A38" s="22">
        <v>33</v>
      </c>
      <c r="B38" s="19">
        <v>197.6</v>
      </c>
      <c r="C38" s="22">
        <v>82</v>
      </c>
      <c r="D38" s="19">
        <v>198.8</v>
      </c>
      <c r="E38" s="22">
        <f t="shared" si="0"/>
        <v>131</v>
      </c>
      <c r="F38" s="19">
        <v>215.4</v>
      </c>
      <c r="G38" s="33">
        <v>180</v>
      </c>
      <c r="H38" s="119">
        <v>201.6</v>
      </c>
      <c r="I38" s="21"/>
      <c r="J38" s="36"/>
      <c r="L38" s="22">
        <v>33</v>
      </c>
      <c r="M38" s="19">
        <v>197.6</v>
      </c>
      <c r="N38" s="22">
        <v>82</v>
      </c>
      <c r="O38" s="19"/>
      <c r="P38" s="22">
        <f t="shared" si="1"/>
        <v>131</v>
      </c>
      <c r="Q38" s="19">
        <v>215.4</v>
      </c>
      <c r="R38" s="33">
        <v>180</v>
      </c>
      <c r="S38" s="19">
        <v>201.6</v>
      </c>
      <c r="T38" s="21"/>
      <c r="U38" s="36"/>
      <c r="W38" s="22">
        <v>33</v>
      </c>
      <c r="X38" s="19"/>
      <c r="Y38" s="22">
        <v>82</v>
      </c>
      <c r="Z38" s="19">
        <v>198.8</v>
      </c>
      <c r="AA38" s="22">
        <f t="shared" si="2"/>
        <v>131</v>
      </c>
      <c r="AB38" s="19"/>
      <c r="AC38" s="33">
        <v>180</v>
      </c>
      <c r="AD38" s="19"/>
      <c r="AE38" s="21"/>
      <c r="AF38" s="36"/>
    </row>
    <row r="39" spans="1:32" ht="15.75" x14ac:dyDescent="0.25">
      <c r="A39" s="22">
        <v>34</v>
      </c>
      <c r="B39" s="19">
        <v>207.8</v>
      </c>
      <c r="C39" s="22">
        <v>83</v>
      </c>
      <c r="D39" s="19">
        <v>205.4</v>
      </c>
      <c r="E39" s="22">
        <f t="shared" si="0"/>
        <v>132</v>
      </c>
      <c r="F39" s="19">
        <v>216.2</v>
      </c>
      <c r="G39" s="33">
        <v>181</v>
      </c>
      <c r="H39" s="119">
        <v>196.6</v>
      </c>
      <c r="I39" s="21"/>
      <c r="J39" s="36"/>
      <c r="L39" s="22">
        <v>34</v>
      </c>
      <c r="M39" s="19">
        <v>207.8</v>
      </c>
      <c r="N39" s="22">
        <v>83</v>
      </c>
      <c r="O39" s="19"/>
      <c r="P39" s="22">
        <f t="shared" si="1"/>
        <v>132</v>
      </c>
      <c r="Q39" s="19">
        <v>216.2</v>
      </c>
      <c r="R39" s="33">
        <v>181</v>
      </c>
      <c r="S39" s="19">
        <v>196.6</v>
      </c>
      <c r="T39" s="21"/>
      <c r="U39" s="36"/>
      <c r="W39" s="22">
        <v>34</v>
      </c>
      <c r="X39" s="19"/>
      <c r="Y39" s="22">
        <v>83</v>
      </c>
      <c r="Z39" s="19">
        <v>205.4</v>
      </c>
      <c r="AA39" s="22">
        <f t="shared" si="2"/>
        <v>132</v>
      </c>
      <c r="AB39" s="19"/>
      <c r="AC39" s="33">
        <v>181</v>
      </c>
      <c r="AD39" s="19"/>
      <c r="AE39" s="21"/>
      <c r="AF39" s="36"/>
    </row>
    <row r="40" spans="1:32" ht="15.75" x14ac:dyDescent="0.25">
      <c r="A40" s="22">
        <v>35</v>
      </c>
      <c r="B40" s="19">
        <v>208.9</v>
      </c>
      <c r="C40" s="22">
        <v>84</v>
      </c>
      <c r="D40" s="19">
        <v>204.1</v>
      </c>
      <c r="E40" s="22">
        <f t="shared" si="0"/>
        <v>133</v>
      </c>
      <c r="F40" s="19">
        <v>211.6</v>
      </c>
      <c r="G40" s="33">
        <v>182</v>
      </c>
      <c r="H40" s="119">
        <v>191</v>
      </c>
      <c r="I40" s="20"/>
      <c r="J40" s="36"/>
      <c r="L40" s="22">
        <v>35</v>
      </c>
      <c r="M40" s="19">
        <v>208.9</v>
      </c>
      <c r="N40" s="22">
        <v>84</v>
      </c>
      <c r="O40" s="19"/>
      <c r="P40" s="22">
        <f t="shared" si="1"/>
        <v>133</v>
      </c>
      <c r="Q40" s="19">
        <v>211.6</v>
      </c>
      <c r="R40" s="33">
        <v>182</v>
      </c>
      <c r="S40" s="19">
        <v>191</v>
      </c>
      <c r="T40" s="20"/>
      <c r="U40" s="36"/>
      <c r="W40" s="22">
        <v>35</v>
      </c>
      <c r="X40" s="19"/>
      <c r="Y40" s="22">
        <v>84</v>
      </c>
      <c r="Z40" s="19">
        <v>204.1</v>
      </c>
      <c r="AA40" s="22">
        <f t="shared" si="2"/>
        <v>133</v>
      </c>
      <c r="AB40" s="19"/>
      <c r="AC40" s="33">
        <v>182</v>
      </c>
      <c r="AD40" s="19"/>
      <c r="AE40" s="20"/>
      <c r="AF40" s="36"/>
    </row>
    <row r="41" spans="1:32" ht="15.75" x14ac:dyDescent="0.25">
      <c r="A41" s="22">
        <v>36</v>
      </c>
      <c r="B41" s="19">
        <v>203</v>
      </c>
      <c r="C41" s="22">
        <v>85</v>
      </c>
      <c r="D41" s="19">
        <v>201.8</v>
      </c>
      <c r="E41" s="22">
        <f t="shared" si="0"/>
        <v>134</v>
      </c>
      <c r="F41" s="19">
        <v>216.3</v>
      </c>
      <c r="G41" s="33">
        <v>183</v>
      </c>
      <c r="H41" s="119">
        <v>196.6</v>
      </c>
      <c r="I41" s="20"/>
      <c r="J41" s="36"/>
      <c r="L41" s="22">
        <v>36</v>
      </c>
      <c r="M41" s="19">
        <v>203</v>
      </c>
      <c r="N41" s="22">
        <v>85</v>
      </c>
      <c r="O41" s="19"/>
      <c r="P41" s="22">
        <f t="shared" si="1"/>
        <v>134</v>
      </c>
      <c r="Q41" s="19">
        <v>216.3</v>
      </c>
      <c r="R41" s="33">
        <v>183</v>
      </c>
      <c r="S41" s="19">
        <v>196.6</v>
      </c>
      <c r="T41" s="20"/>
      <c r="U41" s="36"/>
      <c r="W41" s="22">
        <v>36</v>
      </c>
      <c r="X41" s="19"/>
      <c r="Y41" s="22">
        <v>85</v>
      </c>
      <c r="Z41" s="19">
        <v>201.8</v>
      </c>
      <c r="AA41" s="22">
        <f t="shared" si="2"/>
        <v>134</v>
      </c>
      <c r="AB41" s="19"/>
      <c r="AC41" s="33">
        <v>183</v>
      </c>
      <c r="AD41" s="19"/>
      <c r="AE41" s="20"/>
      <c r="AF41" s="36"/>
    </row>
    <row r="42" spans="1:32" ht="15.75" x14ac:dyDescent="0.25">
      <c r="A42" s="22">
        <v>37</v>
      </c>
      <c r="B42" s="19">
        <v>206.1</v>
      </c>
      <c r="C42" s="22">
        <v>86</v>
      </c>
      <c r="D42" s="19">
        <v>202.9</v>
      </c>
      <c r="E42" s="22">
        <f t="shared" si="0"/>
        <v>135</v>
      </c>
      <c r="F42" s="19">
        <v>209.8</v>
      </c>
      <c r="G42" s="33">
        <v>184</v>
      </c>
      <c r="H42" s="119">
        <v>199.1</v>
      </c>
      <c r="I42" s="21"/>
      <c r="J42" s="36"/>
      <c r="L42" s="22">
        <v>37</v>
      </c>
      <c r="M42" s="19">
        <v>206.1</v>
      </c>
      <c r="N42" s="22">
        <v>86</v>
      </c>
      <c r="O42" s="19"/>
      <c r="P42" s="22">
        <f t="shared" si="1"/>
        <v>135</v>
      </c>
      <c r="Q42" s="19">
        <v>209.8</v>
      </c>
      <c r="R42" s="33">
        <v>184</v>
      </c>
      <c r="S42" s="19">
        <v>199.1</v>
      </c>
      <c r="T42" s="21"/>
      <c r="U42" s="36"/>
      <c r="W42" s="22">
        <v>37</v>
      </c>
      <c r="X42" s="19"/>
      <c r="Y42" s="22">
        <v>86</v>
      </c>
      <c r="Z42" s="19">
        <v>202.9</v>
      </c>
      <c r="AA42" s="22">
        <f t="shared" si="2"/>
        <v>135</v>
      </c>
      <c r="AB42" s="19"/>
      <c r="AC42" s="33">
        <v>184</v>
      </c>
      <c r="AD42" s="19"/>
      <c r="AE42" s="21"/>
      <c r="AF42" s="36"/>
    </row>
    <row r="43" spans="1:32" ht="15.75" x14ac:dyDescent="0.25">
      <c r="A43" s="22">
        <v>38</v>
      </c>
      <c r="B43" s="19">
        <v>205.7</v>
      </c>
      <c r="C43" s="22">
        <v>87</v>
      </c>
      <c r="D43" s="19">
        <v>194.8</v>
      </c>
      <c r="E43" s="22">
        <f t="shared" si="0"/>
        <v>136</v>
      </c>
      <c r="F43" s="19">
        <v>202.8</v>
      </c>
      <c r="G43" s="33">
        <v>185</v>
      </c>
      <c r="H43" s="119">
        <v>199.7</v>
      </c>
      <c r="I43" s="20"/>
      <c r="J43" s="36"/>
      <c r="L43" s="22">
        <v>38</v>
      </c>
      <c r="M43" s="19">
        <v>205.7</v>
      </c>
      <c r="N43" s="22">
        <v>87</v>
      </c>
      <c r="O43" s="19"/>
      <c r="P43" s="22">
        <f t="shared" si="1"/>
        <v>136</v>
      </c>
      <c r="Q43" s="19">
        <v>202.8</v>
      </c>
      <c r="R43" s="33">
        <v>185</v>
      </c>
      <c r="S43" s="19">
        <v>199.7</v>
      </c>
      <c r="T43" s="20"/>
      <c r="U43" s="36"/>
      <c r="W43" s="22">
        <v>38</v>
      </c>
      <c r="X43" s="19"/>
      <c r="Y43" s="22">
        <v>87</v>
      </c>
      <c r="Z43" s="19">
        <v>194.8</v>
      </c>
      <c r="AA43" s="22">
        <f t="shared" si="2"/>
        <v>136</v>
      </c>
      <c r="AB43" s="19"/>
      <c r="AC43" s="33">
        <v>185</v>
      </c>
      <c r="AD43" s="19"/>
      <c r="AE43" s="20"/>
      <c r="AF43" s="36"/>
    </row>
    <row r="44" spans="1:32" ht="15.75" x14ac:dyDescent="0.25">
      <c r="A44" s="22">
        <v>39</v>
      </c>
      <c r="B44" s="19">
        <v>204.7</v>
      </c>
      <c r="C44" s="22">
        <v>88</v>
      </c>
      <c r="D44" s="19">
        <v>200.5</v>
      </c>
      <c r="E44" s="22">
        <f t="shared" si="0"/>
        <v>137</v>
      </c>
      <c r="F44" s="19">
        <v>205.5</v>
      </c>
      <c r="G44" s="33">
        <v>186</v>
      </c>
      <c r="H44" s="119">
        <v>198.8</v>
      </c>
      <c r="I44" s="20"/>
      <c r="J44" s="36"/>
      <c r="L44" s="22">
        <v>39</v>
      </c>
      <c r="M44" s="19">
        <v>204.7</v>
      </c>
      <c r="N44" s="22">
        <v>88</v>
      </c>
      <c r="O44" s="19"/>
      <c r="P44" s="22">
        <f t="shared" si="1"/>
        <v>137</v>
      </c>
      <c r="Q44" s="19">
        <v>205.5</v>
      </c>
      <c r="R44" s="33">
        <v>186</v>
      </c>
      <c r="S44" s="19">
        <v>198.8</v>
      </c>
      <c r="T44" s="20"/>
      <c r="U44" s="36"/>
      <c r="W44" s="22">
        <v>39</v>
      </c>
      <c r="X44" s="19"/>
      <c r="Y44" s="22">
        <v>88</v>
      </c>
      <c r="Z44" s="19">
        <v>200.5</v>
      </c>
      <c r="AA44" s="22">
        <f t="shared" si="2"/>
        <v>137</v>
      </c>
      <c r="AB44" s="19"/>
      <c r="AC44" s="33">
        <v>186</v>
      </c>
      <c r="AD44" s="19"/>
      <c r="AE44" s="20"/>
      <c r="AF44" s="36"/>
    </row>
    <row r="45" spans="1:32" ht="15.75" x14ac:dyDescent="0.25">
      <c r="A45" s="22">
        <v>40</v>
      </c>
      <c r="B45" s="19">
        <v>202.6</v>
      </c>
      <c r="C45" s="22">
        <v>89</v>
      </c>
      <c r="D45" s="19">
        <v>202.6</v>
      </c>
      <c r="E45" s="22">
        <f t="shared" si="0"/>
        <v>138</v>
      </c>
      <c r="F45" s="19">
        <v>207.3</v>
      </c>
      <c r="G45" s="33">
        <v>187</v>
      </c>
      <c r="H45" s="119">
        <v>204.1</v>
      </c>
      <c r="I45" s="21"/>
      <c r="J45" s="36"/>
      <c r="L45" s="22">
        <v>40</v>
      </c>
      <c r="M45" s="19">
        <v>202.6</v>
      </c>
      <c r="N45" s="22">
        <v>89</v>
      </c>
      <c r="O45" s="19"/>
      <c r="P45" s="22">
        <f t="shared" si="1"/>
        <v>138</v>
      </c>
      <c r="Q45" s="19">
        <v>207.3</v>
      </c>
      <c r="R45" s="33">
        <v>187</v>
      </c>
      <c r="S45" s="19">
        <v>204.1</v>
      </c>
      <c r="T45" s="21"/>
      <c r="U45" s="36"/>
      <c r="W45" s="22">
        <v>40</v>
      </c>
      <c r="X45" s="19"/>
      <c r="Y45" s="22">
        <v>89</v>
      </c>
      <c r="Z45" s="19">
        <v>202.6</v>
      </c>
      <c r="AA45" s="22">
        <f t="shared" si="2"/>
        <v>138</v>
      </c>
      <c r="AB45" s="19"/>
      <c r="AC45" s="33">
        <v>187</v>
      </c>
      <c r="AD45" s="19"/>
      <c r="AE45" s="21"/>
      <c r="AF45" s="36"/>
    </row>
    <row r="46" spans="1:32" ht="15.75" x14ac:dyDescent="0.25">
      <c r="A46" s="22">
        <v>41</v>
      </c>
      <c r="B46" s="19">
        <v>205.8</v>
      </c>
      <c r="C46" s="22">
        <v>90</v>
      </c>
      <c r="D46" s="19">
        <v>200.9</v>
      </c>
      <c r="E46" s="22">
        <f t="shared" si="0"/>
        <v>139</v>
      </c>
      <c r="F46" s="19">
        <v>214.1</v>
      </c>
      <c r="G46" s="33">
        <v>188</v>
      </c>
      <c r="H46" s="119">
        <v>203.1</v>
      </c>
      <c r="I46" s="20"/>
      <c r="J46" s="36"/>
      <c r="L46" s="22">
        <v>41</v>
      </c>
      <c r="M46" s="19">
        <v>205.8</v>
      </c>
      <c r="N46" s="22">
        <v>90</v>
      </c>
      <c r="O46" s="19"/>
      <c r="P46" s="22">
        <f t="shared" si="1"/>
        <v>139</v>
      </c>
      <c r="Q46" s="19">
        <v>214.1</v>
      </c>
      <c r="R46" s="33">
        <v>188</v>
      </c>
      <c r="S46" s="19">
        <v>203.1</v>
      </c>
      <c r="T46" s="20"/>
      <c r="U46" s="36"/>
      <c r="W46" s="22">
        <v>41</v>
      </c>
      <c r="X46" s="19"/>
      <c r="Y46" s="22">
        <v>90</v>
      </c>
      <c r="Z46" s="19">
        <v>200.9</v>
      </c>
      <c r="AA46" s="22">
        <f t="shared" si="2"/>
        <v>139</v>
      </c>
      <c r="AB46" s="19"/>
      <c r="AC46" s="33">
        <v>188</v>
      </c>
      <c r="AD46" s="19"/>
      <c r="AE46" s="20"/>
      <c r="AF46" s="36"/>
    </row>
    <row r="47" spans="1:32" ht="15.75" x14ac:dyDescent="0.25">
      <c r="A47" s="22">
        <v>42</v>
      </c>
      <c r="B47" s="19">
        <v>202.9</v>
      </c>
      <c r="C47" s="22">
        <v>91</v>
      </c>
      <c r="D47" s="19">
        <v>199.6</v>
      </c>
      <c r="E47" s="22">
        <f t="shared" si="0"/>
        <v>140</v>
      </c>
      <c r="F47" s="19">
        <v>207.1</v>
      </c>
      <c r="G47" s="33">
        <v>189</v>
      </c>
      <c r="H47" s="119">
        <v>198.3</v>
      </c>
      <c r="I47" s="20"/>
      <c r="J47" s="36"/>
      <c r="L47" s="22">
        <v>42</v>
      </c>
      <c r="M47" s="19">
        <v>202.9</v>
      </c>
      <c r="N47" s="22">
        <v>91</v>
      </c>
      <c r="O47" s="19"/>
      <c r="P47" s="22">
        <f t="shared" si="1"/>
        <v>140</v>
      </c>
      <c r="Q47" s="19">
        <v>207.1</v>
      </c>
      <c r="R47" s="33">
        <v>189</v>
      </c>
      <c r="S47" s="19">
        <v>198.3</v>
      </c>
      <c r="T47" s="20"/>
      <c r="U47" s="36"/>
      <c r="W47" s="22">
        <v>42</v>
      </c>
      <c r="X47" s="19"/>
      <c r="Y47" s="22">
        <v>91</v>
      </c>
      <c r="Z47" s="19">
        <v>199.6</v>
      </c>
      <c r="AA47" s="22">
        <f t="shared" si="2"/>
        <v>140</v>
      </c>
      <c r="AB47" s="19"/>
      <c r="AC47" s="33">
        <v>189</v>
      </c>
      <c r="AD47" s="19"/>
      <c r="AE47" s="20"/>
      <c r="AF47" s="36"/>
    </row>
    <row r="48" spans="1:32" ht="15.75" x14ac:dyDescent="0.25">
      <c r="A48" s="22">
        <v>43</v>
      </c>
      <c r="B48" s="19">
        <v>194.2</v>
      </c>
      <c r="C48" s="22">
        <v>92</v>
      </c>
      <c r="D48" s="19">
        <v>197.8</v>
      </c>
      <c r="E48" s="22">
        <f t="shared" si="0"/>
        <v>141</v>
      </c>
      <c r="F48" s="19">
        <v>212.2</v>
      </c>
      <c r="G48" s="33">
        <v>190</v>
      </c>
      <c r="H48" s="119">
        <v>196.7</v>
      </c>
      <c r="I48" s="21"/>
      <c r="J48" s="36"/>
      <c r="L48" s="22">
        <v>43</v>
      </c>
      <c r="M48" s="19">
        <v>194.2</v>
      </c>
      <c r="N48" s="22">
        <v>92</v>
      </c>
      <c r="O48" s="19"/>
      <c r="P48" s="22">
        <f t="shared" si="1"/>
        <v>141</v>
      </c>
      <c r="Q48" s="19">
        <v>212.2</v>
      </c>
      <c r="R48" s="33">
        <v>190</v>
      </c>
      <c r="S48" s="19">
        <v>196.7</v>
      </c>
      <c r="T48" s="21"/>
      <c r="U48" s="36"/>
      <c r="W48" s="22">
        <v>43</v>
      </c>
      <c r="X48" s="19"/>
      <c r="Y48" s="22">
        <v>92</v>
      </c>
      <c r="Z48" s="19">
        <v>197.8</v>
      </c>
      <c r="AA48" s="22">
        <f t="shared" si="2"/>
        <v>141</v>
      </c>
      <c r="AB48" s="19"/>
      <c r="AC48" s="33">
        <v>190</v>
      </c>
      <c r="AD48" s="19"/>
      <c r="AE48" s="21"/>
      <c r="AF48" s="36"/>
    </row>
    <row r="49" spans="1:32" ht="15.75" x14ac:dyDescent="0.25">
      <c r="A49" s="22">
        <v>44</v>
      </c>
      <c r="B49" s="19">
        <v>205.4</v>
      </c>
      <c r="C49" s="22">
        <v>93</v>
      </c>
      <c r="D49" s="19">
        <v>204.8</v>
      </c>
      <c r="E49" s="22">
        <f t="shared" si="0"/>
        <v>142</v>
      </c>
      <c r="F49" s="19">
        <v>209</v>
      </c>
      <c r="G49" s="33">
        <v>191</v>
      </c>
      <c r="H49" s="119">
        <v>201.8</v>
      </c>
      <c r="I49" s="21"/>
      <c r="J49" s="36"/>
      <c r="L49" s="22">
        <v>44</v>
      </c>
      <c r="M49" s="19">
        <v>205.4</v>
      </c>
      <c r="N49" s="22">
        <v>93</v>
      </c>
      <c r="O49" s="19"/>
      <c r="P49" s="22">
        <f t="shared" si="1"/>
        <v>142</v>
      </c>
      <c r="Q49" s="19">
        <v>209</v>
      </c>
      <c r="R49" s="33">
        <v>191</v>
      </c>
      <c r="S49" s="19">
        <v>201.8</v>
      </c>
      <c r="T49" s="21"/>
      <c r="U49" s="36"/>
      <c r="W49" s="22">
        <v>44</v>
      </c>
      <c r="X49" s="19"/>
      <c r="Y49" s="22">
        <v>93</v>
      </c>
      <c r="Z49" s="19">
        <v>204.8</v>
      </c>
      <c r="AA49" s="22">
        <f t="shared" si="2"/>
        <v>142</v>
      </c>
      <c r="AB49" s="19"/>
      <c r="AC49" s="33">
        <v>191</v>
      </c>
      <c r="AD49" s="19"/>
      <c r="AE49" s="21"/>
      <c r="AF49" s="36"/>
    </row>
    <row r="50" spans="1:32" ht="15.75" x14ac:dyDescent="0.25">
      <c r="A50" s="22">
        <v>45</v>
      </c>
      <c r="B50" s="19">
        <v>203.9</v>
      </c>
      <c r="C50" s="22">
        <v>94</v>
      </c>
      <c r="D50" s="19">
        <v>197.9</v>
      </c>
      <c r="E50" s="22">
        <f t="shared" si="0"/>
        <v>143</v>
      </c>
      <c r="F50" s="19">
        <v>214.7</v>
      </c>
      <c r="G50" s="33">
        <v>192</v>
      </c>
      <c r="H50" s="119">
        <v>197.7</v>
      </c>
      <c r="I50" s="20"/>
      <c r="J50" s="36"/>
      <c r="L50" s="22">
        <v>45</v>
      </c>
      <c r="M50" s="19">
        <v>203.9</v>
      </c>
      <c r="N50" s="22">
        <v>94</v>
      </c>
      <c r="O50" s="19"/>
      <c r="P50" s="22">
        <f t="shared" si="1"/>
        <v>143</v>
      </c>
      <c r="Q50" s="19">
        <v>214.7</v>
      </c>
      <c r="R50" s="33">
        <v>192</v>
      </c>
      <c r="S50" s="19">
        <v>197.7</v>
      </c>
      <c r="T50" s="20"/>
      <c r="U50" s="36"/>
      <c r="W50" s="22">
        <v>45</v>
      </c>
      <c r="X50" s="19"/>
      <c r="Y50" s="22">
        <v>94</v>
      </c>
      <c r="Z50" s="19">
        <v>197.9</v>
      </c>
      <c r="AA50" s="22">
        <f t="shared" si="2"/>
        <v>143</v>
      </c>
      <c r="AB50" s="19"/>
      <c r="AC50" s="33">
        <v>192</v>
      </c>
      <c r="AD50" s="19"/>
      <c r="AE50" s="20"/>
      <c r="AF50" s="36"/>
    </row>
    <row r="51" spans="1:32" ht="15.75" x14ac:dyDescent="0.25">
      <c r="A51" s="22">
        <v>46</v>
      </c>
      <c r="B51" s="19">
        <v>204.2</v>
      </c>
      <c r="C51" s="22">
        <v>95</v>
      </c>
      <c r="D51" s="19">
        <v>202.3</v>
      </c>
      <c r="E51" s="22">
        <f t="shared" si="0"/>
        <v>144</v>
      </c>
      <c r="F51" s="19">
        <v>214.1</v>
      </c>
      <c r="G51" s="33">
        <v>193</v>
      </c>
      <c r="H51" s="119">
        <v>200</v>
      </c>
      <c r="I51" s="20"/>
      <c r="J51" s="36"/>
      <c r="L51" s="22">
        <v>46</v>
      </c>
      <c r="M51" s="19">
        <v>204.2</v>
      </c>
      <c r="N51" s="22">
        <v>95</v>
      </c>
      <c r="O51" s="19"/>
      <c r="P51" s="22">
        <f t="shared" si="1"/>
        <v>144</v>
      </c>
      <c r="Q51" s="19">
        <v>214.1</v>
      </c>
      <c r="R51" s="33">
        <v>193</v>
      </c>
      <c r="S51" s="19">
        <v>200</v>
      </c>
      <c r="T51" s="20"/>
      <c r="U51" s="36"/>
      <c r="W51" s="22">
        <v>46</v>
      </c>
      <c r="X51" s="19"/>
      <c r="Y51" s="22">
        <v>95</v>
      </c>
      <c r="Z51" s="19">
        <v>202.3</v>
      </c>
      <c r="AA51" s="22">
        <f t="shared" si="2"/>
        <v>144</v>
      </c>
      <c r="AB51" s="19"/>
      <c r="AC51" s="33">
        <v>193</v>
      </c>
      <c r="AD51" s="19"/>
      <c r="AE51" s="20"/>
      <c r="AF51" s="36"/>
    </row>
    <row r="52" spans="1:32" ht="15.75" x14ac:dyDescent="0.25">
      <c r="A52" s="22">
        <v>47</v>
      </c>
      <c r="B52" s="19">
        <v>200.7</v>
      </c>
      <c r="C52" s="22">
        <v>96</v>
      </c>
      <c r="D52" s="19">
        <v>200.6</v>
      </c>
      <c r="E52" s="22">
        <f t="shared" si="0"/>
        <v>145</v>
      </c>
      <c r="F52" s="19">
        <v>212.7</v>
      </c>
      <c r="G52" s="33">
        <v>194</v>
      </c>
      <c r="H52" s="119">
        <v>204.7</v>
      </c>
      <c r="I52" s="21"/>
      <c r="J52" s="36"/>
      <c r="L52" s="22">
        <v>47</v>
      </c>
      <c r="M52" s="19">
        <v>200.7</v>
      </c>
      <c r="N52" s="22">
        <v>96</v>
      </c>
      <c r="O52" s="19"/>
      <c r="P52" s="22">
        <f t="shared" si="1"/>
        <v>145</v>
      </c>
      <c r="Q52" s="19">
        <v>212.7</v>
      </c>
      <c r="R52" s="33">
        <v>194</v>
      </c>
      <c r="S52" s="19">
        <v>204.7</v>
      </c>
      <c r="T52" s="21"/>
      <c r="U52" s="36"/>
      <c r="W52" s="22">
        <v>47</v>
      </c>
      <c r="X52" s="19"/>
      <c r="Y52" s="22">
        <v>96</v>
      </c>
      <c r="Z52" s="19">
        <v>200.6</v>
      </c>
      <c r="AA52" s="22">
        <f t="shared" si="2"/>
        <v>145</v>
      </c>
      <c r="AB52" s="19"/>
      <c r="AC52" s="33">
        <v>194</v>
      </c>
      <c r="AD52" s="19"/>
      <c r="AE52" s="21"/>
      <c r="AF52" s="36"/>
    </row>
    <row r="53" spans="1:32" ht="15.75" x14ac:dyDescent="0.25">
      <c r="A53" s="22">
        <v>48</v>
      </c>
      <c r="B53" s="19">
        <v>204.9</v>
      </c>
      <c r="C53" s="22">
        <v>97</v>
      </c>
      <c r="D53" s="19">
        <v>201.2</v>
      </c>
      <c r="E53" s="22">
        <f t="shared" si="0"/>
        <v>146</v>
      </c>
      <c r="F53" s="19">
        <v>207.9</v>
      </c>
      <c r="G53" s="33">
        <v>195</v>
      </c>
      <c r="H53" s="119">
        <v>202.5</v>
      </c>
      <c r="I53" s="20"/>
      <c r="J53" s="36"/>
      <c r="L53" s="22">
        <v>48</v>
      </c>
      <c r="M53" s="19">
        <v>204.9</v>
      </c>
      <c r="N53" s="22">
        <v>97</v>
      </c>
      <c r="O53" s="19"/>
      <c r="P53" s="22">
        <f t="shared" si="1"/>
        <v>146</v>
      </c>
      <c r="Q53" s="19"/>
      <c r="R53" s="33">
        <v>195</v>
      </c>
      <c r="S53" s="19">
        <v>202.5</v>
      </c>
      <c r="T53" s="20"/>
      <c r="U53" s="36"/>
      <c r="W53" s="22">
        <v>48</v>
      </c>
      <c r="X53" s="19"/>
      <c r="Y53" s="22">
        <v>97</v>
      </c>
      <c r="Z53" s="19">
        <v>201.2</v>
      </c>
      <c r="AA53" s="22">
        <f t="shared" si="2"/>
        <v>146</v>
      </c>
      <c r="AB53" s="19">
        <v>207.9</v>
      </c>
      <c r="AC53" s="33">
        <v>195</v>
      </c>
      <c r="AD53" s="19"/>
      <c r="AE53" s="20"/>
      <c r="AF53" s="36"/>
    </row>
    <row r="54" spans="1:32" ht="15.75" x14ac:dyDescent="0.25">
      <c r="A54" s="37">
        <v>49</v>
      </c>
      <c r="B54" s="19">
        <v>204.2</v>
      </c>
      <c r="C54" s="37">
        <v>98</v>
      </c>
      <c r="D54" s="19">
        <v>199.5</v>
      </c>
      <c r="E54" s="22">
        <f t="shared" si="0"/>
        <v>147</v>
      </c>
      <c r="F54" s="19">
        <v>204.7</v>
      </c>
      <c r="G54" s="38">
        <v>196</v>
      </c>
      <c r="H54" s="119">
        <v>199.9</v>
      </c>
      <c r="I54" s="39"/>
      <c r="J54" s="40"/>
      <c r="L54" s="37">
        <v>49</v>
      </c>
      <c r="M54" s="19">
        <v>204.2</v>
      </c>
      <c r="N54" s="37">
        <v>98</v>
      </c>
      <c r="O54" s="19"/>
      <c r="P54" s="22">
        <f t="shared" si="1"/>
        <v>147</v>
      </c>
      <c r="Q54" s="19"/>
      <c r="R54" s="38">
        <v>196</v>
      </c>
      <c r="S54" s="19">
        <v>199.9</v>
      </c>
      <c r="T54" s="39"/>
      <c r="U54" s="40"/>
      <c r="W54" s="37">
        <v>49</v>
      </c>
      <c r="X54" s="19"/>
      <c r="Y54" s="37">
        <v>98</v>
      </c>
      <c r="Z54" s="19">
        <v>199.5</v>
      </c>
      <c r="AA54" s="22">
        <f t="shared" si="2"/>
        <v>147</v>
      </c>
      <c r="AB54" s="19">
        <v>204.7</v>
      </c>
      <c r="AC54" s="38">
        <v>196</v>
      </c>
      <c r="AD54" s="19"/>
      <c r="AE54" s="39"/>
      <c r="AF54" s="40"/>
    </row>
    <row r="55" spans="1:32" ht="15.75" x14ac:dyDescent="0.25">
      <c r="A55" s="41"/>
      <c r="B55" s="23">
        <f>SUM(B6:B54)</f>
        <v>9904.1000000000022</v>
      </c>
      <c r="C55" s="23"/>
      <c r="D55" s="23">
        <f>SUM(D6:D54)</f>
        <v>9846.9000000000015</v>
      </c>
      <c r="E55" s="23"/>
      <c r="F55" s="23">
        <f>SUM(F6:F54)</f>
        <v>10054.800000000005</v>
      </c>
      <c r="G55" s="23"/>
      <c r="H55" s="23">
        <f>SUM(H6:H54)</f>
        <v>9839.3000000000029</v>
      </c>
      <c r="I55" s="23"/>
      <c r="J55" s="23">
        <f>SUM(J6:J54)</f>
        <v>4891.5</v>
      </c>
      <c r="L55" s="41"/>
      <c r="M55" s="23">
        <f>SUM(M6:M54)</f>
        <v>9904.1000000000022</v>
      </c>
      <c r="N55" s="23"/>
      <c r="O55" s="23">
        <f>SUM(O6:O54)</f>
        <v>3203.2000000000003</v>
      </c>
      <c r="P55" s="23"/>
      <c r="Q55" s="23">
        <f>SUM(Q6:Q54)</f>
        <v>8231.1000000000022</v>
      </c>
      <c r="R55" s="23"/>
      <c r="S55" s="23">
        <f>SUM(S6:S54)</f>
        <v>5401.9</v>
      </c>
      <c r="T55" s="41"/>
      <c r="U55" s="41">
        <f>SUM(U6:U54)</f>
        <v>4891.5</v>
      </c>
      <c r="W55" s="41"/>
      <c r="X55" s="23">
        <f>SUM(X6:X54)</f>
        <v>0</v>
      </c>
      <c r="Y55" s="23"/>
      <c r="Z55" s="23">
        <f>SUM(Z6:Z54)</f>
        <v>6643.7000000000007</v>
      </c>
      <c r="AA55" s="23"/>
      <c r="AB55" s="23">
        <f>SUM(AB6:AB54)</f>
        <v>1823.7000000000003</v>
      </c>
      <c r="AC55" s="23"/>
      <c r="AD55" s="117">
        <f>SUM(AD6:AD54)</f>
        <v>4437.4000000000005</v>
      </c>
      <c r="AE55" s="41"/>
      <c r="AF55" s="41">
        <f>SUM(AF6:AF54)</f>
        <v>0</v>
      </c>
    </row>
    <row r="56" spans="1:32" ht="15.75" x14ac:dyDescent="0.25">
      <c r="A56" s="42" t="s">
        <v>5</v>
      </c>
      <c r="B56" s="43">
        <f>COUNT(B6:B54,D6:D54,F6:F54,H6:H54,J6:J54)</f>
        <v>220</v>
      </c>
      <c r="C56" s="13" t="s">
        <v>6</v>
      </c>
      <c r="D56" s="44"/>
      <c r="E56" s="45">
        <f>B55+D55+F55+H55+J55</f>
        <v>44536.600000000013</v>
      </c>
      <c r="F56" s="24" t="s">
        <v>7</v>
      </c>
      <c r="G56" s="1">
        <f>B56*2.2</f>
        <v>484.00000000000006</v>
      </c>
      <c r="H56" s="13" t="s">
        <v>8</v>
      </c>
      <c r="I56" s="44"/>
      <c r="J56" s="45">
        <f>E56-G56</f>
        <v>44052.600000000013</v>
      </c>
      <c r="L56" s="42" t="s">
        <v>5</v>
      </c>
      <c r="M56" s="43">
        <f>COUNT(M6:M54,O6:O54,Q6:Q54,S6:S54,U6:U54)</f>
        <v>156</v>
      </c>
      <c r="N56" s="13" t="s">
        <v>6</v>
      </c>
      <c r="O56" s="44"/>
      <c r="P56" s="45">
        <f>M55+O55+Q55+S55+U55</f>
        <v>31631.800000000003</v>
      </c>
      <c r="Q56" s="24" t="s">
        <v>7</v>
      </c>
      <c r="R56" s="1">
        <f>M56*2.2</f>
        <v>343.20000000000005</v>
      </c>
      <c r="S56" s="13" t="s">
        <v>8</v>
      </c>
      <c r="T56" s="44"/>
      <c r="U56" s="45">
        <f>P56-R56</f>
        <v>31288.600000000002</v>
      </c>
      <c r="W56" s="42" t="s">
        <v>5</v>
      </c>
      <c r="X56" s="43">
        <f>COUNT(X6:X54,Z6:Z54,AB6:AB54,AD6:AD54,AF6:AF54)</f>
        <v>64</v>
      </c>
      <c r="Y56" s="13" t="s">
        <v>6</v>
      </c>
      <c r="Z56" s="44"/>
      <c r="AA56" s="45">
        <f>X55+Z55+AB55+AD55+AF55</f>
        <v>12904.800000000003</v>
      </c>
      <c r="AB56" s="24" t="s">
        <v>7</v>
      </c>
      <c r="AC56" s="1">
        <f>X56*2.2</f>
        <v>140.80000000000001</v>
      </c>
      <c r="AD56" s="13" t="s">
        <v>8</v>
      </c>
      <c r="AE56" s="44"/>
      <c r="AF56" s="45">
        <f>AA56-AC56</f>
        <v>12764.000000000004</v>
      </c>
    </row>
    <row r="57" spans="1:32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  <c r="L57" s="42" t="s">
        <v>9</v>
      </c>
      <c r="M57" s="25"/>
      <c r="N57" s="46"/>
      <c r="O57" s="44"/>
      <c r="P57" s="47"/>
      <c r="Q57" s="25"/>
      <c r="R57" s="48"/>
      <c r="S57" s="46"/>
      <c r="T57" s="44"/>
      <c r="U57" s="49"/>
      <c r="W57" s="42" t="s">
        <v>9</v>
      </c>
      <c r="X57" s="25"/>
      <c r="Y57" s="46"/>
      <c r="Z57" s="44"/>
      <c r="AA57" s="47"/>
      <c r="AB57" s="25"/>
      <c r="AC57" s="48"/>
      <c r="AD57" s="46"/>
      <c r="AE57" s="44"/>
      <c r="AF57" s="49"/>
    </row>
    <row r="58" spans="1:32" x14ac:dyDescent="0.25">
      <c r="B58">
        <f>M56+X56</f>
        <v>220</v>
      </c>
      <c r="E58" s="80">
        <f>P56+AA56</f>
        <v>44536.600000000006</v>
      </c>
      <c r="J58" s="80">
        <f>U56+AF56</f>
        <v>44052.600000000006</v>
      </c>
    </row>
    <row r="59" spans="1:32" x14ac:dyDescent="0.25">
      <c r="F59" s="112" t="s">
        <v>61</v>
      </c>
      <c r="G59" s="112">
        <v>2.2000000000000002</v>
      </c>
      <c r="Q59" s="112" t="s">
        <v>61</v>
      </c>
      <c r="R59" s="112">
        <v>2.2000000000000002</v>
      </c>
      <c r="AB59" s="112" t="s">
        <v>61</v>
      </c>
      <c r="AC59" s="112">
        <v>2.2000000000000002</v>
      </c>
    </row>
  </sheetData>
  <protectedRanges>
    <protectedRange password="CCE1" sqref="C6:C54 G6:G54 E6:E54 I6:I29 N6:N54 R6:R54 P6:P54 T6:T29 Y6:Y54 AC6:AC54 AA6:AA54 AE6:AE29" name="Диапазон1_3_1_7_2_1_1_1_1_1_1_1"/>
  </protectedRanges>
  <mergeCells count="6">
    <mergeCell ref="A1:J1"/>
    <mergeCell ref="I4:J4"/>
    <mergeCell ref="L1:U1"/>
    <mergeCell ref="T4:U4"/>
    <mergeCell ref="W1:AF1"/>
    <mergeCell ref="AE4:AF4"/>
  </mergeCells>
  <pageMargins left="0.7" right="0.7" top="0.75" bottom="0.75" header="0.3" footer="0.3"/>
  <pageSetup paperSize="9" scale="83" orientation="portrait" verticalDpi="0" r:id="rId1"/>
  <rowBreaks count="1" manualBreakCount="1">
    <brk id="57" max="16383" man="1"/>
  </rowBreaks>
  <colBreaks count="2" manualBreakCount="2">
    <brk id="10" max="56" man="1"/>
    <brk id="21" max="56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9"/>
  <sheetViews>
    <sheetView topLeftCell="A43" zoomScale="90" zoomScaleNormal="90" workbookViewId="0">
      <selection activeCell="M52" sqref="M52"/>
    </sheetView>
  </sheetViews>
  <sheetFormatPr defaultRowHeight="15" x14ac:dyDescent="0.25"/>
  <cols>
    <col min="11" max="11" width="2.85546875" customWidth="1"/>
    <col min="22" max="22" width="2.42578125" customWidth="1"/>
  </cols>
  <sheetData>
    <row r="1" spans="1:32" ht="18.75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L1" s="204" t="s">
        <v>0</v>
      </c>
      <c r="M1" s="204"/>
      <c r="N1" s="204"/>
      <c r="O1" s="204"/>
      <c r="P1" s="204"/>
      <c r="Q1" s="204"/>
      <c r="R1" s="204"/>
      <c r="S1" s="204"/>
      <c r="T1" s="204"/>
      <c r="U1" s="204"/>
      <c r="W1" s="204" t="s">
        <v>0</v>
      </c>
      <c r="X1" s="204"/>
      <c r="Y1" s="204"/>
      <c r="Z1" s="204"/>
      <c r="AA1" s="204"/>
      <c r="AB1" s="204"/>
      <c r="AC1" s="204"/>
      <c r="AD1" s="204"/>
      <c r="AE1" s="204"/>
      <c r="AF1" s="204"/>
    </row>
    <row r="2" spans="1:32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  <c r="L2" s="13" t="s">
        <v>1</v>
      </c>
      <c r="M2" s="13"/>
      <c r="N2" s="13"/>
      <c r="O2" s="13"/>
      <c r="P2" s="13"/>
      <c r="Q2" s="13"/>
      <c r="R2" s="27"/>
      <c r="S2" s="13"/>
      <c r="T2" s="13"/>
      <c r="U2" s="13"/>
      <c r="W2" s="13" t="s">
        <v>1</v>
      </c>
      <c r="X2" s="13"/>
      <c r="Y2" s="13"/>
      <c r="Z2" s="13"/>
      <c r="AA2" s="13"/>
      <c r="AB2" s="13"/>
      <c r="AC2" s="27"/>
      <c r="AD2" s="13"/>
      <c r="AE2" s="13"/>
      <c r="AF2" s="13"/>
    </row>
    <row r="3" spans="1:32" ht="15.75" x14ac:dyDescent="0.25">
      <c r="A3" s="25" t="s">
        <v>2</v>
      </c>
      <c r="B3" s="27">
        <v>214</v>
      </c>
      <c r="C3" s="14"/>
      <c r="D3" s="15"/>
      <c r="E3" s="16"/>
      <c r="F3" s="16"/>
      <c r="G3" s="16"/>
      <c r="H3" s="16"/>
      <c r="I3" s="16" t="s">
        <v>33</v>
      </c>
      <c r="J3" s="16"/>
      <c r="L3" s="25" t="s">
        <v>2</v>
      </c>
      <c r="M3" s="27">
        <v>214</v>
      </c>
      <c r="N3" s="14"/>
      <c r="O3" s="15"/>
      <c r="P3" s="16"/>
      <c r="Q3" s="16"/>
      <c r="R3" s="16"/>
      <c r="S3" s="16"/>
      <c r="T3" s="16" t="s">
        <v>33</v>
      </c>
      <c r="U3" s="16"/>
      <c r="W3" s="25" t="s">
        <v>2</v>
      </c>
      <c r="X3" s="27">
        <v>214</v>
      </c>
      <c r="Y3" s="14"/>
      <c r="Z3" s="15"/>
      <c r="AA3" s="16"/>
      <c r="AB3" s="16"/>
      <c r="AC3" s="16"/>
      <c r="AD3" s="16"/>
      <c r="AE3" s="16" t="s">
        <v>33</v>
      </c>
      <c r="AF3" s="16"/>
    </row>
    <row r="4" spans="1:32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  <c r="L4" s="17"/>
      <c r="M4" s="17"/>
      <c r="N4" s="17"/>
      <c r="O4" s="17"/>
      <c r="P4" s="17"/>
      <c r="Q4" s="17"/>
      <c r="R4" s="17"/>
      <c r="S4" s="28"/>
      <c r="T4" s="205" t="s">
        <v>48</v>
      </c>
      <c r="U4" s="206"/>
      <c r="W4" s="17"/>
      <c r="X4" s="17"/>
      <c r="Y4" s="17"/>
      <c r="Z4" s="17"/>
      <c r="AA4" s="17"/>
      <c r="AB4" s="17"/>
      <c r="AC4" s="17"/>
      <c r="AD4" s="28"/>
      <c r="AE4" s="205" t="s">
        <v>50</v>
      </c>
      <c r="AF4" s="206"/>
    </row>
    <row r="5" spans="1:32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  <c r="L5" s="29" t="s">
        <v>3</v>
      </c>
      <c r="M5" s="18" t="s">
        <v>4</v>
      </c>
      <c r="N5" s="29" t="s">
        <v>3</v>
      </c>
      <c r="O5" s="18" t="s">
        <v>4</v>
      </c>
      <c r="P5" s="29" t="s">
        <v>3</v>
      </c>
      <c r="Q5" s="18" t="s">
        <v>4</v>
      </c>
      <c r="R5" s="29" t="s">
        <v>3</v>
      </c>
      <c r="S5" s="30" t="s">
        <v>4</v>
      </c>
      <c r="T5" s="31" t="s">
        <v>3</v>
      </c>
      <c r="U5" s="32" t="s">
        <v>4</v>
      </c>
      <c r="W5" s="29" t="s">
        <v>3</v>
      </c>
      <c r="X5" s="18" t="s">
        <v>4</v>
      </c>
      <c r="Y5" s="29" t="s">
        <v>3</v>
      </c>
      <c r="Z5" s="18" t="s">
        <v>4</v>
      </c>
      <c r="AA5" s="29" t="s">
        <v>3</v>
      </c>
      <c r="AB5" s="18" t="s">
        <v>4</v>
      </c>
      <c r="AC5" s="29" t="s">
        <v>3</v>
      </c>
      <c r="AD5" s="30" t="s">
        <v>4</v>
      </c>
      <c r="AE5" s="31" t="s">
        <v>3</v>
      </c>
      <c r="AF5" s="32" t="s">
        <v>4</v>
      </c>
    </row>
    <row r="6" spans="1:32" ht="15.75" x14ac:dyDescent="0.25">
      <c r="A6" s="22">
        <v>1</v>
      </c>
      <c r="B6" s="19">
        <v>195.6</v>
      </c>
      <c r="C6" s="22">
        <v>50</v>
      </c>
      <c r="D6" s="19">
        <v>202.2</v>
      </c>
      <c r="E6" s="22">
        <v>99</v>
      </c>
      <c r="F6" s="19">
        <v>205</v>
      </c>
      <c r="G6" s="33">
        <v>148</v>
      </c>
      <c r="H6" s="19">
        <v>209.8</v>
      </c>
      <c r="I6" s="34">
        <v>197</v>
      </c>
      <c r="J6" s="19">
        <v>207</v>
      </c>
      <c r="L6" s="22">
        <v>1</v>
      </c>
      <c r="M6" s="19">
        <v>195.6</v>
      </c>
      <c r="N6" s="22">
        <v>50</v>
      </c>
      <c r="O6" s="19"/>
      <c r="P6" s="22">
        <v>99</v>
      </c>
      <c r="Q6" s="19">
        <v>205</v>
      </c>
      <c r="R6" s="33">
        <v>148</v>
      </c>
      <c r="S6" s="19">
        <v>209.8</v>
      </c>
      <c r="T6" s="34">
        <v>197</v>
      </c>
      <c r="U6" s="19"/>
      <c r="W6" s="22">
        <v>1</v>
      </c>
      <c r="X6" s="19"/>
      <c r="Y6" s="22">
        <v>50</v>
      </c>
      <c r="Z6" s="19">
        <v>202.2</v>
      </c>
      <c r="AA6" s="22">
        <v>99</v>
      </c>
      <c r="AB6" s="19"/>
      <c r="AC6" s="33">
        <v>148</v>
      </c>
      <c r="AD6" s="19"/>
      <c r="AE6" s="34">
        <v>197</v>
      </c>
      <c r="AF6" s="19">
        <v>207</v>
      </c>
    </row>
    <row r="7" spans="1:32" ht="15.75" x14ac:dyDescent="0.25">
      <c r="A7" s="22">
        <v>2</v>
      </c>
      <c r="B7" s="19">
        <v>198.7</v>
      </c>
      <c r="C7" s="22">
        <v>51</v>
      </c>
      <c r="D7" s="19">
        <v>200.5</v>
      </c>
      <c r="E7" s="22">
        <v>100</v>
      </c>
      <c r="F7" s="19">
        <v>203.9</v>
      </c>
      <c r="G7" s="33">
        <v>149</v>
      </c>
      <c r="H7" s="19">
        <v>205.1</v>
      </c>
      <c r="I7" s="33">
        <v>198</v>
      </c>
      <c r="J7" s="19">
        <v>207.4</v>
      </c>
      <c r="L7" s="22">
        <v>2</v>
      </c>
      <c r="M7" s="19">
        <v>198.7</v>
      </c>
      <c r="N7" s="22">
        <v>51</v>
      </c>
      <c r="O7" s="19"/>
      <c r="P7" s="22">
        <v>100</v>
      </c>
      <c r="Q7" s="19">
        <v>203.9</v>
      </c>
      <c r="R7" s="33">
        <v>149</v>
      </c>
      <c r="S7" s="19">
        <v>205.1</v>
      </c>
      <c r="T7" s="33">
        <v>198</v>
      </c>
      <c r="U7" s="19"/>
      <c r="W7" s="22">
        <v>2</v>
      </c>
      <c r="X7" s="19"/>
      <c r="Y7" s="22">
        <v>51</v>
      </c>
      <c r="Z7" s="19">
        <v>200.5</v>
      </c>
      <c r="AA7" s="22">
        <v>100</v>
      </c>
      <c r="AB7" s="19"/>
      <c r="AC7" s="33">
        <v>149</v>
      </c>
      <c r="AD7" s="19"/>
      <c r="AE7" s="33">
        <v>198</v>
      </c>
      <c r="AF7" s="19">
        <v>207.4</v>
      </c>
    </row>
    <row r="8" spans="1:32" ht="15.75" x14ac:dyDescent="0.25">
      <c r="A8" s="22">
        <v>3</v>
      </c>
      <c r="B8" s="19">
        <v>196.7</v>
      </c>
      <c r="C8" s="22">
        <v>52</v>
      </c>
      <c r="D8" s="19">
        <v>200.9</v>
      </c>
      <c r="E8" s="22">
        <f t="shared" ref="E8:E54" si="0">+E7+1</f>
        <v>101</v>
      </c>
      <c r="F8" s="19">
        <v>198</v>
      </c>
      <c r="G8" s="33">
        <v>150</v>
      </c>
      <c r="H8" s="19">
        <v>199</v>
      </c>
      <c r="I8" s="33">
        <v>199</v>
      </c>
      <c r="J8" s="19">
        <v>202.6</v>
      </c>
      <c r="L8" s="22">
        <v>3</v>
      </c>
      <c r="M8" s="19">
        <v>196.7</v>
      </c>
      <c r="N8" s="22">
        <v>52</v>
      </c>
      <c r="O8" s="19"/>
      <c r="P8" s="22">
        <f t="shared" ref="P8:P54" si="1">+P7+1</f>
        <v>101</v>
      </c>
      <c r="Q8" s="19">
        <v>198</v>
      </c>
      <c r="R8" s="33">
        <v>150</v>
      </c>
      <c r="S8" s="19">
        <v>199</v>
      </c>
      <c r="T8" s="33">
        <v>199</v>
      </c>
      <c r="U8" s="19"/>
      <c r="W8" s="22">
        <v>3</v>
      </c>
      <c r="X8" s="19"/>
      <c r="Y8" s="22">
        <v>52</v>
      </c>
      <c r="Z8" s="19">
        <v>200.9</v>
      </c>
      <c r="AA8" s="22">
        <f t="shared" ref="AA8:AA54" si="2">+AA7+1</f>
        <v>101</v>
      </c>
      <c r="AB8" s="19"/>
      <c r="AC8" s="33">
        <v>150</v>
      </c>
      <c r="AD8" s="19"/>
      <c r="AE8" s="33">
        <v>199</v>
      </c>
      <c r="AF8" s="19">
        <v>202.6</v>
      </c>
    </row>
    <row r="9" spans="1:32" ht="15.75" x14ac:dyDescent="0.25">
      <c r="A9" s="22">
        <v>4</v>
      </c>
      <c r="B9" s="19">
        <v>191</v>
      </c>
      <c r="C9" s="22">
        <v>53</v>
      </c>
      <c r="D9" s="19">
        <v>200.3</v>
      </c>
      <c r="E9" s="22">
        <f t="shared" si="0"/>
        <v>102</v>
      </c>
      <c r="F9" s="19">
        <v>201.6</v>
      </c>
      <c r="G9" s="33">
        <v>151</v>
      </c>
      <c r="H9" s="19">
        <v>201.8</v>
      </c>
      <c r="I9" s="33">
        <v>200</v>
      </c>
      <c r="J9" s="19">
        <v>205.8</v>
      </c>
      <c r="L9" s="22">
        <v>4</v>
      </c>
      <c r="M9" s="19">
        <v>191</v>
      </c>
      <c r="N9" s="22">
        <v>53</v>
      </c>
      <c r="O9" s="19"/>
      <c r="P9" s="22">
        <f t="shared" si="1"/>
        <v>102</v>
      </c>
      <c r="Q9" s="19">
        <v>201.6</v>
      </c>
      <c r="R9" s="33">
        <v>151</v>
      </c>
      <c r="S9" s="19">
        <v>201.8</v>
      </c>
      <c r="T9" s="33">
        <v>200</v>
      </c>
      <c r="U9" s="19"/>
      <c r="W9" s="22">
        <v>4</v>
      </c>
      <c r="X9" s="19"/>
      <c r="Y9" s="22">
        <v>53</v>
      </c>
      <c r="Z9" s="19">
        <v>200.3</v>
      </c>
      <c r="AA9" s="22">
        <f t="shared" si="2"/>
        <v>102</v>
      </c>
      <c r="AB9" s="19"/>
      <c r="AC9" s="33">
        <v>151</v>
      </c>
      <c r="AD9" s="19"/>
      <c r="AE9" s="33">
        <v>200</v>
      </c>
      <c r="AF9" s="19">
        <v>205.8</v>
      </c>
    </row>
    <row r="10" spans="1:32" ht="15.75" x14ac:dyDescent="0.25">
      <c r="A10" s="22">
        <v>5</v>
      </c>
      <c r="B10" s="19">
        <v>195.8</v>
      </c>
      <c r="C10" s="22">
        <v>54</v>
      </c>
      <c r="D10" s="19">
        <v>202</v>
      </c>
      <c r="E10" s="22">
        <f t="shared" si="0"/>
        <v>103</v>
      </c>
      <c r="F10" s="19">
        <v>204</v>
      </c>
      <c r="G10" s="33">
        <v>152</v>
      </c>
      <c r="H10" s="19">
        <v>200.9</v>
      </c>
      <c r="I10" s="33">
        <v>201</v>
      </c>
      <c r="J10" s="19">
        <v>205.3</v>
      </c>
      <c r="L10" s="22">
        <v>5</v>
      </c>
      <c r="M10" s="19">
        <v>195.8</v>
      </c>
      <c r="N10" s="22">
        <v>54</v>
      </c>
      <c r="O10" s="19"/>
      <c r="P10" s="22">
        <f t="shared" si="1"/>
        <v>103</v>
      </c>
      <c r="Q10" s="19">
        <v>204</v>
      </c>
      <c r="R10" s="33">
        <v>152</v>
      </c>
      <c r="S10" s="19">
        <v>200.9</v>
      </c>
      <c r="T10" s="33">
        <v>201</v>
      </c>
      <c r="U10" s="19"/>
      <c r="W10" s="22">
        <v>5</v>
      </c>
      <c r="X10" s="19"/>
      <c r="Y10" s="22">
        <v>54</v>
      </c>
      <c r="Z10" s="19">
        <v>202</v>
      </c>
      <c r="AA10" s="22">
        <f t="shared" si="2"/>
        <v>103</v>
      </c>
      <c r="AB10" s="19"/>
      <c r="AC10" s="33">
        <v>152</v>
      </c>
      <c r="AD10" s="19"/>
      <c r="AE10" s="33">
        <v>201</v>
      </c>
      <c r="AF10" s="19">
        <v>205.3</v>
      </c>
    </row>
    <row r="11" spans="1:32" ht="15.75" x14ac:dyDescent="0.25">
      <c r="A11" s="22">
        <v>6</v>
      </c>
      <c r="B11" s="19">
        <v>191.8</v>
      </c>
      <c r="C11" s="22">
        <v>55</v>
      </c>
      <c r="D11" s="19">
        <v>199.8</v>
      </c>
      <c r="E11" s="22">
        <f t="shared" si="0"/>
        <v>104</v>
      </c>
      <c r="F11" s="19">
        <v>207.3</v>
      </c>
      <c r="G11" s="33">
        <v>153</v>
      </c>
      <c r="H11" s="19">
        <v>200.9</v>
      </c>
      <c r="I11" s="33">
        <v>202</v>
      </c>
      <c r="J11" s="19">
        <v>197.6</v>
      </c>
      <c r="L11" s="22">
        <v>6</v>
      </c>
      <c r="M11" s="19">
        <v>191.8</v>
      </c>
      <c r="N11" s="22">
        <v>55</v>
      </c>
      <c r="O11" s="19"/>
      <c r="P11" s="22">
        <f t="shared" si="1"/>
        <v>104</v>
      </c>
      <c r="Q11" s="19">
        <v>207.3</v>
      </c>
      <c r="R11" s="33">
        <v>153</v>
      </c>
      <c r="S11" s="19">
        <v>200.9</v>
      </c>
      <c r="T11" s="33">
        <v>202</v>
      </c>
      <c r="U11" s="19"/>
      <c r="W11" s="22">
        <v>6</v>
      </c>
      <c r="X11" s="19"/>
      <c r="Y11" s="22">
        <v>55</v>
      </c>
      <c r="Z11" s="19">
        <v>199.8</v>
      </c>
      <c r="AA11" s="22">
        <f t="shared" si="2"/>
        <v>104</v>
      </c>
      <c r="AB11" s="19"/>
      <c r="AC11" s="33">
        <v>153</v>
      </c>
      <c r="AD11" s="19"/>
      <c r="AE11" s="33">
        <v>202</v>
      </c>
      <c r="AF11" s="19">
        <v>197.6</v>
      </c>
    </row>
    <row r="12" spans="1:32" ht="15.75" x14ac:dyDescent="0.25">
      <c r="A12" s="22">
        <v>7</v>
      </c>
      <c r="B12" s="19">
        <v>201.7</v>
      </c>
      <c r="C12" s="22">
        <v>56</v>
      </c>
      <c r="D12" s="19">
        <v>200.3</v>
      </c>
      <c r="E12" s="22">
        <f t="shared" si="0"/>
        <v>105</v>
      </c>
      <c r="F12" s="19">
        <v>201.2</v>
      </c>
      <c r="G12" s="33">
        <v>154</v>
      </c>
      <c r="H12" s="19">
        <v>201.7</v>
      </c>
      <c r="I12" s="33">
        <v>203</v>
      </c>
      <c r="J12" s="19">
        <v>202.4</v>
      </c>
      <c r="L12" s="22">
        <v>7</v>
      </c>
      <c r="M12" s="19">
        <v>201.7</v>
      </c>
      <c r="N12" s="22">
        <v>56</v>
      </c>
      <c r="O12" s="19"/>
      <c r="P12" s="22">
        <f t="shared" si="1"/>
        <v>105</v>
      </c>
      <c r="Q12" s="19">
        <v>201.2</v>
      </c>
      <c r="R12" s="33">
        <v>154</v>
      </c>
      <c r="S12" s="19">
        <v>201.7</v>
      </c>
      <c r="T12" s="33">
        <v>203</v>
      </c>
      <c r="U12" s="19"/>
      <c r="W12" s="22">
        <v>7</v>
      </c>
      <c r="X12" s="19"/>
      <c r="Y12" s="22">
        <v>56</v>
      </c>
      <c r="Z12" s="19">
        <v>200.3</v>
      </c>
      <c r="AA12" s="22">
        <f t="shared" si="2"/>
        <v>105</v>
      </c>
      <c r="AB12" s="19"/>
      <c r="AC12" s="33">
        <v>154</v>
      </c>
      <c r="AD12" s="19"/>
      <c r="AE12" s="33">
        <v>203</v>
      </c>
      <c r="AF12" s="19">
        <v>202.4</v>
      </c>
    </row>
    <row r="13" spans="1:32" ht="15.75" x14ac:dyDescent="0.25">
      <c r="A13" s="22">
        <v>8</v>
      </c>
      <c r="B13" s="19">
        <v>198.6</v>
      </c>
      <c r="C13" s="22">
        <v>57</v>
      </c>
      <c r="D13" s="19">
        <v>199.7</v>
      </c>
      <c r="E13" s="22">
        <f t="shared" si="0"/>
        <v>106</v>
      </c>
      <c r="F13" s="19">
        <v>199</v>
      </c>
      <c r="G13" s="33">
        <v>155</v>
      </c>
      <c r="H13" s="19">
        <v>199.2</v>
      </c>
      <c r="I13" s="33">
        <v>204</v>
      </c>
      <c r="J13" s="19">
        <v>193.6</v>
      </c>
      <c r="L13" s="22">
        <v>8</v>
      </c>
      <c r="M13" s="19">
        <v>198.6</v>
      </c>
      <c r="N13" s="22">
        <v>57</v>
      </c>
      <c r="O13" s="19"/>
      <c r="P13" s="22">
        <f t="shared" si="1"/>
        <v>106</v>
      </c>
      <c r="Q13" s="19">
        <v>199</v>
      </c>
      <c r="R13" s="33">
        <v>155</v>
      </c>
      <c r="S13" s="19">
        <v>199.2</v>
      </c>
      <c r="T13" s="33">
        <v>204</v>
      </c>
      <c r="U13" s="19"/>
      <c r="W13" s="22">
        <v>8</v>
      </c>
      <c r="X13" s="19"/>
      <c r="Y13" s="22">
        <v>57</v>
      </c>
      <c r="Z13" s="19">
        <v>199.7</v>
      </c>
      <c r="AA13" s="22">
        <f t="shared" si="2"/>
        <v>106</v>
      </c>
      <c r="AB13" s="19"/>
      <c r="AC13" s="33">
        <v>155</v>
      </c>
      <c r="AD13" s="19"/>
      <c r="AE13" s="33">
        <v>204</v>
      </c>
      <c r="AF13" s="19">
        <v>193.6</v>
      </c>
    </row>
    <row r="14" spans="1:32" ht="15.75" x14ac:dyDescent="0.25">
      <c r="A14" s="22">
        <v>9</v>
      </c>
      <c r="B14" s="19">
        <v>202</v>
      </c>
      <c r="C14" s="22">
        <v>58</v>
      </c>
      <c r="D14" s="19">
        <v>199</v>
      </c>
      <c r="E14" s="22">
        <f t="shared" si="0"/>
        <v>107</v>
      </c>
      <c r="F14" s="19">
        <v>200.9</v>
      </c>
      <c r="G14" s="33">
        <v>156</v>
      </c>
      <c r="H14" s="19">
        <v>199.2</v>
      </c>
      <c r="I14" s="33">
        <v>205</v>
      </c>
      <c r="J14" s="19">
        <v>197.5</v>
      </c>
      <c r="L14" s="22">
        <v>9</v>
      </c>
      <c r="M14" s="19">
        <v>202</v>
      </c>
      <c r="N14" s="22">
        <v>58</v>
      </c>
      <c r="O14" s="19"/>
      <c r="P14" s="22">
        <f t="shared" si="1"/>
        <v>107</v>
      </c>
      <c r="Q14" s="19">
        <v>200.9</v>
      </c>
      <c r="R14" s="33">
        <v>156</v>
      </c>
      <c r="S14" s="19">
        <v>199.2</v>
      </c>
      <c r="T14" s="33">
        <v>205</v>
      </c>
      <c r="U14" s="19"/>
      <c r="W14" s="22">
        <v>9</v>
      </c>
      <c r="X14" s="19"/>
      <c r="Y14" s="22">
        <v>58</v>
      </c>
      <c r="Z14" s="19">
        <v>199</v>
      </c>
      <c r="AA14" s="22">
        <f t="shared" si="2"/>
        <v>107</v>
      </c>
      <c r="AB14" s="19"/>
      <c r="AC14" s="33">
        <v>156</v>
      </c>
      <c r="AD14" s="19"/>
      <c r="AE14" s="33">
        <v>205</v>
      </c>
      <c r="AF14" s="19">
        <v>197.5</v>
      </c>
    </row>
    <row r="15" spans="1:32" ht="15.75" x14ac:dyDescent="0.25">
      <c r="A15" s="22">
        <v>10</v>
      </c>
      <c r="B15" s="19">
        <v>204.3</v>
      </c>
      <c r="C15" s="22">
        <v>59</v>
      </c>
      <c r="D15" s="19">
        <v>201.1</v>
      </c>
      <c r="E15" s="22">
        <f t="shared" si="0"/>
        <v>108</v>
      </c>
      <c r="F15" s="19">
        <v>199.9</v>
      </c>
      <c r="G15" s="33">
        <v>157</v>
      </c>
      <c r="H15" s="19">
        <v>198.4</v>
      </c>
      <c r="I15" s="33">
        <v>206</v>
      </c>
      <c r="J15" s="19">
        <v>207.7</v>
      </c>
      <c r="L15" s="22">
        <v>10</v>
      </c>
      <c r="M15" s="19">
        <v>204.3</v>
      </c>
      <c r="N15" s="22">
        <v>59</v>
      </c>
      <c r="O15" s="19"/>
      <c r="P15" s="22">
        <f t="shared" si="1"/>
        <v>108</v>
      </c>
      <c r="Q15" s="19">
        <v>199.9</v>
      </c>
      <c r="R15" s="33">
        <v>157</v>
      </c>
      <c r="S15" s="19">
        <v>198.4</v>
      </c>
      <c r="T15" s="33">
        <v>206</v>
      </c>
      <c r="U15" s="19"/>
      <c r="W15" s="22">
        <v>10</v>
      </c>
      <c r="X15" s="19"/>
      <c r="Y15" s="22">
        <v>59</v>
      </c>
      <c r="Z15" s="19">
        <v>201.1</v>
      </c>
      <c r="AA15" s="22">
        <f t="shared" si="2"/>
        <v>108</v>
      </c>
      <c r="AB15" s="19"/>
      <c r="AC15" s="33">
        <v>157</v>
      </c>
      <c r="AD15" s="19"/>
      <c r="AE15" s="33">
        <v>206</v>
      </c>
      <c r="AF15" s="19">
        <v>207.7</v>
      </c>
    </row>
    <row r="16" spans="1:32" ht="15.75" x14ac:dyDescent="0.25">
      <c r="A16" s="22">
        <v>11</v>
      </c>
      <c r="B16" s="19">
        <v>198.5</v>
      </c>
      <c r="C16" s="22">
        <v>60</v>
      </c>
      <c r="D16" s="19">
        <v>203.4</v>
      </c>
      <c r="E16" s="22">
        <f t="shared" si="0"/>
        <v>109</v>
      </c>
      <c r="F16" s="19">
        <v>200.4</v>
      </c>
      <c r="G16" s="33">
        <v>158</v>
      </c>
      <c r="H16" s="19">
        <v>200.8</v>
      </c>
      <c r="I16" s="33">
        <v>207</v>
      </c>
      <c r="J16" s="19">
        <v>202.7</v>
      </c>
      <c r="L16" s="22">
        <v>11</v>
      </c>
      <c r="M16" s="19">
        <v>198.5</v>
      </c>
      <c r="N16" s="22">
        <v>60</v>
      </c>
      <c r="O16" s="19"/>
      <c r="P16" s="22">
        <f t="shared" si="1"/>
        <v>109</v>
      </c>
      <c r="Q16" s="19">
        <v>200.4</v>
      </c>
      <c r="R16" s="33">
        <v>158</v>
      </c>
      <c r="S16" s="19">
        <v>200.8</v>
      </c>
      <c r="T16" s="33">
        <v>207</v>
      </c>
      <c r="U16" s="19"/>
      <c r="W16" s="22">
        <v>11</v>
      </c>
      <c r="X16" s="19"/>
      <c r="Y16" s="22">
        <v>60</v>
      </c>
      <c r="Z16" s="19">
        <v>203.4</v>
      </c>
      <c r="AA16" s="22">
        <f t="shared" si="2"/>
        <v>109</v>
      </c>
      <c r="AB16" s="19"/>
      <c r="AC16" s="33">
        <v>158</v>
      </c>
      <c r="AD16" s="19"/>
      <c r="AE16" s="33">
        <v>207</v>
      </c>
      <c r="AF16" s="19">
        <v>202.7</v>
      </c>
    </row>
    <row r="17" spans="1:32" ht="15.75" x14ac:dyDescent="0.25">
      <c r="A17" s="22">
        <v>12</v>
      </c>
      <c r="B17" s="19">
        <v>198.9</v>
      </c>
      <c r="C17" s="22">
        <v>61</v>
      </c>
      <c r="D17" s="19">
        <v>199.4</v>
      </c>
      <c r="E17" s="22">
        <f t="shared" si="0"/>
        <v>110</v>
      </c>
      <c r="F17" s="19">
        <v>200.9</v>
      </c>
      <c r="G17" s="33">
        <v>159</v>
      </c>
      <c r="H17" s="19">
        <v>198.3</v>
      </c>
      <c r="I17" s="33">
        <v>208</v>
      </c>
      <c r="J17" s="19">
        <v>195.8</v>
      </c>
      <c r="L17" s="22">
        <v>12</v>
      </c>
      <c r="M17" s="19">
        <v>198.9</v>
      </c>
      <c r="N17" s="22">
        <v>61</v>
      </c>
      <c r="O17" s="19"/>
      <c r="P17" s="22">
        <f t="shared" si="1"/>
        <v>110</v>
      </c>
      <c r="Q17" s="19">
        <v>200.9</v>
      </c>
      <c r="R17" s="33">
        <v>159</v>
      </c>
      <c r="S17" s="19">
        <v>198.3</v>
      </c>
      <c r="T17" s="33">
        <v>208</v>
      </c>
      <c r="U17" s="19"/>
      <c r="W17" s="22">
        <v>12</v>
      </c>
      <c r="X17" s="19"/>
      <c r="Y17" s="22">
        <v>61</v>
      </c>
      <c r="Z17" s="19">
        <v>199.4</v>
      </c>
      <c r="AA17" s="22">
        <f t="shared" si="2"/>
        <v>110</v>
      </c>
      <c r="AB17" s="19"/>
      <c r="AC17" s="33">
        <v>159</v>
      </c>
      <c r="AD17" s="19"/>
      <c r="AE17" s="33">
        <v>208</v>
      </c>
      <c r="AF17" s="19">
        <v>195.8</v>
      </c>
    </row>
    <row r="18" spans="1:32" ht="15.75" x14ac:dyDescent="0.25">
      <c r="A18" s="22">
        <v>13</v>
      </c>
      <c r="B18" s="19">
        <v>199</v>
      </c>
      <c r="C18" s="22">
        <v>62</v>
      </c>
      <c r="D18" s="19">
        <v>196.7</v>
      </c>
      <c r="E18" s="22">
        <f t="shared" si="0"/>
        <v>111</v>
      </c>
      <c r="F18" s="19">
        <v>202.4</v>
      </c>
      <c r="G18" s="33">
        <v>160</v>
      </c>
      <c r="H18" s="19">
        <v>192.1</v>
      </c>
      <c r="I18" s="33">
        <v>209</v>
      </c>
      <c r="J18" s="19">
        <v>199.6</v>
      </c>
      <c r="L18" s="22">
        <v>13</v>
      </c>
      <c r="M18" s="19">
        <v>199</v>
      </c>
      <c r="N18" s="22">
        <v>62</v>
      </c>
      <c r="O18" s="19"/>
      <c r="P18" s="22">
        <f t="shared" si="1"/>
        <v>111</v>
      </c>
      <c r="Q18" s="19">
        <v>202.4</v>
      </c>
      <c r="R18" s="33">
        <v>160</v>
      </c>
      <c r="S18" s="19">
        <v>192.1</v>
      </c>
      <c r="T18" s="33">
        <v>209</v>
      </c>
      <c r="U18" s="19"/>
      <c r="W18" s="22">
        <v>13</v>
      </c>
      <c r="X18" s="19"/>
      <c r="Y18" s="22">
        <v>62</v>
      </c>
      <c r="Z18" s="19">
        <v>196.7</v>
      </c>
      <c r="AA18" s="22">
        <f t="shared" si="2"/>
        <v>111</v>
      </c>
      <c r="AB18" s="19"/>
      <c r="AC18" s="33">
        <v>160</v>
      </c>
      <c r="AD18" s="19"/>
      <c r="AE18" s="33">
        <v>209</v>
      </c>
      <c r="AF18" s="19">
        <v>199.6</v>
      </c>
    </row>
    <row r="19" spans="1:32" ht="15.75" x14ac:dyDescent="0.25">
      <c r="A19" s="22">
        <v>14</v>
      </c>
      <c r="B19" s="19">
        <v>203</v>
      </c>
      <c r="C19" s="22">
        <v>63</v>
      </c>
      <c r="D19" s="19">
        <v>198</v>
      </c>
      <c r="E19" s="22">
        <f t="shared" si="0"/>
        <v>112</v>
      </c>
      <c r="F19" s="19">
        <v>198.2</v>
      </c>
      <c r="G19" s="33">
        <v>161</v>
      </c>
      <c r="H19" s="19">
        <v>198.9</v>
      </c>
      <c r="I19" s="33">
        <v>210</v>
      </c>
      <c r="J19" s="19">
        <v>194.4</v>
      </c>
      <c r="L19" s="22">
        <v>14</v>
      </c>
      <c r="M19" s="19">
        <v>203</v>
      </c>
      <c r="N19" s="22">
        <v>63</v>
      </c>
      <c r="O19" s="19"/>
      <c r="P19" s="22">
        <f t="shared" si="1"/>
        <v>112</v>
      </c>
      <c r="Q19" s="19">
        <v>198.2</v>
      </c>
      <c r="R19" s="33">
        <v>161</v>
      </c>
      <c r="S19" s="19">
        <v>198.9</v>
      </c>
      <c r="T19" s="33">
        <v>210</v>
      </c>
      <c r="U19" s="19"/>
      <c r="W19" s="22">
        <v>14</v>
      </c>
      <c r="X19" s="19"/>
      <c r="Y19" s="22">
        <v>63</v>
      </c>
      <c r="Z19" s="19">
        <v>198</v>
      </c>
      <c r="AA19" s="22">
        <f t="shared" si="2"/>
        <v>112</v>
      </c>
      <c r="AB19" s="19"/>
      <c r="AC19" s="33">
        <v>161</v>
      </c>
      <c r="AD19" s="19"/>
      <c r="AE19" s="33">
        <v>210</v>
      </c>
      <c r="AF19" s="19">
        <v>194.4</v>
      </c>
    </row>
    <row r="20" spans="1:32" ht="15.75" x14ac:dyDescent="0.25">
      <c r="A20" s="22">
        <v>15</v>
      </c>
      <c r="B20" s="19">
        <v>197.1</v>
      </c>
      <c r="C20" s="22">
        <v>64</v>
      </c>
      <c r="D20" s="19">
        <v>204.5</v>
      </c>
      <c r="E20" s="22">
        <f t="shared" si="0"/>
        <v>113</v>
      </c>
      <c r="F20" s="19">
        <v>206.5</v>
      </c>
      <c r="G20" s="35">
        <v>162</v>
      </c>
      <c r="H20" s="19">
        <v>196.3</v>
      </c>
      <c r="I20" s="33">
        <v>211</v>
      </c>
      <c r="J20" s="19">
        <v>200.9</v>
      </c>
      <c r="L20" s="22">
        <v>15</v>
      </c>
      <c r="M20" s="19">
        <v>197.1</v>
      </c>
      <c r="N20" s="22">
        <v>64</v>
      </c>
      <c r="O20" s="19"/>
      <c r="P20" s="22">
        <f t="shared" si="1"/>
        <v>113</v>
      </c>
      <c r="Q20" s="19">
        <v>206.5</v>
      </c>
      <c r="R20" s="35">
        <v>162</v>
      </c>
      <c r="S20" s="19">
        <v>196.3</v>
      </c>
      <c r="T20" s="33">
        <v>211</v>
      </c>
      <c r="U20" s="19"/>
      <c r="W20" s="22">
        <v>15</v>
      </c>
      <c r="X20" s="19"/>
      <c r="Y20" s="22">
        <v>64</v>
      </c>
      <c r="Z20" s="19">
        <v>204.5</v>
      </c>
      <c r="AA20" s="22">
        <f t="shared" si="2"/>
        <v>113</v>
      </c>
      <c r="AB20" s="19"/>
      <c r="AC20" s="35">
        <v>162</v>
      </c>
      <c r="AD20" s="19"/>
      <c r="AE20" s="33">
        <v>211</v>
      </c>
      <c r="AF20" s="19">
        <v>200.9</v>
      </c>
    </row>
    <row r="21" spans="1:32" ht="15.75" x14ac:dyDescent="0.25">
      <c r="A21" s="22">
        <v>16</v>
      </c>
      <c r="B21" s="19">
        <v>195.3</v>
      </c>
      <c r="C21" s="22">
        <v>65</v>
      </c>
      <c r="D21" s="19">
        <v>199.5</v>
      </c>
      <c r="E21" s="22">
        <f t="shared" si="0"/>
        <v>114</v>
      </c>
      <c r="F21" s="19">
        <v>202.4</v>
      </c>
      <c r="G21" s="35">
        <v>163</v>
      </c>
      <c r="H21" s="19">
        <v>195.6</v>
      </c>
      <c r="I21" s="33">
        <v>212</v>
      </c>
      <c r="J21" s="19">
        <v>200.4</v>
      </c>
      <c r="L21" s="22">
        <v>16</v>
      </c>
      <c r="M21" s="19">
        <v>195.3</v>
      </c>
      <c r="N21" s="22">
        <v>65</v>
      </c>
      <c r="O21" s="19"/>
      <c r="P21" s="22">
        <f t="shared" si="1"/>
        <v>114</v>
      </c>
      <c r="Q21" s="19">
        <v>202.4</v>
      </c>
      <c r="R21" s="35">
        <v>163</v>
      </c>
      <c r="S21" s="19">
        <v>195.6</v>
      </c>
      <c r="T21" s="33">
        <v>212</v>
      </c>
      <c r="U21" s="19"/>
      <c r="W21" s="22">
        <v>16</v>
      </c>
      <c r="X21" s="19"/>
      <c r="Y21" s="22">
        <v>65</v>
      </c>
      <c r="Z21" s="19">
        <v>199.5</v>
      </c>
      <c r="AA21" s="22">
        <f t="shared" si="2"/>
        <v>114</v>
      </c>
      <c r="AB21" s="19"/>
      <c r="AC21" s="35">
        <v>163</v>
      </c>
      <c r="AD21" s="19"/>
      <c r="AE21" s="33">
        <v>212</v>
      </c>
      <c r="AF21" s="19">
        <v>200.4</v>
      </c>
    </row>
    <row r="22" spans="1:32" ht="15.75" x14ac:dyDescent="0.25">
      <c r="A22" s="22">
        <v>17</v>
      </c>
      <c r="B22" s="19">
        <v>194.9</v>
      </c>
      <c r="C22" s="22">
        <v>66</v>
      </c>
      <c r="D22" s="19">
        <v>201.7</v>
      </c>
      <c r="E22" s="22">
        <f t="shared" si="0"/>
        <v>115</v>
      </c>
      <c r="F22" s="19">
        <v>196.7</v>
      </c>
      <c r="G22" s="35">
        <v>164</v>
      </c>
      <c r="H22" s="19">
        <v>198.7</v>
      </c>
      <c r="I22" s="33">
        <v>213</v>
      </c>
      <c r="J22" s="19">
        <v>196.6</v>
      </c>
      <c r="L22" s="22">
        <v>17</v>
      </c>
      <c r="M22" s="19">
        <v>194.9</v>
      </c>
      <c r="N22" s="22">
        <v>66</v>
      </c>
      <c r="O22" s="19"/>
      <c r="P22" s="22">
        <f t="shared" si="1"/>
        <v>115</v>
      </c>
      <c r="Q22" s="19">
        <v>196.7</v>
      </c>
      <c r="R22" s="35">
        <v>164</v>
      </c>
      <c r="S22" s="19">
        <v>198.7</v>
      </c>
      <c r="T22" s="33">
        <v>213</v>
      </c>
      <c r="U22" s="19"/>
      <c r="W22" s="22">
        <v>17</v>
      </c>
      <c r="X22" s="19"/>
      <c r="Y22" s="22">
        <v>66</v>
      </c>
      <c r="Z22" s="19">
        <v>201.7</v>
      </c>
      <c r="AA22" s="22">
        <f t="shared" si="2"/>
        <v>115</v>
      </c>
      <c r="AB22" s="19"/>
      <c r="AC22" s="35">
        <v>164</v>
      </c>
      <c r="AD22" s="19"/>
      <c r="AE22" s="33">
        <v>213</v>
      </c>
      <c r="AF22" s="19">
        <v>196.6</v>
      </c>
    </row>
    <row r="23" spans="1:32" ht="15.75" x14ac:dyDescent="0.25">
      <c r="A23" s="22">
        <v>18</v>
      </c>
      <c r="B23" s="19">
        <v>198.8</v>
      </c>
      <c r="C23" s="22">
        <v>67</v>
      </c>
      <c r="D23" s="19">
        <v>200.8</v>
      </c>
      <c r="E23" s="22">
        <f t="shared" si="0"/>
        <v>116</v>
      </c>
      <c r="F23" s="19">
        <v>201.9</v>
      </c>
      <c r="G23" s="35">
        <v>165</v>
      </c>
      <c r="H23" s="19">
        <v>194</v>
      </c>
      <c r="I23" s="33">
        <v>214</v>
      </c>
      <c r="J23" s="19">
        <v>217.8</v>
      </c>
      <c r="L23" s="22">
        <v>18</v>
      </c>
      <c r="M23" s="19">
        <v>198.8</v>
      </c>
      <c r="N23" s="22">
        <v>67</v>
      </c>
      <c r="O23" s="19"/>
      <c r="P23" s="22">
        <f t="shared" si="1"/>
        <v>116</v>
      </c>
      <c r="Q23" s="19">
        <v>201.9</v>
      </c>
      <c r="R23" s="35">
        <v>165</v>
      </c>
      <c r="S23" s="19">
        <v>194</v>
      </c>
      <c r="T23" s="33">
        <v>214</v>
      </c>
      <c r="U23" s="19"/>
      <c r="W23" s="22">
        <v>18</v>
      </c>
      <c r="X23" s="19"/>
      <c r="Y23" s="22">
        <v>67</v>
      </c>
      <c r="Z23" s="19">
        <v>200.8</v>
      </c>
      <c r="AA23" s="22">
        <f t="shared" si="2"/>
        <v>116</v>
      </c>
      <c r="AB23" s="19"/>
      <c r="AC23" s="35">
        <v>165</v>
      </c>
      <c r="AD23" s="19"/>
      <c r="AE23" s="33">
        <v>214</v>
      </c>
      <c r="AF23" s="19">
        <v>217.8</v>
      </c>
    </row>
    <row r="24" spans="1:32" ht="15.75" x14ac:dyDescent="0.25">
      <c r="A24" s="22">
        <v>19</v>
      </c>
      <c r="B24" s="19">
        <v>197.2</v>
      </c>
      <c r="C24" s="22">
        <v>68</v>
      </c>
      <c r="D24" s="19">
        <v>201.5</v>
      </c>
      <c r="E24" s="22">
        <f t="shared" si="0"/>
        <v>117</v>
      </c>
      <c r="F24" s="19">
        <v>196.7</v>
      </c>
      <c r="G24" s="35">
        <v>166</v>
      </c>
      <c r="H24" s="19">
        <v>197.6</v>
      </c>
      <c r="I24" s="33">
        <v>215</v>
      </c>
      <c r="J24" s="19">
        <v>197</v>
      </c>
      <c r="L24" s="22">
        <v>19</v>
      </c>
      <c r="M24" s="19">
        <v>197.2</v>
      </c>
      <c r="N24" s="22">
        <v>68</v>
      </c>
      <c r="O24" s="19"/>
      <c r="P24" s="22">
        <f t="shared" si="1"/>
        <v>117</v>
      </c>
      <c r="Q24" s="19">
        <v>196.7</v>
      </c>
      <c r="R24" s="35">
        <v>166</v>
      </c>
      <c r="S24" s="19">
        <v>197.6</v>
      </c>
      <c r="T24" s="33">
        <v>215</v>
      </c>
      <c r="U24" s="19"/>
      <c r="W24" s="22">
        <v>19</v>
      </c>
      <c r="X24" s="19"/>
      <c r="Y24" s="22">
        <v>68</v>
      </c>
      <c r="Z24" s="19">
        <v>201.5</v>
      </c>
      <c r="AA24" s="22">
        <f t="shared" si="2"/>
        <v>117</v>
      </c>
      <c r="AB24" s="19"/>
      <c r="AC24" s="35">
        <v>166</v>
      </c>
      <c r="AD24" s="19"/>
      <c r="AE24" s="33">
        <v>215</v>
      </c>
      <c r="AF24" s="19">
        <v>197</v>
      </c>
    </row>
    <row r="25" spans="1:32" ht="15.75" x14ac:dyDescent="0.25">
      <c r="A25" s="22">
        <v>20</v>
      </c>
      <c r="B25" s="19">
        <v>200.3</v>
      </c>
      <c r="C25" s="22">
        <v>69</v>
      </c>
      <c r="D25" s="19">
        <v>198.7</v>
      </c>
      <c r="E25" s="22">
        <f t="shared" si="0"/>
        <v>118</v>
      </c>
      <c r="F25" s="19">
        <v>195</v>
      </c>
      <c r="G25" s="35">
        <v>167</v>
      </c>
      <c r="H25" s="19">
        <v>203.7</v>
      </c>
      <c r="I25" s="33">
        <v>216</v>
      </c>
      <c r="J25" s="19">
        <v>200</v>
      </c>
      <c r="L25" s="22">
        <v>20</v>
      </c>
      <c r="M25" s="19">
        <v>200.3</v>
      </c>
      <c r="N25" s="22">
        <v>69</v>
      </c>
      <c r="O25" s="19"/>
      <c r="P25" s="22">
        <f t="shared" si="1"/>
        <v>118</v>
      </c>
      <c r="Q25" s="19">
        <v>195</v>
      </c>
      <c r="R25" s="35">
        <v>167</v>
      </c>
      <c r="S25" s="19">
        <v>203.7</v>
      </c>
      <c r="T25" s="33">
        <v>216</v>
      </c>
      <c r="U25" s="19"/>
      <c r="W25" s="22">
        <v>20</v>
      </c>
      <c r="X25" s="19"/>
      <c r="Y25" s="22">
        <v>69</v>
      </c>
      <c r="Z25" s="19">
        <v>198.7</v>
      </c>
      <c r="AA25" s="22">
        <f t="shared" si="2"/>
        <v>118</v>
      </c>
      <c r="AB25" s="19"/>
      <c r="AC25" s="35">
        <v>167</v>
      </c>
      <c r="AD25" s="19"/>
      <c r="AE25" s="33">
        <v>216</v>
      </c>
      <c r="AF25" s="19">
        <v>200</v>
      </c>
    </row>
    <row r="26" spans="1:32" ht="15.75" x14ac:dyDescent="0.25">
      <c r="A26" s="22">
        <v>21</v>
      </c>
      <c r="B26" s="19">
        <v>195.3</v>
      </c>
      <c r="C26" s="22">
        <v>70</v>
      </c>
      <c r="D26" s="19">
        <v>198.5</v>
      </c>
      <c r="E26" s="22">
        <f t="shared" si="0"/>
        <v>119</v>
      </c>
      <c r="F26" s="19">
        <v>197.1</v>
      </c>
      <c r="G26" s="35">
        <v>168</v>
      </c>
      <c r="H26" s="19">
        <v>205.4</v>
      </c>
      <c r="I26" s="33">
        <v>217</v>
      </c>
      <c r="J26" s="19">
        <v>196.2</v>
      </c>
      <c r="L26" s="22">
        <v>21</v>
      </c>
      <c r="M26" s="19">
        <v>195.3</v>
      </c>
      <c r="N26" s="22">
        <v>70</v>
      </c>
      <c r="O26" s="19"/>
      <c r="P26" s="22">
        <f t="shared" si="1"/>
        <v>119</v>
      </c>
      <c r="Q26" s="19">
        <v>197.1</v>
      </c>
      <c r="R26" s="35">
        <v>168</v>
      </c>
      <c r="S26" s="19">
        <v>205.4</v>
      </c>
      <c r="T26" s="33">
        <v>217</v>
      </c>
      <c r="U26" s="19"/>
      <c r="W26" s="22">
        <v>21</v>
      </c>
      <c r="X26" s="19"/>
      <c r="Y26" s="22">
        <v>70</v>
      </c>
      <c r="Z26" s="19">
        <v>198.5</v>
      </c>
      <c r="AA26" s="22">
        <f t="shared" si="2"/>
        <v>119</v>
      </c>
      <c r="AB26" s="19"/>
      <c r="AC26" s="35">
        <v>168</v>
      </c>
      <c r="AD26" s="19"/>
      <c r="AE26" s="33">
        <v>217</v>
      </c>
      <c r="AF26" s="19">
        <v>196.2</v>
      </c>
    </row>
    <row r="27" spans="1:32" ht="15.75" x14ac:dyDescent="0.25">
      <c r="A27" s="22">
        <v>22</v>
      </c>
      <c r="B27" s="19">
        <v>196.8</v>
      </c>
      <c r="C27" s="22">
        <v>71</v>
      </c>
      <c r="D27" s="19">
        <v>202</v>
      </c>
      <c r="E27" s="22">
        <f t="shared" si="0"/>
        <v>120</v>
      </c>
      <c r="F27" s="19">
        <v>199.8</v>
      </c>
      <c r="G27" s="35">
        <v>169</v>
      </c>
      <c r="H27" s="19">
        <v>196.6</v>
      </c>
      <c r="I27" s="33">
        <v>218</v>
      </c>
      <c r="J27" s="19">
        <v>203.3</v>
      </c>
      <c r="L27" s="22">
        <v>22</v>
      </c>
      <c r="M27" s="19">
        <v>196.8</v>
      </c>
      <c r="N27" s="22">
        <v>71</v>
      </c>
      <c r="O27" s="19"/>
      <c r="P27" s="22">
        <f t="shared" si="1"/>
        <v>120</v>
      </c>
      <c r="Q27" s="19">
        <v>199.8</v>
      </c>
      <c r="R27" s="35">
        <v>169</v>
      </c>
      <c r="S27" s="19">
        <v>196.6</v>
      </c>
      <c r="T27" s="33">
        <v>218</v>
      </c>
      <c r="U27" s="19"/>
      <c r="W27" s="22">
        <v>22</v>
      </c>
      <c r="X27" s="19"/>
      <c r="Y27" s="22">
        <v>71</v>
      </c>
      <c r="Z27" s="19">
        <v>202</v>
      </c>
      <c r="AA27" s="22">
        <f t="shared" si="2"/>
        <v>120</v>
      </c>
      <c r="AB27" s="19"/>
      <c r="AC27" s="35">
        <v>169</v>
      </c>
      <c r="AD27" s="19"/>
      <c r="AE27" s="33">
        <v>218</v>
      </c>
      <c r="AF27" s="19">
        <v>203.3</v>
      </c>
    </row>
    <row r="28" spans="1:32" ht="15.75" x14ac:dyDescent="0.25">
      <c r="A28" s="22">
        <v>23</v>
      </c>
      <c r="B28" s="19">
        <v>199.7</v>
      </c>
      <c r="C28" s="22">
        <v>72</v>
      </c>
      <c r="D28" s="19">
        <v>202.7</v>
      </c>
      <c r="E28" s="22">
        <f t="shared" si="0"/>
        <v>121</v>
      </c>
      <c r="F28" s="19">
        <v>195.3</v>
      </c>
      <c r="G28" s="35">
        <v>170</v>
      </c>
      <c r="H28" s="19">
        <v>197.8</v>
      </c>
      <c r="I28" s="33">
        <v>219</v>
      </c>
      <c r="J28" s="19">
        <v>197.6</v>
      </c>
      <c r="L28" s="22">
        <v>23</v>
      </c>
      <c r="M28" s="19">
        <v>199.7</v>
      </c>
      <c r="N28" s="22">
        <v>72</v>
      </c>
      <c r="O28" s="19"/>
      <c r="P28" s="22">
        <f t="shared" si="1"/>
        <v>121</v>
      </c>
      <c r="Q28" s="19">
        <v>195.3</v>
      </c>
      <c r="R28" s="35">
        <v>170</v>
      </c>
      <c r="S28" s="19">
        <v>197.8</v>
      </c>
      <c r="T28" s="33">
        <v>219</v>
      </c>
      <c r="U28" s="19"/>
      <c r="W28" s="22">
        <v>23</v>
      </c>
      <c r="X28" s="19"/>
      <c r="Y28" s="22">
        <v>72</v>
      </c>
      <c r="Z28" s="19">
        <v>202.7</v>
      </c>
      <c r="AA28" s="22">
        <f t="shared" si="2"/>
        <v>121</v>
      </c>
      <c r="AB28" s="19"/>
      <c r="AC28" s="35">
        <v>170</v>
      </c>
      <c r="AD28" s="19"/>
      <c r="AE28" s="33">
        <v>219</v>
      </c>
      <c r="AF28" s="19">
        <v>197.6</v>
      </c>
    </row>
    <row r="29" spans="1:32" ht="15.75" x14ac:dyDescent="0.25">
      <c r="A29" s="22">
        <v>24</v>
      </c>
      <c r="B29" s="19">
        <v>193.4</v>
      </c>
      <c r="C29" s="22">
        <v>73</v>
      </c>
      <c r="D29" s="19">
        <v>201.8</v>
      </c>
      <c r="E29" s="22">
        <f t="shared" si="0"/>
        <v>122</v>
      </c>
      <c r="F29" s="19">
        <v>211.6</v>
      </c>
      <c r="G29" s="35">
        <v>171</v>
      </c>
      <c r="H29" s="19">
        <v>195.8</v>
      </c>
      <c r="I29" s="33">
        <v>220</v>
      </c>
      <c r="J29" s="19">
        <v>198.5</v>
      </c>
      <c r="L29" s="22">
        <v>24</v>
      </c>
      <c r="M29" s="19">
        <v>193.4</v>
      </c>
      <c r="N29" s="22">
        <v>73</v>
      </c>
      <c r="O29" s="19"/>
      <c r="P29" s="22">
        <f t="shared" si="1"/>
        <v>122</v>
      </c>
      <c r="Q29" s="19">
        <v>211.6</v>
      </c>
      <c r="R29" s="35">
        <v>171</v>
      </c>
      <c r="S29" s="19">
        <v>195.8</v>
      </c>
      <c r="T29" s="33">
        <v>220</v>
      </c>
      <c r="U29" s="19"/>
      <c r="W29" s="22">
        <v>24</v>
      </c>
      <c r="X29" s="19"/>
      <c r="Y29" s="22">
        <v>73</v>
      </c>
      <c r="Z29" s="19">
        <v>201.8</v>
      </c>
      <c r="AA29" s="22">
        <f t="shared" si="2"/>
        <v>122</v>
      </c>
      <c r="AB29" s="19"/>
      <c r="AC29" s="35">
        <v>171</v>
      </c>
      <c r="AD29" s="19"/>
      <c r="AE29" s="33">
        <v>220</v>
      </c>
      <c r="AF29" s="19">
        <v>198.5</v>
      </c>
    </row>
    <row r="30" spans="1:32" ht="15.75" x14ac:dyDescent="0.25">
      <c r="A30" s="22">
        <v>25</v>
      </c>
      <c r="B30" s="19">
        <v>199.1</v>
      </c>
      <c r="C30" s="22">
        <v>74</v>
      </c>
      <c r="D30" s="19">
        <v>200</v>
      </c>
      <c r="E30" s="22">
        <f t="shared" si="0"/>
        <v>123</v>
      </c>
      <c r="F30" s="19">
        <v>199.5</v>
      </c>
      <c r="G30" s="35">
        <v>172</v>
      </c>
      <c r="H30" s="19">
        <v>199.1</v>
      </c>
      <c r="I30" s="20"/>
      <c r="J30" s="36"/>
      <c r="L30" s="22">
        <v>25</v>
      </c>
      <c r="M30" s="19">
        <v>199.1</v>
      </c>
      <c r="N30" s="22">
        <v>74</v>
      </c>
      <c r="O30" s="19"/>
      <c r="P30" s="22">
        <f t="shared" si="1"/>
        <v>123</v>
      </c>
      <c r="Q30" s="19">
        <v>199.5</v>
      </c>
      <c r="R30" s="35">
        <v>172</v>
      </c>
      <c r="S30" s="19">
        <v>199.1</v>
      </c>
      <c r="T30" s="20"/>
      <c r="U30" s="36"/>
      <c r="W30" s="22">
        <v>25</v>
      </c>
      <c r="X30" s="19"/>
      <c r="Y30" s="22">
        <v>74</v>
      </c>
      <c r="Z30" s="19">
        <v>200</v>
      </c>
      <c r="AA30" s="22">
        <f t="shared" si="2"/>
        <v>123</v>
      </c>
      <c r="AB30" s="19"/>
      <c r="AC30" s="35">
        <v>172</v>
      </c>
      <c r="AD30" s="19"/>
      <c r="AE30" s="20"/>
      <c r="AF30" s="36"/>
    </row>
    <row r="31" spans="1:32" ht="15.75" x14ac:dyDescent="0.25">
      <c r="A31" s="22">
        <v>26</v>
      </c>
      <c r="B31" s="19">
        <v>204.6</v>
      </c>
      <c r="C31" s="22">
        <v>75</v>
      </c>
      <c r="D31" s="19">
        <v>205.7</v>
      </c>
      <c r="E31" s="22">
        <f t="shared" si="0"/>
        <v>124</v>
      </c>
      <c r="F31" s="19">
        <v>201.3</v>
      </c>
      <c r="G31" s="35">
        <v>173</v>
      </c>
      <c r="H31" s="19">
        <v>202.8</v>
      </c>
      <c r="I31" s="20"/>
      <c r="J31" s="36"/>
      <c r="L31" s="22">
        <v>26</v>
      </c>
      <c r="M31" s="19">
        <v>204.6</v>
      </c>
      <c r="N31" s="22">
        <v>75</v>
      </c>
      <c r="O31" s="19"/>
      <c r="P31" s="22">
        <f t="shared" si="1"/>
        <v>124</v>
      </c>
      <c r="Q31" s="19">
        <v>201.3</v>
      </c>
      <c r="R31" s="35">
        <v>173</v>
      </c>
      <c r="S31" s="19">
        <v>202.8</v>
      </c>
      <c r="T31" s="20"/>
      <c r="U31" s="36"/>
      <c r="W31" s="22">
        <v>26</v>
      </c>
      <c r="X31" s="19"/>
      <c r="Y31" s="22">
        <v>75</v>
      </c>
      <c r="Z31" s="19">
        <v>205.7</v>
      </c>
      <c r="AA31" s="22">
        <f t="shared" si="2"/>
        <v>124</v>
      </c>
      <c r="AB31" s="19"/>
      <c r="AC31" s="35">
        <v>173</v>
      </c>
      <c r="AD31" s="19"/>
      <c r="AE31" s="20"/>
      <c r="AF31" s="36"/>
    </row>
    <row r="32" spans="1:32" ht="15.75" x14ac:dyDescent="0.25">
      <c r="A32" s="22">
        <v>27</v>
      </c>
      <c r="B32" s="19">
        <v>200.2</v>
      </c>
      <c r="C32" s="22">
        <v>76</v>
      </c>
      <c r="D32" s="19">
        <v>205.3</v>
      </c>
      <c r="E32" s="22">
        <f t="shared" si="0"/>
        <v>125</v>
      </c>
      <c r="F32" s="19">
        <v>198.5</v>
      </c>
      <c r="G32" s="33">
        <v>174</v>
      </c>
      <c r="H32" s="19">
        <v>204.2</v>
      </c>
      <c r="I32" s="21"/>
      <c r="J32" s="36"/>
      <c r="L32" s="22">
        <v>27</v>
      </c>
      <c r="M32" s="19">
        <v>200.2</v>
      </c>
      <c r="N32" s="22">
        <v>76</v>
      </c>
      <c r="O32" s="19"/>
      <c r="P32" s="22">
        <f t="shared" si="1"/>
        <v>125</v>
      </c>
      <c r="Q32" s="19">
        <v>198.5</v>
      </c>
      <c r="R32" s="33">
        <v>174</v>
      </c>
      <c r="S32" s="19">
        <v>204.2</v>
      </c>
      <c r="T32" s="21"/>
      <c r="U32" s="36"/>
      <c r="W32" s="22">
        <v>27</v>
      </c>
      <c r="X32" s="19"/>
      <c r="Y32" s="22">
        <v>76</v>
      </c>
      <c r="Z32" s="19">
        <v>205.3</v>
      </c>
      <c r="AA32" s="22">
        <f t="shared" si="2"/>
        <v>125</v>
      </c>
      <c r="AB32" s="19"/>
      <c r="AC32" s="33">
        <v>174</v>
      </c>
      <c r="AD32" s="19"/>
      <c r="AE32" s="21"/>
      <c r="AF32" s="36"/>
    </row>
    <row r="33" spans="1:32" ht="15.75" x14ac:dyDescent="0.25">
      <c r="A33" s="22">
        <v>28</v>
      </c>
      <c r="B33" s="19">
        <v>198.3</v>
      </c>
      <c r="C33" s="22">
        <v>77</v>
      </c>
      <c r="D33" s="19">
        <v>197.8</v>
      </c>
      <c r="E33" s="22">
        <f t="shared" si="0"/>
        <v>126</v>
      </c>
      <c r="F33" s="19">
        <v>203.9</v>
      </c>
      <c r="G33" s="33">
        <v>175</v>
      </c>
      <c r="H33" s="19">
        <v>200.5</v>
      </c>
      <c r="I33" s="20"/>
      <c r="J33" s="36"/>
      <c r="L33" s="22">
        <v>28</v>
      </c>
      <c r="M33" s="19">
        <v>198.3</v>
      </c>
      <c r="N33" s="22">
        <v>77</v>
      </c>
      <c r="O33" s="19"/>
      <c r="P33" s="22">
        <f t="shared" si="1"/>
        <v>126</v>
      </c>
      <c r="Q33" s="19">
        <v>203.9</v>
      </c>
      <c r="R33" s="33">
        <v>175</v>
      </c>
      <c r="S33" s="19">
        <v>200.5</v>
      </c>
      <c r="T33" s="20"/>
      <c r="U33" s="36"/>
      <c r="W33" s="22">
        <v>28</v>
      </c>
      <c r="X33" s="19"/>
      <c r="Y33" s="22">
        <v>77</v>
      </c>
      <c r="Z33" s="19">
        <v>197.8</v>
      </c>
      <c r="AA33" s="22">
        <f t="shared" si="2"/>
        <v>126</v>
      </c>
      <c r="AB33" s="19"/>
      <c r="AC33" s="33">
        <v>175</v>
      </c>
      <c r="AD33" s="19"/>
      <c r="AE33" s="20"/>
      <c r="AF33" s="36"/>
    </row>
    <row r="34" spans="1:32" ht="15.75" x14ac:dyDescent="0.25">
      <c r="A34" s="22">
        <v>29</v>
      </c>
      <c r="B34" s="19">
        <v>196.5</v>
      </c>
      <c r="C34" s="22">
        <v>78</v>
      </c>
      <c r="D34" s="19">
        <v>197.4</v>
      </c>
      <c r="E34" s="22">
        <f t="shared" si="0"/>
        <v>127</v>
      </c>
      <c r="F34" s="19">
        <v>202.8</v>
      </c>
      <c r="G34" s="33">
        <v>176</v>
      </c>
      <c r="H34" s="19">
        <v>198.1</v>
      </c>
      <c r="I34" s="20"/>
      <c r="J34" s="36"/>
      <c r="L34" s="22">
        <v>29</v>
      </c>
      <c r="M34" s="19">
        <v>196.5</v>
      </c>
      <c r="N34" s="22">
        <v>78</v>
      </c>
      <c r="O34" s="19"/>
      <c r="P34" s="22">
        <f t="shared" si="1"/>
        <v>127</v>
      </c>
      <c r="Q34" s="19">
        <v>202.8</v>
      </c>
      <c r="R34" s="33">
        <v>176</v>
      </c>
      <c r="S34" s="19">
        <v>198.1</v>
      </c>
      <c r="T34" s="20"/>
      <c r="U34" s="36"/>
      <c r="W34" s="22">
        <v>29</v>
      </c>
      <c r="X34" s="19"/>
      <c r="Y34" s="22">
        <v>78</v>
      </c>
      <c r="Z34" s="19">
        <v>197.4</v>
      </c>
      <c r="AA34" s="22">
        <f t="shared" si="2"/>
        <v>127</v>
      </c>
      <c r="AB34" s="19"/>
      <c r="AC34" s="33">
        <v>176</v>
      </c>
      <c r="AD34" s="19"/>
      <c r="AE34" s="20"/>
      <c r="AF34" s="36"/>
    </row>
    <row r="35" spans="1:32" ht="15.75" x14ac:dyDescent="0.25">
      <c r="A35" s="22">
        <v>30</v>
      </c>
      <c r="B35" s="19">
        <v>202</v>
      </c>
      <c r="C35" s="22">
        <v>79</v>
      </c>
      <c r="D35" s="19">
        <v>201.7</v>
      </c>
      <c r="E35" s="22">
        <f t="shared" si="0"/>
        <v>128</v>
      </c>
      <c r="F35" s="19">
        <v>196.8</v>
      </c>
      <c r="G35" s="33">
        <v>177</v>
      </c>
      <c r="H35" s="19">
        <v>200.9</v>
      </c>
      <c r="I35" s="21"/>
      <c r="J35" s="36"/>
      <c r="L35" s="22">
        <v>30</v>
      </c>
      <c r="M35" s="19">
        <v>202</v>
      </c>
      <c r="N35" s="22">
        <v>79</v>
      </c>
      <c r="O35" s="19"/>
      <c r="P35" s="22">
        <f t="shared" si="1"/>
        <v>128</v>
      </c>
      <c r="Q35" s="19">
        <v>196.8</v>
      </c>
      <c r="R35" s="33">
        <v>177</v>
      </c>
      <c r="S35" s="19">
        <v>200.9</v>
      </c>
      <c r="T35" s="21"/>
      <c r="U35" s="36"/>
      <c r="W35" s="22">
        <v>30</v>
      </c>
      <c r="X35" s="19"/>
      <c r="Y35" s="22">
        <v>79</v>
      </c>
      <c r="Z35" s="19">
        <v>201.7</v>
      </c>
      <c r="AA35" s="22">
        <f t="shared" si="2"/>
        <v>128</v>
      </c>
      <c r="AB35" s="19"/>
      <c r="AC35" s="33">
        <v>177</v>
      </c>
      <c r="AD35" s="19"/>
      <c r="AE35" s="21"/>
      <c r="AF35" s="36"/>
    </row>
    <row r="36" spans="1:32" ht="15.75" x14ac:dyDescent="0.25">
      <c r="A36" s="22">
        <v>31</v>
      </c>
      <c r="B36" s="19">
        <v>197</v>
      </c>
      <c r="C36" s="22">
        <v>80</v>
      </c>
      <c r="D36" s="19">
        <v>200.8</v>
      </c>
      <c r="E36" s="22">
        <f t="shared" si="0"/>
        <v>129</v>
      </c>
      <c r="F36" s="19">
        <v>200</v>
      </c>
      <c r="G36" s="33">
        <v>178</v>
      </c>
      <c r="H36" s="19">
        <v>204.7</v>
      </c>
      <c r="I36" s="20"/>
      <c r="J36" s="36"/>
      <c r="L36" s="22">
        <v>31</v>
      </c>
      <c r="M36" s="19"/>
      <c r="N36" s="22">
        <v>80</v>
      </c>
      <c r="O36" s="19"/>
      <c r="P36" s="22">
        <f t="shared" si="1"/>
        <v>129</v>
      </c>
      <c r="Q36" s="19">
        <v>200</v>
      </c>
      <c r="R36" s="33">
        <v>178</v>
      </c>
      <c r="S36" s="19">
        <v>204.7</v>
      </c>
      <c r="T36" s="20"/>
      <c r="U36" s="36"/>
      <c r="W36" s="22">
        <v>31</v>
      </c>
      <c r="X36" s="19">
        <v>197</v>
      </c>
      <c r="Y36" s="22">
        <v>80</v>
      </c>
      <c r="Z36" s="19">
        <v>200.8</v>
      </c>
      <c r="AA36" s="22">
        <f t="shared" si="2"/>
        <v>129</v>
      </c>
      <c r="AB36" s="19"/>
      <c r="AC36" s="33">
        <v>178</v>
      </c>
      <c r="AD36" s="19"/>
      <c r="AE36" s="20"/>
      <c r="AF36" s="36"/>
    </row>
    <row r="37" spans="1:32" ht="15.75" x14ac:dyDescent="0.25">
      <c r="A37" s="22">
        <v>32</v>
      </c>
      <c r="B37" s="19">
        <v>198.7</v>
      </c>
      <c r="C37" s="22">
        <v>81</v>
      </c>
      <c r="D37" s="19">
        <v>200.1</v>
      </c>
      <c r="E37" s="22">
        <f t="shared" si="0"/>
        <v>130</v>
      </c>
      <c r="F37" s="19">
        <v>200.9</v>
      </c>
      <c r="G37" s="33">
        <v>179</v>
      </c>
      <c r="H37" s="19">
        <v>205.4</v>
      </c>
      <c r="I37" s="20"/>
      <c r="J37" s="36"/>
      <c r="L37" s="22">
        <v>32</v>
      </c>
      <c r="M37" s="19"/>
      <c r="N37" s="22">
        <v>81</v>
      </c>
      <c r="O37" s="19"/>
      <c r="P37" s="22">
        <f t="shared" si="1"/>
        <v>130</v>
      </c>
      <c r="Q37" s="19">
        <v>200.9</v>
      </c>
      <c r="R37" s="33">
        <v>179</v>
      </c>
      <c r="S37" s="19">
        <v>205.4</v>
      </c>
      <c r="T37" s="20"/>
      <c r="U37" s="36"/>
      <c r="W37" s="22">
        <v>32</v>
      </c>
      <c r="X37" s="19">
        <v>198.7</v>
      </c>
      <c r="Y37" s="22">
        <v>81</v>
      </c>
      <c r="Z37" s="19">
        <v>200.1</v>
      </c>
      <c r="AA37" s="22">
        <f t="shared" si="2"/>
        <v>130</v>
      </c>
      <c r="AB37" s="19"/>
      <c r="AC37" s="33">
        <v>179</v>
      </c>
      <c r="AD37" s="19"/>
      <c r="AE37" s="20"/>
      <c r="AF37" s="36"/>
    </row>
    <row r="38" spans="1:32" ht="15.75" x14ac:dyDescent="0.25">
      <c r="A38" s="22">
        <v>33</v>
      </c>
      <c r="B38" s="19">
        <v>198.9</v>
      </c>
      <c r="C38" s="22">
        <v>82</v>
      </c>
      <c r="D38" s="19">
        <v>199.9</v>
      </c>
      <c r="E38" s="22">
        <f t="shared" si="0"/>
        <v>131</v>
      </c>
      <c r="F38" s="19">
        <v>202.8</v>
      </c>
      <c r="G38" s="33">
        <v>180</v>
      </c>
      <c r="H38" s="19">
        <v>202.3</v>
      </c>
      <c r="I38" s="21"/>
      <c r="J38" s="36"/>
      <c r="L38" s="22">
        <v>33</v>
      </c>
      <c r="M38" s="19"/>
      <c r="N38" s="22">
        <v>82</v>
      </c>
      <c r="O38" s="19"/>
      <c r="P38" s="22">
        <f t="shared" si="1"/>
        <v>131</v>
      </c>
      <c r="Q38" s="19">
        <v>202.8</v>
      </c>
      <c r="R38" s="33">
        <v>180</v>
      </c>
      <c r="S38" s="19"/>
      <c r="T38" s="21"/>
      <c r="U38" s="36"/>
      <c r="W38" s="22">
        <v>33</v>
      </c>
      <c r="X38" s="19">
        <v>198.9</v>
      </c>
      <c r="Y38" s="22">
        <v>82</v>
      </c>
      <c r="Z38" s="19">
        <v>199.9</v>
      </c>
      <c r="AA38" s="22">
        <f t="shared" si="2"/>
        <v>131</v>
      </c>
      <c r="AB38" s="19"/>
      <c r="AC38" s="33">
        <v>180</v>
      </c>
      <c r="AD38" s="19">
        <v>202.3</v>
      </c>
      <c r="AE38" s="21"/>
      <c r="AF38" s="36"/>
    </row>
    <row r="39" spans="1:32" ht="15.75" x14ac:dyDescent="0.25">
      <c r="A39" s="22">
        <v>34</v>
      </c>
      <c r="B39" s="19">
        <v>200</v>
      </c>
      <c r="C39" s="22">
        <v>83</v>
      </c>
      <c r="D39" s="19">
        <v>200.6</v>
      </c>
      <c r="E39" s="22">
        <f t="shared" si="0"/>
        <v>132</v>
      </c>
      <c r="F39" s="19">
        <v>200.1</v>
      </c>
      <c r="G39" s="33">
        <v>181</v>
      </c>
      <c r="H39" s="19">
        <v>201.4</v>
      </c>
      <c r="I39" s="21"/>
      <c r="J39" s="36"/>
      <c r="L39" s="22">
        <v>34</v>
      </c>
      <c r="M39" s="19"/>
      <c r="N39" s="22">
        <v>83</v>
      </c>
      <c r="O39" s="19"/>
      <c r="P39" s="22">
        <f t="shared" si="1"/>
        <v>132</v>
      </c>
      <c r="Q39" s="19">
        <v>200.1</v>
      </c>
      <c r="R39" s="33">
        <v>181</v>
      </c>
      <c r="S39" s="19"/>
      <c r="T39" s="21"/>
      <c r="U39" s="36"/>
      <c r="W39" s="22">
        <v>34</v>
      </c>
      <c r="X39" s="19">
        <v>200</v>
      </c>
      <c r="Y39" s="22">
        <v>83</v>
      </c>
      <c r="Z39" s="19">
        <v>200.6</v>
      </c>
      <c r="AA39" s="22">
        <f t="shared" si="2"/>
        <v>132</v>
      </c>
      <c r="AB39" s="19"/>
      <c r="AC39" s="33">
        <v>181</v>
      </c>
      <c r="AD39" s="19">
        <v>201.4</v>
      </c>
      <c r="AE39" s="21"/>
      <c r="AF39" s="36"/>
    </row>
    <row r="40" spans="1:32" ht="15.75" x14ac:dyDescent="0.25">
      <c r="A40" s="22">
        <v>35</v>
      </c>
      <c r="B40" s="19">
        <v>199.9</v>
      </c>
      <c r="C40" s="22">
        <v>84</v>
      </c>
      <c r="D40" s="19">
        <v>193.3</v>
      </c>
      <c r="E40" s="22">
        <f t="shared" si="0"/>
        <v>133</v>
      </c>
      <c r="F40" s="19">
        <v>205.4</v>
      </c>
      <c r="G40" s="33">
        <v>182</v>
      </c>
      <c r="H40" s="19">
        <v>199.7</v>
      </c>
      <c r="I40" s="20"/>
      <c r="J40" s="36"/>
      <c r="L40" s="22">
        <v>35</v>
      </c>
      <c r="M40" s="19"/>
      <c r="N40" s="22">
        <v>84</v>
      </c>
      <c r="O40" s="19"/>
      <c r="P40" s="22">
        <f t="shared" si="1"/>
        <v>133</v>
      </c>
      <c r="Q40" s="19">
        <v>205.4</v>
      </c>
      <c r="R40" s="33">
        <v>182</v>
      </c>
      <c r="S40" s="19"/>
      <c r="T40" s="20"/>
      <c r="U40" s="36"/>
      <c r="W40" s="22">
        <v>35</v>
      </c>
      <c r="X40" s="19">
        <v>199.9</v>
      </c>
      <c r="Y40" s="22">
        <v>84</v>
      </c>
      <c r="Z40" s="19">
        <v>193.3</v>
      </c>
      <c r="AA40" s="22">
        <f t="shared" si="2"/>
        <v>133</v>
      </c>
      <c r="AB40" s="19"/>
      <c r="AC40" s="33">
        <v>182</v>
      </c>
      <c r="AD40" s="19">
        <v>199.7</v>
      </c>
      <c r="AE40" s="20"/>
      <c r="AF40" s="36"/>
    </row>
    <row r="41" spans="1:32" ht="15.75" x14ac:dyDescent="0.25">
      <c r="A41" s="22">
        <v>36</v>
      </c>
      <c r="B41" s="19">
        <v>201.3</v>
      </c>
      <c r="C41" s="22">
        <v>85</v>
      </c>
      <c r="D41" s="19">
        <v>198.4</v>
      </c>
      <c r="E41" s="22">
        <f t="shared" si="0"/>
        <v>134</v>
      </c>
      <c r="F41" s="19">
        <v>202.4</v>
      </c>
      <c r="G41" s="33">
        <v>183</v>
      </c>
      <c r="H41" s="19">
        <v>203.9</v>
      </c>
      <c r="I41" s="20"/>
      <c r="J41" s="36"/>
      <c r="L41" s="22">
        <v>36</v>
      </c>
      <c r="M41" s="19"/>
      <c r="N41" s="22">
        <v>85</v>
      </c>
      <c r="O41" s="19"/>
      <c r="P41" s="22">
        <f t="shared" si="1"/>
        <v>134</v>
      </c>
      <c r="Q41" s="19">
        <v>202.4</v>
      </c>
      <c r="R41" s="33">
        <v>183</v>
      </c>
      <c r="S41" s="19"/>
      <c r="T41" s="20"/>
      <c r="U41" s="36"/>
      <c r="W41" s="22">
        <v>36</v>
      </c>
      <c r="X41" s="19">
        <v>201.3</v>
      </c>
      <c r="Y41" s="22">
        <v>85</v>
      </c>
      <c r="Z41" s="19">
        <v>198.4</v>
      </c>
      <c r="AA41" s="22">
        <f t="shared" si="2"/>
        <v>134</v>
      </c>
      <c r="AB41" s="19"/>
      <c r="AC41" s="33">
        <v>183</v>
      </c>
      <c r="AD41" s="19">
        <v>203.9</v>
      </c>
      <c r="AE41" s="20"/>
      <c r="AF41" s="36"/>
    </row>
    <row r="42" spans="1:32" ht="15.75" x14ac:dyDescent="0.25">
      <c r="A42" s="22">
        <v>37</v>
      </c>
      <c r="B42" s="19">
        <v>202.5</v>
      </c>
      <c r="C42" s="22">
        <v>86</v>
      </c>
      <c r="D42" s="19">
        <v>202.1</v>
      </c>
      <c r="E42" s="22">
        <f t="shared" si="0"/>
        <v>135</v>
      </c>
      <c r="F42" s="19">
        <v>202.5</v>
      </c>
      <c r="G42" s="33">
        <v>184</v>
      </c>
      <c r="H42" s="19">
        <v>198.7</v>
      </c>
      <c r="I42" s="21"/>
      <c r="J42" s="36"/>
      <c r="L42" s="22">
        <v>37</v>
      </c>
      <c r="M42" s="19"/>
      <c r="N42" s="22">
        <v>86</v>
      </c>
      <c r="O42" s="19"/>
      <c r="P42" s="22">
        <f t="shared" si="1"/>
        <v>135</v>
      </c>
      <c r="Q42" s="19">
        <v>202.5</v>
      </c>
      <c r="R42" s="33">
        <v>184</v>
      </c>
      <c r="S42" s="19"/>
      <c r="T42" s="21"/>
      <c r="U42" s="36"/>
      <c r="W42" s="22">
        <v>37</v>
      </c>
      <c r="X42" s="19">
        <v>202.5</v>
      </c>
      <c r="Y42" s="22">
        <v>86</v>
      </c>
      <c r="Z42" s="19">
        <v>202.1</v>
      </c>
      <c r="AA42" s="22">
        <f t="shared" si="2"/>
        <v>135</v>
      </c>
      <c r="AB42" s="19"/>
      <c r="AC42" s="33">
        <v>184</v>
      </c>
      <c r="AD42" s="19">
        <v>198.7</v>
      </c>
      <c r="AE42" s="21"/>
      <c r="AF42" s="36"/>
    </row>
    <row r="43" spans="1:32" ht="15.75" x14ac:dyDescent="0.25">
      <c r="A43" s="22">
        <v>38</v>
      </c>
      <c r="B43" s="19">
        <v>202.1</v>
      </c>
      <c r="C43" s="22">
        <v>87</v>
      </c>
      <c r="D43" s="19">
        <v>205.4</v>
      </c>
      <c r="E43" s="22">
        <f t="shared" si="0"/>
        <v>136</v>
      </c>
      <c r="F43" s="19">
        <v>203.8</v>
      </c>
      <c r="G43" s="33">
        <v>185</v>
      </c>
      <c r="H43" s="19">
        <v>203.1</v>
      </c>
      <c r="I43" s="20"/>
      <c r="J43" s="36"/>
      <c r="L43" s="22">
        <v>38</v>
      </c>
      <c r="M43" s="19"/>
      <c r="N43" s="22">
        <v>87</v>
      </c>
      <c r="O43" s="19"/>
      <c r="P43" s="22">
        <f t="shared" si="1"/>
        <v>136</v>
      </c>
      <c r="Q43" s="19">
        <v>203.8</v>
      </c>
      <c r="R43" s="33">
        <v>185</v>
      </c>
      <c r="S43" s="19"/>
      <c r="T43" s="20"/>
      <c r="U43" s="36"/>
      <c r="W43" s="22">
        <v>38</v>
      </c>
      <c r="X43" s="19">
        <v>202.1</v>
      </c>
      <c r="Y43" s="22">
        <v>87</v>
      </c>
      <c r="Z43" s="19">
        <v>205.4</v>
      </c>
      <c r="AA43" s="22">
        <f t="shared" si="2"/>
        <v>136</v>
      </c>
      <c r="AB43" s="19"/>
      <c r="AC43" s="33">
        <v>185</v>
      </c>
      <c r="AD43" s="19">
        <v>203.1</v>
      </c>
      <c r="AE43" s="20"/>
      <c r="AF43" s="36"/>
    </row>
    <row r="44" spans="1:32" ht="15.75" x14ac:dyDescent="0.25">
      <c r="A44" s="22">
        <v>39</v>
      </c>
      <c r="B44" s="19">
        <v>201.9</v>
      </c>
      <c r="C44" s="22">
        <v>88</v>
      </c>
      <c r="D44" s="19">
        <v>200.7</v>
      </c>
      <c r="E44" s="22">
        <f t="shared" si="0"/>
        <v>137</v>
      </c>
      <c r="F44" s="19">
        <v>204</v>
      </c>
      <c r="G44" s="33">
        <v>186</v>
      </c>
      <c r="H44" s="19">
        <v>201.8</v>
      </c>
      <c r="I44" s="20"/>
      <c r="J44" s="36"/>
      <c r="L44" s="22">
        <v>39</v>
      </c>
      <c r="M44" s="19"/>
      <c r="N44" s="22">
        <v>88</v>
      </c>
      <c r="O44" s="19"/>
      <c r="P44" s="22">
        <f t="shared" si="1"/>
        <v>137</v>
      </c>
      <c r="Q44" s="19">
        <v>204</v>
      </c>
      <c r="R44" s="33">
        <v>186</v>
      </c>
      <c r="S44" s="19"/>
      <c r="T44" s="20"/>
      <c r="U44" s="36"/>
      <c r="W44" s="22">
        <v>39</v>
      </c>
      <c r="X44" s="19">
        <v>201.9</v>
      </c>
      <c r="Y44" s="22">
        <v>88</v>
      </c>
      <c r="Z44" s="19">
        <v>200.7</v>
      </c>
      <c r="AA44" s="22">
        <f t="shared" si="2"/>
        <v>137</v>
      </c>
      <c r="AB44" s="19"/>
      <c r="AC44" s="33">
        <v>186</v>
      </c>
      <c r="AD44" s="19">
        <v>201.8</v>
      </c>
      <c r="AE44" s="20"/>
      <c r="AF44" s="36"/>
    </row>
    <row r="45" spans="1:32" ht="15.75" x14ac:dyDescent="0.25">
      <c r="A45" s="22">
        <v>40</v>
      </c>
      <c r="B45" s="19">
        <v>200.4</v>
      </c>
      <c r="C45" s="22">
        <v>89</v>
      </c>
      <c r="D45" s="19">
        <v>201.2</v>
      </c>
      <c r="E45" s="22">
        <f t="shared" si="0"/>
        <v>138</v>
      </c>
      <c r="F45" s="19">
        <v>195.3</v>
      </c>
      <c r="G45" s="33">
        <v>187</v>
      </c>
      <c r="H45" s="19">
        <v>200</v>
      </c>
      <c r="I45" s="21"/>
      <c r="J45" s="36"/>
      <c r="L45" s="22">
        <v>40</v>
      </c>
      <c r="M45" s="19"/>
      <c r="N45" s="22">
        <v>89</v>
      </c>
      <c r="O45" s="19"/>
      <c r="P45" s="22">
        <f t="shared" si="1"/>
        <v>138</v>
      </c>
      <c r="Q45" s="19">
        <v>195.3</v>
      </c>
      <c r="R45" s="33">
        <v>187</v>
      </c>
      <c r="S45" s="19"/>
      <c r="T45" s="21"/>
      <c r="U45" s="36"/>
      <c r="W45" s="22">
        <v>40</v>
      </c>
      <c r="X45" s="19">
        <v>200.4</v>
      </c>
      <c r="Y45" s="22">
        <v>89</v>
      </c>
      <c r="Z45" s="19">
        <v>201.2</v>
      </c>
      <c r="AA45" s="22">
        <f t="shared" si="2"/>
        <v>138</v>
      </c>
      <c r="AB45" s="19"/>
      <c r="AC45" s="33">
        <v>187</v>
      </c>
      <c r="AD45" s="19">
        <v>200</v>
      </c>
      <c r="AE45" s="21"/>
      <c r="AF45" s="36"/>
    </row>
    <row r="46" spans="1:32" ht="15.75" x14ac:dyDescent="0.25">
      <c r="A46" s="22">
        <v>41</v>
      </c>
      <c r="B46" s="19">
        <v>197.9</v>
      </c>
      <c r="C46" s="22">
        <v>90</v>
      </c>
      <c r="D46" s="19">
        <v>200.8</v>
      </c>
      <c r="E46" s="22">
        <f t="shared" si="0"/>
        <v>139</v>
      </c>
      <c r="F46" s="19">
        <v>198.1</v>
      </c>
      <c r="G46" s="33">
        <v>188</v>
      </c>
      <c r="H46" s="19">
        <v>199.7</v>
      </c>
      <c r="I46" s="20"/>
      <c r="J46" s="36"/>
      <c r="L46" s="22">
        <v>41</v>
      </c>
      <c r="M46" s="19"/>
      <c r="N46" s="22">
        <v>90</v>
      </c>
      <c r="O46" s="19"/>
      <c r="P46" s="22">
        <f t="shared" si="1"/>
        <v>139</v>
      </c>
      <c r="Q46" s="19">
        <v>198.1</v>
      </c>
      <c r="R46" s="33">
        <v>188</v>
      </c>
      <c r="S46" s="19"/>
      <c r="T46" s="20"/>
      <c r="U46" s="36"/>
      <c r="W46" s="22">
        <v>41</v>
      </c>
      <c r="X46" s="19">
        <v>197.9</v>
      </c>
      <c r="Y46" s="22">
        <v>90</v>
      </c>
      <c r="Z46" s="19">
        <v>200.8</v>
      </c>
      <c r="AA46" s="22">
        <f t="shared" si="2"/>
        <v>139</v>
      </c>
      <c r="AB46" s="19"/>
      <c r="AC46" s="33">
        <v>188</v>
      </c>
      <c r="AD46" s="19">
        <v>199.7</v>
      </c>
      <c r="AE46" s="20"/>
      <c r="AF46" s="36"/>
    </row>
    <row r="47" spans="1:32" ht="15.75" x14ac:dyDescent="0.25">
      <c r="A47" s="22">
        <v>42</v>
      </c>
      <c r="B47" s="19">
        <v>204.9</v>
      </c>
      <c r="C47" s="22">
        <v>91</v>
      </c>
      <c r="D47" s="19">
        <v>200.1</v>
      </c>
      <c r="E47" s="22">
        <f t="shared" si="0"/>
        <v>140</v>
      </c>
      <c r="F47" s="19">
        <v>200.7</v>
      </c>
      <c r="G47" s="33">
        <v>189</v>
      </c>
      <c r="H47" s="19">
        <v>206.3</v>
      </c>
      <c r="I47" s="20"/>
      <c r="J47" s="36"/>
      <c r="L47" s="22">
        <v>42</v>
      </c>
      <c r="M47" s="19"/>
      <c r="N47" s="22">
        <v>91</v>
      </c>
      <c r="O47" s="19"/>
      <c r="P47" s="22">
        <f t="shared" si="1"/>
        <v>140</v>
      </c>
      <c r="Q47" s="19">
        <v>200.7</v>
      </c>
      <c r="R47" s="33">
        <v>189</v>
      </c>
      <c r="S47" s="19"/>
      <c r="T47" s="20"/>
      <c r="U47" s="36"/>
      <c r="W47" s="22">
        <v>42</v>
      </c>
      <c r="X47" s="19">
        <v>204.9</v>
      </c>
      <c r="Y47" s="22">
        <v>91</v>
      </c>
      <c r="Z47" s="19">
        <v>200.1</v>
      </c>
      <c r="AA47" s="22">
        <f t="shared" si="2"/>
        <v>140</v>
      </c>
      <c r="AB47" s="19"/>
      <c r="AC47" s="33">
        <v>189</v>
      </c>
      <c r="AD47" s="19">
        <v>206.3</v>
      </c>
      <c r="AE47" s="20"/>
      <c r="AF47" s="36"/>
    </row>
    <row r="48" spans="1:32" ht="15.75" x14ac:dyDescent="0.25">
      <c r="A48" s="22">
        <v>43</v>
      </c>
      <c r="B48" s="19">
        <v>198.7</v>
      </c>
      <c r="C48" s="22">
        <v>92</v>
      </c>
      <c r="D48" s="19">
        <v>200.5</v>
      </c>
      <c r="E48" s="22">
        <f t="shared" si="0"/>
        <v>141</v>
      </c>
      <c r="F48" s="19">
        <v>203.1</v>
      </c>
      <c r="G48" s="33">
        <v>190</v>
      </c>
      <c r="H48" s="19">
        <v>207.8</v>
      </c>
      <c r="I48" s="21"/>
      <c r="J48" s="36"/>
      <c r="L48" s="22">
        <v>43</v>
      </c>
      <c r="M48" s="19"/>
      <c r="N48" s="22">
        <v>92</v>
      </c>
      <c r="O48" s="19"/>
      <c r="P48" s="22">
        <f t="shared" si="1"/>
        <v>141</v>
      </c>
      <c r="Q48" s="19">
        <v>203.1</v>
      </c>
      <c r="R48" s="33">
        <v>190</v>
      </c>
      <c r="S48" s="19"/>
      <c r="T48" s="21"/>
      <c r="U48" s="36"/>
      <c r="W48" s="22">
        <v>43</v>
      </c>
      <c r="X48" s="19">
        <v>198.7</v>
      </c>
      <c r="Y48" s="22">
        <v>92</v>
      </c>
      <c r="Z48" s="19">
        <v>200.5</v>
      </c>
      <c r="AA48" s="22">
        <f t="shared" si="2"/>
        <v>141</v>
      </c>
      <c r="AB48" s="19"/>
      <c r="AC48" s="33">
        <v>190</v>
      </c>
      <c r="AD48" s="19">
        <v>207.8</v>
      </c>
      <c r="AE48" s="21"/>
      <c r="AF48" s="36"/>
    </row>
    <row r="49" spans="1:32" ht="15.75" x14ac:dyDescent="0.25">
      <c r="A49" s="22">
        <v>44</v>
      </c>
      <c r="B49" s="19">
        <v>198.3</v>
      </c>
      <c r="C49" s="22">
        <v>93</v>
      </c>
      <c r="D49" s="19">
        <v>202.3</v>
      </c>
      <c r="E49" s="22">
        <f t="shared" si="0"/>
        <v>142</v>
      </c>
      <c r="F49" s="19">
        <v>201.4</v>
      </c>
      <c r="G49" s="33">
        <v>191</v>
      </c>
      <c r="H49" s="19">
        <v>202.2</v>
      </c>
      <c r="I49" s="21"/>
      <c r="J49" s="36"/>
      <c r="L49" s="22">
        <v>44</v>
      </c>
      <c r="M49" s="19"/>
      <c r="N49" s="22">
        <v>93</v>
      </c>
      <c r="O49" s="19"/>
      <c r="P49" s="22">
        <f t="shared" si="1"/>
        <v>142</v>
      </c>
      <c r="Q49" s="19">
        <v>201.4</v>
      </c>
      <c r="R49" s="33">
        <v>191</v>
      </c>
      <c r="S49" s="19"/>
      <c r="T49" s="21"/>
      <c r="U49" s="36"/>
      <c r="W49" s="22">
        <v>44</v>
      </c>
      <c r="X49" s="19">
        <v>198.3</v>
      </c>
      <c r="Y49" s="22">
        <v>93</v>
      </c>
      <c r="Z49" s="19">
        <v>202.3</v>
      </c>
      <c r="AA49" s="22">
        <f t="shared" si="2"/>
        <v>142</v>
      </c>
      <c r="AB49" s="19"/>
      <c r="AC49" s="33">
        <v>191</v>
      </c>
      <c r="AD49" s="19">
        <v>202.2</v>
      </c>
      <c r="AE49" s="21"/>
      <c r="AF49" s="36"/>
    </row>
    <row r="50" spans="1:32" ht="15.75" x14ac:dyDescent="0.25">
      <c r="A50" s="22">
        <v>45</v>
      </c>
      <c r="B50" s="19">
        <v>195</v>
      </c>
      <c r="C50" s="22">
        <v>94</v>
      </c>
      <c r="D50" s="19">
        <v>203.7</v>
      </c>
      <c r="E50" s="22">
        <f t="shared" si="0"/>
        <v>143</v>
      </c>
      <c r="F50" s="19">
        <v>200.4</v>
      </c>
      <c r="G50" s="33">
        <v>192</v>
      </c>
      <c r="H50" s="19">
        <v>201</v>
      </c>
      <c r="I50" s="20"/>
      <c r="J50" s="36"/>
      <c r="L50" s="22">
        <v>45</v>
      </c>
      <c r="M50" s="19"/>
      <c r="N50" s="22">
        <v>94</v>
      </c>
      <c r="O50" s="19"/>
      <c r="P50" s="22">
        <f t="shared" si="1"/>
        <v>143</v>
      </c>
      <c r="Q50" s="19">
        <v>200.4</v>
      </c>
      <c r="R50" s="33">
        <v>192</v>
      </c>
      <c r="S50" s="19"/>
      <c r="T50" s="20"/>
      <c r="U50" s="36"/>
      <c r="W50" s="22">
        <v>45</v>
      </c>
      <c r="X50" s="19">
        <v>195</v>
      </c>
      <c r="Y50" s="22">
        <v>94</v>
      </c>
      <c r="Z50" s="19">
        <v>203.7</v>
      </c>
      <c r="AA50" s="22">
        <f t="shared" si="2"/>
        <v>143</v>
      </c>
      <c r="AB50" s="19"/>
      <c r="AC50" s="33">
        <v>192</v>
      </c>
      <c r="AD50" s="19">
        <v>201</v>
      </c>
      <c r="AE50" s="20"/>
      <c r="AF50" s="36"/>
    </row>
    <row r="51" spans="1:32" ht="15.75" x14ac:dyDescent="0.25">
      <c r="A51" s="22">
        <v>46</v>
      </c>
      <c r="B51" s="19">
        <v>199.7</v>
      </c>
      <c r="C51" s="22">
        <v>95</v>
      </c>
      <c r="D51" s="19">
        <v>201.5</v>
      </c>
      <c r="E51" s="22">
        <f t="shared" si="0"/>
        <v>144</v>
      </c>
      <c r="F51" s="19">
        <v>201.4</v>
      </c>
      <c r="G51" s="33">
        <v>193</v>
      </c>
      <c r="H51" s="19">
        <v>208.3</v>
      </c>
      <c r="I51" s="20"/>
      <c r="J51" s="36"/>
      <c r="L51" s="22">
        <v>46</v>
      </c>
      <c r="M51" s="19"/>
      <c r="N51" s="22">
        <v>95</v>
      </c>
      <c r="O51" s="19"/>
      <c r="P51" s="22">
        <f t="shared" si="1"/>
        <v>144</v>
      </c>
      <c r="Q51" s="19">
        <v>201.4</v>
      </c>
      <c r="R51" s="33">
        <v>193</v>
      </c>
      <c r="S51" s="19"/>
      <c r="T51" s="20"/>
      <c r="U51" s="36"/>
      <c r="W51" s="22">
        <v>46</v>
      </c>
      <c r="X51" s="19">
        <v>199.7</v>
      </c>
      <c r="Y51" s="22">
        <v>95</v>
      </c>
      <c r="Z51" s="19">
        <v>201.5</v>
      </c>
      <c r="AA51" s="22">
        <f t="shared" si="2"/>
        <v>144</v>
      </c>
      <c r="AB51" s="19"/>
      <c r="AC51" s="33">
        <v>193</v>
      </c>
      <c r="AD51" s="19">
        <v>208.3</v>
      </c>
      <c r="AE51" s="20"/>
      <c r="AF51" s="36"/>
    </row>
    <row r="52" spans="1:32" ht="15.75" x14ac:dyDescent="0.25">
      <c r="A52" s="22">
        <v>47</v>
      </c>
      <c r="B52" s="19">
        <v>199.6</v>
      </c>
      <c r="C52" s="22">
        <v>96</v>
      </c>
      <c r="D52" s="19">
        <v>203.6</v>
      </c>
      <c r="E52" s="22">
        <f t="shared" si="0"/>
        <v>145</v>
      </c>
      <c r="F52" s="19">
        <v>198.2</v>
      </c>
      <c r="G52" s="33">
        <v>194</v>
      </c>
      <c r="H52" s="19">
        <v>201.5</v>
      </c>
      <c r="I52" s="21"/>
      <c r="J52" s="36"/>
      <c r="L52" s="22">
        <v>47</v>
      </c>
      <c r="M52" s="19"/>
      <c r="N52" s="22">
        <v>96</v>
      </c>
      <c r="O52" s="19">
        <v>203.6</v>
      </c>
      <c r="P52" s="22">
        <f t="shared" si="1"/>
        <v>145</v>
      </c>
      <c r="Q52" s="19">
        <v>198.2</v>
      </c>
      <c r="R52" s="33">
        <v>194</v>
      </c>
      <c r="S52" s="19"/>
      <c r="T52" s="21"/>
      <c r="U52" s="36"/>
      <c r="W52" s="22">
        <v>47</v>
      </c>
      <c r="X52" s="19">
        <v>199.6</v>
      </c>
      <c r="Y52" s="22">
        <v>96</v>
      </c>
      <c r="Z52" s="19"/>
      <c r="AA52" s="22">
        <f t="shared" si="2"/>
        <v>145</v>
      </c>
      <c r="AB52" s="19"/>
      <c r="AC52" s="33">
        <v>194</v>
      </c>
      <c r="AD52" s="19">
        <v>201.5</v>
      </c>
      <c r="AE52" s="21"/>
      <c r="AF52" s="36"/>
    </row>
    <row r="53" spans="1:32" ht="15.75" x14ac:dyDescent="0.25">
      <c r="A53" s="22">
        <v>48</v>
      </c>
      <c r="B53" s="19">
        <v>197.4</v>
      </c>
      <c r="C53" s="22">
        <v>97</v>
      </c>
      <c r="D53" s="19">
        <v>201.5</v>
      </c>
      <c r="E53" s="22">
        <f t="shared" si="0"/>
        <v>146</v>
      </c>
      <c r="F53" s="19">
        <v>202.5</v>
      </c>
      <c r="G53" s="33">
        <v>195</v>
      </c>
      <c r="H53" s="19">
        <v>200.7</v>
      </c>
      <c r="I53" s="20"/>
      <c r="J53" s="36"/>
      <c r="L53" s="22">
        <v>48</v>
      </c>
      <c r="M53" s="19"/>
      <c r="N53" s="22">
        <v>97</v>
      </c>
      <c r="O53" s="19">
        <v>201.5</v>
      </c>
      <c r="P53" s="22">
        <f t="shared" si="1"/>
        <v>146</v>
      </c>
      <c r="Q53" s="19">
        <v>202.5</v>
      </c>
      <c r="R53" s="33">
        <v>195</v>
      </c>
      <c r="S53" s="19"/>
      <c r="T53" s="20"/>
      <c r="U53" s="36"/>
      <c r="W53" s="22">
        <v>48</v>
      </c>
      <c r="X53" s="19">
        <v>197.4</v>
      </c>
      <c r="Y53" s="22">
        <v>97</v>
      </c>
      <c r="Z53" s="19"/>
      <c r="AA53" s="22">
        <f t="shared" si="2"/>
        <v>146</v>
      </c>
      <c r="AB53" s="19"/>
      <c r="AC53" s="33">
        <v>195</v>
      </c>
      <c r="AD53" s="19">
        <v>200.7</v>
      </c>
      <c r="AE53" s="20"/>
      <c r="AF53" s="36"/>
    </row>
    <row r="54" spans="1:32" ht="15.75" x14ac:dyDescent="0.25">
      <c r="A54" s="37">
        <v>49</v>
      </c>
      <c r="B54" s="19">
        <v>202.7</v>
      </c>
      <c r="C54" s="37">
        <v>98</v>
      </c>
      <c r="D54" s="19">
        <v>203.6</v>
      </c>
      <c r="E54" s="22">
        <f t="shared" si="0"/>
        <v>147</v>
      </c>
      <c r="F54" s="19">
        <v>202.3</v>
      </c>
      <c r="G54" s="38">
        <v>196</v>
      </c>
      <c r="H54" s="19">
        <v>202.8</v>
      </c>
      <c r="I54" s="39"/>
      <c r="J54" s="40"/>
      <c r="L54" s="37">
        <v>49</v>
      </c>
      <c r="M54" s="19"/>
      <c r="N54" s="37">
        <v>98</v>
      </c>
      <c r="O54" s="19">
        <v>203.6</v>
      </c>
      <c r="P54" s="22">
        <f t="shared" si="1"/>
        <v>147</v>
      </c>
      <c r="Q54" s="19">
        <v>202.3</v>
      </c>
      <c r="R54" s="38">
        <v>196</v>
      </c>
      <c r="S54" s="19"/>
      <c r="T54" s="39"/>
      <c r="U54" s="40"/>
      <c r="W54" s="37">
        <v>49</v>
      </c>
      <c r="X54" s="19">
        <v>202.7</v>
      </c>
      <c r="Y54" s="37">
        <v>98</v>
      </c>
      <c r="Z54" s="19"/>
      <c r="AA54" s="22">
        <f t="shared" si="2"/>
        <v>147</v>
      </c>
      <c r="AB54" s="19"/>
      <c r="AC54" s="38">
        <v>196</v>
      </c>
      <c r="AD54" s="19">
        <v>202.8</v>
      </c>
      <c r="AE54" s="39"/>
      <c r="AF54" s="40"/>
    </row>
    <row r="55" spans="1:32" ht="15.75" x14ac:dyDescent="0.25">
      <c r="A55" s="41"/>
      <c r="B55" s="23">
        <f>SUM(B6:B54)</f>
        <v>9742</v>
      </c>
      <c r="C55" s="23"/>
      <c r="D55" s="23">
        <f>SUM(D6:D54)</f>
        <v>9843</v>
      </c>
      <c r="E55" s="23"/>
      <c r="F55" s="23">
        <f>SUM(F6:F54)</f>
        <v>9853.8000000000011</v>
      </c>
      <c r="G55" s="23"/>
      <c r="H55" s="23">
        <f>SUM(H6:H54)</f>
        <v>9844.4999999999982</v>
      </c>
      <c r="I55" s="41"/>
      <c r="J55" s="41">
        <f>SUM(J6:J54)</f>
        <v>4827.7000000000007</v>
      </c>
      <c r="L55" s="41"/>
      <c r="M55" s="23">
        <f>SUM(M6:M54)</f>
        <v>5945.1</v>
      </c>
      <c r="N55" s="23"/>
      <c r="O55" s="23">
        <f>SUM(O6:O54)</f>
        <v>608.70000000000005</v>
      </c>
      <c r="P55" s="23"/>
      <c r="Q55" s="23">
        <f>SUM(Q6:Q54)</f>
        <v>9853.8000000000011</v>
      </c>
      <c r="R55" s="23"/>
      <c r="S55" s="23">
        <f>SUM(S6:S54)</f>
        <v>6403.3</v>
      </c>
      <c r="T55" s="41"/>
      <c r="U55" s="41">
        <f>SUM(U6:U54)</f>
        <v>0</v>
      </c>
      <c r="W55" s="41"/>
      <c r="X55" s="23">
        <f>SUM(X6:X54)</f>
        <v>3796.8999999999996</v>
      </c>
      <c r="Y55" s="23"/>
      <c r="Z55" s="23">
        <f>SUM(Z6:Z54)</f>
        <v>9234.2999999999993</v>
      </c>
      <c r="AA55" s="23"/>
      <c r="AB55" s="23">
        <f>SUM(AB6:AB54)</f>
        <v>0</v>
      </c>
      <c r="AC55" s="23"/>
      <c r="AD55" s="23">
        <f>SUM(AD6:AD54)</f>
        <v>3441.2</v>
      </c>
      <c r="AE55" s="41"/>
      <c r="AF55" s="41">
        <f>SUM(AF6:AF54)</f>
        <v>4827.7000000000007</v>
      </c>
    </row>
    <row r="56" spans="1:32" ht="15.75" x14ac:dyDescent="0.25">
      <c r="A56" s="42" t="s">
        <v>5</v>
      </c>
      <c r="B56" s="43">
        <f>COUNT(B6:B54,D6:D54,F6:F54,H6:H54,J6:J54)</f>
        <v>220</v>
      </c>
      <c r="C56" s="13" t="s">
        <v>6</v>
      </c>
      <c r="D56" s="44"/>
      <c r="E56" s="45">
        <f>B55+D55+F55+H55+J55</f>
        <v>44111</v>
      </c>
      <c r="F56" s="24" t="s">
        <v>7</v>
      </c>
      <c r="G56" s="1">
        <f>B56*2.2</f>
        <v>484.00000000000006</v>
      </c>
      <c r="H56" s="13" t="s">
        <v>8</v>
      </c>
      <c r="I56" s="44"/>
      <c r="J56" s="45">
        <f>E56-G56</f>
        <v>43627</v>
      </c>
      <c r="L56" s="42" t="s">
        <v>5</v>
      </c>
      <c r="M56" s="43">
        <f>COUNT(M6:M54,O6:O54,Q6:Q54,S6:S54,U6:U54)</f>
        <v>114</v>
      </c>
      <c r="N56" s="13" t="s">
        <v>6</v>
      </c>
      <c r="O56" s="44"/>
      <c r="P56" s="45">
        <f>M55+O55+Q55+S55+U55</f>
        <v>22810.9</v>
      </c>
      <c r="Q56" s="24" t="s">
        <v>7</v>
      </c>
      <c r="R56" s="1">
        <f>M56*2.2</f>
        <v>250.8</v>
      </c>
      <c r="S56" s="13" t="s">
        <v>8</v>
      </c>
      <c r="T56" s="44"/>
      <c r="U56" s="45">
        <f>P56-R56</f>
        <v>22560.100000000002</v>
      </c>
      <c r="W56" s="42" t="s">
        <v>5</v>
      </c>
      <c r="X56" s="43">
        <f>COUNT(X6:X54,Z6:Z54,AB6:AB54,AD6:AD54,AF6:AF54)</f>
        <v>106</v>
      </c>
      <c r="Y56" s="13" t="s">
        <v>6</v>
      </c>
      <c r="Z56" s="44"/>
      <c r="AA56" s="45">
        <f>X55+Z55+AB55+AD55+AF55</f>
        <v>21300.1</v>
      </c>
      <c r="AB56" s="24" t="s">
        <v>7</v>
      </c>
      <c r="AC56" s="1">
        <f>X56*2.2</f>
        <v>233.20000000000002</v>
      </c>
      <c r="AD56" s="13" t="s">
        <v>8</v>
      </c>
      <c r="AE56" s="44"/>
      <c r="AF56" s="45">
        <f>AA56-AC56</f>
        <v>21066.899999999998</v>
      </c>
    </row>
    <row r="57" spans="1:32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  <c r="L57" s="42" t="s">
        <v>9</v>
      </c>
      <c r="M57" s="25"/>
      <c r="N57" s="46"/>
      <c r="O57" s="44"/>
      <c r="P57" s="47"/>
      <c r="Q57" s="25"/>
      <c r="R57" s="48"/>
      <c r="S57" s="46"/>
      <c r="T57" s="44"/>
      <c r="U57" s="49"/>
      <c r="W57" s="42" t="s">
        <v>9</v>
      </c>
      <c r="X57" s="25"/>
      <c r="Y57" s="46"/>
      <c r="Z57" s="44"/>
      <c r="AA57" s="47"/>
      <c r="AB57" s="25"/>
      <c r="AC57" s="48"/>
      <c r="AD57" s="46"/>
      <c r="AE57" s="44"/>
      <c r="AF57" s="49"/>
    </row>
    <row r="58" spans="1:32" x14ac:dyDescent="0.25">
      <c r="B58">
        <f>M56+X56</f>
        <v>220</v>
      </c>
      <c r="E58" s="80">
        <f>P56+AA56</f>
        <v>44111</v>
      </c>
      <c r="J58" s="80">
        <f>U56+AF56</f>
        <v>43627</v>
      </c>
    </row>
    <row r="59" spans="1:32" x14ac:dyDescent="0.25">
      <c r="F59" s="112" t="s">
        <v>61</v>
      </c>
      <c r="G59" s="112">
        <v>2.2000000000000002</v>
      </c>
      <c r="Q59" s="112" t="s">
        <v>61</v>
      </c>
      <c r="R59" s="112">
        <v>2.2000000000000002</v>
      </c>
      <c r="AB59" s="112" t="s">
        <v>61</v>
      </c>
      <c r="AC59" s="112">
        <v>2.2000000000000002</v>
      </c>
    </row>
  </sheetData>
  <protectedRanges>
    <protectedRange password="CCE1" sqref="C6:C54 G6:G54 E6:E54 I6:I29 N6:N54 R6:R54 P6:P54 T6:T29 Y6:Y54 AC6:AC54 AA6:AA54 AE6:AE29" name="Диапазон1_3_1_7_2_1_1_1_1_1_1_1"/>
  </protectedRanges>
  <mergeCells count="6">
    <mergeCell ref="A1:J1"/>
    <mergeCell ref="I4:J4"/>
    <mergeCell ref="L1:U1"/>
    <mergeCell ref="T4:U4"/>
    <mergeCell ref="W1:AF1"/>
    <mergeCell ref="AE4:AF4"/>
  </mergeCells>
  <pageMargins left="0.7" right="0.7" top="0.75" bottom="0.75" header="0.3" footer="0.3"/>
  <pageSetup paperSize="9" scale="83" orientation="portrait" verticalDpi="0" r:id="rId1"/>
  <rowBreaks count="1" manualBreakCount="1">
    <brk id="57" max="16383" man="1"/>
  </rowBreaks>
  <colBreaks count="2" manualBreakCount="2">
    <brk id="10" max="56" man="1"/>
    <brk id="21" max="56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9"/>
  <sheetViews>
    <sheetView topLeftCell="A41" zoomScale="90" zoomScaleNormal="90" workbookViewId="0">
      <selection activeCell="Y67" sqref="Y67"/>
    </sheetView>
  </sheetViews>
  <sheetFormatPr defaultRowHeight="15" x14ac:dyDescent="0.25"/>
  <cols>
    <col min="11" max="11" width="2.5703125" customWidth="1"/>
    <col min="22" max="22" width="2.140625" customWidth="1"/>
  </cols>
  <sheetData>
    <row r="1" spans="1:32" ht="18.75" x14ac:dyDescent="0.25">
      <c r="A1" s="207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L1" s="207" t="s">
        <v>0</v>
      </c>
      <c r="M1" s="207"/>
      <c r="N1" s="207"/>
      <c r="O1" s="207"/>
      <c r="P1" s="207"/>
      <c r="Q1" s="207"/>
      <c r="R1" s="207"/>
      <c r="S1" s="207"/>
      <c r="T1" s="207"/>
      <c r="U1" s="207"/>
      <c r="W1" s="207" t="s">
        <v>0</v>
      </c>
      <c r="X1" s="207"/>
      <c r="Y1" s="207"/>
      <c r="Z1" s="207"/>
      <c r="AA1" s="207"/>
      <c r="AB1" s="207"/>
      <c r="AC1" s="207"/>
      <c r="AD1" s="207"/>
      <c r="AE1" s="207"/>
      <c r="AF1" s="207"/>
    </row>
    <row r="2" spans="1:32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  <c r="L2" s="13" t="s">
        <v>1</v>
      </c>
      <c r="M2" s="13"/>
      <c r="N2" s="13"/>
      <c r="O2" s="13"/>
      <c r="P2" s="13"/>
      <c r="Q2" s="13"/>
      <c r="R2" s="27"/>
      <c r="S2" s="13"/>
      <c r="T2" s="13"/>
      <c r="U2" s="13"/>
      <c r="W2" s="13" t="s">
        <v>1</v>
      </c>
      <c r="X2" s="13"/>
      <c r="Y2" s="13"/>
      <c r="Z2" s="13"/>
      <c r="AA2" s="13"/>
      <c r="AB2" s="13"/>
      <c r="AC2" s="27"/>
      <c r="AD2" s="13"/>
      <c r="AE2" s="13"/>
      <c r="AF2" s="13"/>
    </row>
    <row r="3" spans="1:32" ht="15.75" x14ac:dyDescent="0.25">
      <c r="A3" s="25" t="s">
        <v>2</v>
      </c>
      <c r="B3" s="27">
        <v>213</v>
      </c>
      <c r="C3" s="14"/>
      <c r="D3" s="15"/>
      <c r="E3" s="16"/>
      <c r="F3" s="16"/>
      <c r="G3" s="16"/>
      <c r="H3" s="16"/>
      <c r="I3" s="16" t="s">
        <v>33</v>
      </c>
      <c r="J3" s="16"/>
      <c r="L3" s="25" t="s">
        <v>2</v>
      </c>
      <c r="M3" s="27">
        <v>213</v>
      </c>
      <c r="N3" s="14"/>
      <c r="O3" s="15"/>
      <c r="P3" s="16"/>
      <c r="Q3" s="16"/>
      <c r="R3" s="16"/>
      <c r="S3" s="16"/>
      <c r="T3" s="16" t="s">
        <v>33</v>
      </c>
      <c r="U3" s="16"/>
      <c r="W3" s="25" t="s">
        <v>2</v>
      </c>
      <c r="X3" s="27">
        <v>213</v>
      </c>
      <c r="Y3" s="14"/>
      <c r="Z3" s="15"/>
      <c r="AA3" s="16"/>
      <c r="AB3" s="16"/>
      <c r="AC3" s="16"/>
      <c r="AD3" s="16"/>
      <c r="AE3" s="16" t="s">
        <v>33</v>
      </c>
      <c r="AF3" s="16"/>
    </row>
    <row r="4" spans="1:32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  <c r="L4" s="17"/>
      <c r="M4" s="17"/>
      <c r="N4" s="17"/>
      <c r="O4" s="17"/>
      <c r="P4" s="17"/>
      <c r="Q4" s="17"/>
      <c r="R4" s="17"/>
      <c r="S4" s="28"/>
      <c r="T4" s="205" t="s">
        <v>48</v>
      </c>
      <c r="U4" s="206"/>
      <c r="W4" s="17"/>
      <c r="X4" s="17"/>
      <c r="Y4" s="17"/>
      <c r="Z4" s="17"/>
      <c r="AA4" s="17"/>
      <c r="AB4" s="17"/>
      <c r="AC4" s="17"/>
      <c r="AD4" s="28"/>
      <c r="AE4" s="205" t="s">
        <v>50</v>
      </c>
      <c r="AF4" s="206"/>
    </row>
    <row r="5" spans="1:32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  <c r="L5" s="29" t="s">
        <v>3</v>
      </c>
      <c r="M5" s="18" t="s">
        <v>4</v>
      </c>
      <c r="N5" s="29" t="s">
        <v>3</v>
      </c>
      <c r="O5" s="18" t="s">
        <v>4</v>
      </c>
      <c r="P5" s="29" t="s">
        <v>3</v>
      </c>
      <c r="Q5" s="18" t="s">
        <v>4</v>
      </c>
      <c r="R5" s="29" t="s">
        <v>3</v>
      </c>
      <c r="S5" s="30" t="s">
        <v>4</v>
      </c>
      <c r="T5" s="31" t="s">
        <v>3</v>
      </c>
      <c r="U5" s="32" t="s">
        <v>4</v>
      </c>
      <c r="W5" s="29" t="s">
        <v>3</v>
      </c>
      <c r="X5" s="18" t="s">
        <v>4</v>
      </c>
      <c r="Y5" s="29" t="s">
        <v>3</v>
      </c>
      <c r="Z5" s="18" t="s">
        <v>4</v>
      </c>
      <c r="AA5" s="29" t="s">
        <v>3</v>
      </c>
      <c r="AB5" s="18" t="s">
        <v>4</v>
      </c>
      <c r="AC5" s="29" t="s">
        <v>3</v>
      </c>
      <c r="AD5" s="30" t="s">
        <v>4</v>
      </c>
      <c r="AE5" s="31" t="s">
        <v>3</v>
      </c>
      <c r="AF5" s="32" t="s">
        <v>4</v>
      </c>
    </row>
    <row r="6" spans="1:32" ht="15.75" x14ac:dyDescent="0.25">
      <c r="A6" s="22">
        <v>1</v>
      </c>
      <c r="B6" s="19">
        <v>192.2</v>
      </c>
      <c r="C6" s="125">
        <v>50</v>
      </c>
      <c r="D6" s="128">
        <v>197.3</v>
      </c>
      <c r="E6" s="126">
        <v>99</v>
      </c>
      <c r="F6" s="19">
        <v>203.2</v>
      </c>
      <c r="G6" s="33">
        <v>148</v>
      </c>
      <c r="H6" s="19">
        <v>202.4</v>
      </c>
      <c r="I6" s="34">
        <v>197</v>
      </c>
      <c r="J6" s="19">
        <v>201.1</v>
      </c>
      <c r="L6" s="22">
        <v>1</v>
      </c>
      <c r="M6" s="19">
        <v>192.2</v>
      </c>
      <c r="N6" s="125">
        <v>50</v>
      </c>
      <c r="O6" s="128">
        <v>197.3</v>
      </c>
      <c r="P6" s="126">
        <v>99</v>
      </c>
      <c r="Q6" s="19">
        <v>203.2</v>
      </c>
      <c r="R6" s="33">
        <v>148</v>
      </c>
      <c r="S6" s="19">
        <v>202.4</v>
      </c>
      <c r="T6" s="34">
        <v>197</v>
      </c>
      <c r="U6" s="19"/>
      <c r="W6" s="22">
        <v>1</v>
      </c>
      <c r="X6" s="19"/>
      <c r="Y6" s="125">
        <v>50</v>
      </c>
      <c r="Z6" s="128"/>
      <c r="AA6" s="126">
        <v>99</v>
      </c>
      <c r="AB6" s="19"/>
      <c r="AC6" s="33">
        <v>148</v>
      </c>
      <c r="AD6" s="19"/>
      <c r="AE6" s="34">
        <v>197</v>
      </c>
      <c r="AF6" s="19">
        <v>201.1</v>
      </c>
    </row>
    <row r="7" spans="1:32" ht="15.75" x14ac:dyDescent="0.25">
      <c r="A7" s="22">
        <v>2</v>
      </c>
      <c r="B7" s="19">
        <v>208.2</v>
      </c>
      <c r="C7" s="125">
        <v>51</v>
      </c>
      <c r="D7" s="129">
        <v>201.6</v>
      </c>
      <c r="E7" s="126">
        <v>100</v>
      </c>
      <c r="F7" s="19">
        <v>196.2</v>
      </c>
      <c r="G7" s="33">
        <v>149</v>
      </c>
      <c r="H7" s="19">
        <v>195.7</v>
      </c>
      <c r="I7" s="33">
        <v>198</v>
      </c>
      <c r="J7" s="19">
        <v>201.5</v>
      </c>
      <c r="L7" s="22">
        <v>2</v>
      </c>
      <c r="M7" s="19">
        <v>208.2</v>
      </c>
      <c r="N7" s="125">
        <v>51</v>
      </c>
      <c r="O7" s="129">
        <v>201.6</v>
      </c>
      <c r="P7" s="126">
        <v>100</v>
      </c>
      <c r="Q7" s="19">
        <v>196.2</v>
      </c>
      <c r="R7" s="33">
        <v>149</v>
      </c>
      <c r="S7" s="19">
        <v>195.7</v>
      </c>
      <c r="T7" s="33">
        <v>198</v>
      </c>
      <c r="U7" s="19"/>
      <c r="W7" s="22">
        <v>2</v>
      </c>
      <c r="X7" s="19"/>
      <c r="Y7" s="125">
        <v>51</v>
      </c>
      <c r="Z7" s="129"/>
      <c r="AA7" s="126">
        <v>100</v>
      </c>
      <c r="AB7" s="19"/>
      <c r="AC7" s="33">
        <v>149</v>
      </c>
      <c r="AD7" s="19"/>
      <c r="AE7" s="33">
        <v>198</v>
      </c>
      <c r="AF7" s="19">
        <v>201.5</v>
      </c>
    </row>
    <row r="8" spans="1:32" ht="15.75" x14ac:dyDescent="0.25">
      <c r="A8" s="22">
        <v>3</v>
      </c>
      <c r="B8" s="19">
        <v>200.9</v>
      </c>
      <c r="C8" s="125">
        <v>52</v>
      </c>
      <c r="D8" s="130">
        <v>197.3</v>
      </c>
      <c r="E8" s="126">
        <f t="shared" ref="E8:E54" si="0">+E7+1</f>
        <v>101</v>
      </c>
      <c r="F8" s="19">
        <v>200.2</v>
      </c>
      <c r="G8" s="33">
        <v>150</v>
      </c>
      <c r="H8" s="19">
        <v>197.1</v>
      </c>
      <c r="I8" s="33">
        <v>199</v>
      </c>
      <c r="J8" s="19">
        <v>202.4</v>
      </c>
      <c r="L8" s="22">
        <v>3</v>
      </c>
      <c r="M8" s="19">
        <v>200.9</v>
      </c>
      <c r="N8" s="125">
        <v>52</v>
      </c>
      <c r="O8" s="130">
        <v>197.3</v>
      </c>
      <c r="P8" s="126">
        <f t="shared" ref="P8:P54" si="1">+P7+1</f>
        <v>101</v>
      </c>
      <c r="Q8" s="19"/>
      <c r="R8" s="33">
        <v>150</v>
      </c>
      <c r="S8" s="19">
        <v>197.1</v>
      </c>
      <c r="T8" s="33">
        <v>199</v>
      </c>
      <c r="U8" s="19"/>
      <c r="W8" s="22">
        <v>3</v>
      </c>
      <c r="X8" s="19"/>
      <c r="Y8" s="125">
        <v>52</v>
      </c>
      <c r="Z8" s="130"/>
      <c r="AA8" s="126">
        <f t="shared" ref="AA8:AA54" si="2">+AA7+1</f>
        <v>101</v>
      </c>
      <c r="AB8" s="19">
        <v>200.2</v>
      </c>
      <c r="AC8" s="33">
        <v>150</v>
      </c>
      <c r="AD8" s="19"/>
      <c r="AE8" s="33">
        <v>199</v>
      </c>
      <c r="AF8" s="19">
        <v>202.4</v>
      </c>
    </row>
    <row r="9" spans="1:32" ht="15.75" x14ac:dyDescent="0.25">
      <c r="A9" s="22">
        <v>4</v>
      </c>
      <c r="B9" s="19">
        <v>200.3</v>
      </c>
      <c r="C9" s="125">
        <v>53</v>
      </c>
      <c r="D9" s="131">
        <v>199.9</v>
      </c>
      <c r="E9" s="126">
        <f t="shared" si="0"/>
        <v>102</v>
      </c>
      <c r="F9" s="19">
        <v>201.3</v>
      </c>
      <c r="G9" s="33">
        <v>151</v>
      </c>
      <c r="H9" s="19">
        <v>204.8</v>
      </c>
      <c r="I9" s="33">
        <v>200</v>
      </c>
      <c r="J9" s="19">
        <v>200</v>
      </c>
      <c r="L9" s="22">
        <v>4</v>
      </c>
      <c r="M9" s="19">
        <v>200.3</v>
      </c>
      <c r="N9" s="125">
        <v>53</v>
      </c>
      <c r="O9" s="131">
        <v>199.9</v>
      </c>
      <c r="P9" s="126">
        <f t="shared" si="1"/>
        <v>102</v>
      </c>
      <c r="Q9" s="19"/>
      <c r="R9" s="33">
        <v>151</v>
      </c>
      <c r="S9" s="19">
        <v>204.8</v>
      </c>
      <c r="T9" s="33">
        <v>200</v>
      </c>
      <c r="U9" s="19"/>
      <c r="W9" s="22">
        <v>4</v>
      </c>
      <c r="X9" s="19"/>
      <c r="Y9" s="125">
        <v>53</v>
      </c>
      <c r="Z9" s="131"/>
      <c r="AA9" s="126">
        <f t="shared" si="2"/>
        <v>102</v>
      </c>
      <c r="AB9" s="19">
        <v>201.3</v>
      </c>
      <c r="AC9" s="33">
        <v>151</v>
      </c>
      <c r="AD9" s="19"/>
      <c r="AE9" s="33">
        <v>200</v>
      </c>
      <c r="AF9" s="19">
        <v>200</v>
      </c>
    </row>
    <row r="10" spans="1:32" ht="15.75" x14ac:dyDescent="0.25">
      <c r="A10" s="22">
        <v>5</v>
      </c>
      <c r="B10" s="19">
        <v>203.7</v>
      </c>
      <c r="C10" s="125">
        <v>54</v>
      </c>
      <c r="D10" s="131">
        <v>198.9</v>
      </c>
      <c r="E10" s="126">
        <f t="shared" si="0"/>
        <v>103</v>
      </c>
      <c r="F10" s="19">
        <v>199.8</v>
      </c>
      <c r="G10" s="33">
        <v>152</v>
      </c>
      <c r="H10" s="19">
        <v>204.4</v>
      </c>
      <c r="I10" s="33">
        <v>201</v>
      </c>
      <c r="J10" s="19">
        <v>198.9</v>
      </c>
      <c r="L10" s="22">
        <v>5</v>
      </c>
      <c r="M10" s="19">
        <v>203.7</v>
      </c>
      <c r="N10" s="125">
        <v>54</v>
      </c>
      <c r="O10" s="131">
        <v>198.9</v>
      </c>
      <c r="P10" s="126">
        <f t="shared" si="1"/>
        <v>103</v>
      </c>
      <c r="Q10" s="19"/>
      <c r="R10" s="33">
        <v>152</v>
      </c>
      <c r="S10" s="19">
        <v>204.4</v>
      </c>
      <c r="T10" s="33">
        <v>201</v>
      </c>
      <c r="U10" s="19"/>
      <c r="W10" s="22">
        <v>5</v>
      </c>
      <c r="X10" s="19"/>
      <c r="Y10" s="125">
        <v>54</v>
      </c>
      <c r="Z10" s="131"/>
      <c r="AA10" s="126">
        <f t="shared" si="2"/>
        <v>103</v>
      </c>
      <c r="AB10" s="19">
        <v>199.8</v>
      </c>
      <c r="AC10" s="33">
        <v>152</v>
      </c>
      <c r="AD10" s="19"/>
      <c r="AE10" s="33">
        <v>201</v>
      </c>
      <c r="AF10" s="19">
        <v>198.9</v>
      </c>
    </row>
    <row r="11" spans="1:32" ht="15.75" x14ac:dyDescent="0.25">
      <c r="A11" s="22">
        <v>6</v>
      </c>
      <c r="B11" s="19">
        <v>201.5</v>
      </c>
      <c r="C11" s="125">
        <v>55</v>
      </c>
      <c r="D11" s="131">
        <v>198.2</v>
      </c>
      <c r="E11" s="126">
        <f t="shared" si="0"/>
        <v>104</v>
      </c>
      <c r="F11" s="19">
        <v>193.1</v>
      </c>
      <c r="G11" s="33">
        <v>153</v>
      </c>
      <c r="H11" s="19">
        <v>203</v>
      </c>
      <c r="I11" s="33">
        <v>202</v>
      </c>
      <c r="J11" s="19">
        <v>202.1</v>
      </c>
      <c r="L11" s="22">
        <v>6</v>
      </c>
      <c r="M11" s="19">
        <v>201.5</v>
      </c>
      <c r="N11" s="125">
        <v>55</v>
      </c>
      <c r="O11" s="131">
        <v>198.2</v>
      </c>
      <c r="P11" s="126">
        <f t="shared" si="1"/>
        <v>104</v>
      </c>
      <c r="Q11" s="19"/>
      <c r="R11" s="33">
        <v>153</v>
      </c>
      <c r="S11" s="19">
        <v>203</v>
      </c>
      <c r="T11" s="33">
        <v>202</v>
      </c>
      <c r="U11" s="19"/>
      <c r="W11" s="22">
        <v>6</v>
      </c>
      <c r="X11" s="19"/>
      <c r="Y11" s="125">
        <v>55</v>
      </c>
      <c r="Z11" s="131"/>
      <c r="AA11" s="126">
        <f t="shared" si="2"/>
        <v>104</v>
      </c>
      <c r="AB11" s="19">
        <v>193.1</v>
      </c>
      <c r="AC11" s="33">
        <v>153</v>
      </c>
      <c r="AD11" s="19"/>
      <c r="AE11" s="33">
        <v>202</v>
      </c>
      <c r="AF11" s="19">
        <v>202.1</v>
      </c>
    </row>
    <row r="12" spans="1:32" ht="15.75" x14ac:dyDescent="0.25">
      <c r="A12" s="22">
        <v>7</v>
      </c>
      <c r="B12" s="19">
        <v>203.5</v>
      </c>
      <c r="C12" s="125">
        <v>56</v>
      </c>
      <c r="D12" s="131">
        <v>203.6</v>
      </c>
      <c r="E12" s="126">
        <f t="shared" si="0"/>
        <v>105</v>
      </c>
      <c r="F12" s="19">
        <v>201.8</v>
      </c>
      <c r="G12" s="33">
        <v>154</v>
      </c>
      <c r="H12" s="19">
        <v>196.1</v>
      </c>
      <c r="I12" s="33">
        <v>203</v>
      </c>
      <c r="J12" s="19">
        <v>204</v>
      </c>
      <c r="L12" s="22">
        <v>7</v>
      </c>
      <c r="M12" s="19">
        <v>203.5</v>
      </c>
      <c r="N12" s="125">
        <v>56</v>
      </c>
      <c r="O12" s="131">
        <v>203.6</v>
      </c>
      <c r="P12" s="126">
        <f t="shared" si="1"/>
        <v>105</v>
      </c>
      <c r="Q12" s="19"/>
      <c r="R12" s="33">
        <v>154</v>
      </c>
      <c r="S12" s="19">
        <v>196.1</v>
      </c>
      <c r="T12" s="33">
        <v>203</v>
      </c>
      <c r="U12" s="19"/>
      <c r="W12" s="22">
        <v>7</v>
      </c>
      <c r="X12" s="19"/>
      <c r="Y12" s="125">
        <v>56</v>
      </c>
      <c r="Z12" s="131"/>
      <c r="AA12" s="126">
        <f t="shared" si="2"/>
        <v>105</v>
      </c>
      <c r="AB12" s="19">
        <v>201.8</v>
      </c>
      <c r="AC12" s="33">
        <v>154</v>
      </c>
      <c r="AD12" s="19"/>
      <c r="AE12" s="33">
        <v>203</v>
      </c>
      <c r="AF12" s="19">
        <v>204</v>
      </c>
    </row>
    <row r="13" spans="1:32" ht="15.75" x14ac:dyDescent="0.25">
      <c r="A13" s="22">
        <v>8</v>
      </c>
      <c r="B13" s="19">
        <v>199.9</v>
      </c>
      <c r="C13" s="125">
        <v>57</v>
      </c>
      <c r="D13" s="131">
        <v>199.3</v>
      </c>
      <c r="E13" s="126">
        <f t="shared" si="0"/>
        <v>106</v>
      </c>
      <c r="F13" s="19">
        <v>202.5</v>
      </c>
      <c r="G13" s="33">
        <v>155</v>
      </c>
      <c r="H13" s="19">
        <v>203.9</v>
      </c>
      <c r="I13" s="33">
        <v>204</v>
      </c>
      <c r="J13" s="19">
        <v>199.9</v>
      </c>
      <c r="L13" s="22">
        <v>8</v>
      </c>
      <c r="M13" s="19">
        <v>199.9</v>
      </c>
      <c r="N13" s="125">
        <v>57</v>
      </c>
      <c r="O13" s="131">
        <v>199.3</v>
      </c>
      <c r="P13" s="126">
        <f t="shared" si="1"/>
        <v>106</v>
      </c>
      <c r="Q13" s="19"/>
      <c r="R13" s="33">
        <v>155</v>
      </c>
      <c r="S13" s="19">
        <v>203.9</v>
      </c>
      <c r="T13" s="33">
        <v>204</v>
      </c>
      <c r="U13" s="19"/>
      <c r="W13" s="22">
        <v>8</v>
      </c>
      <c r="X13" s="19"/>
      <c r="Y13" s="125">
        <v>57</v>
      </c>
      <c r="Z13" s="131"/>
      <c r="AA13" s="126">
        <f t="shared" si="2"/>
        <v>106</v>
      </c>
      <c r="AB13" s="19">
        <v>202.5</v>
      </c>
      <c r="AC13" s="33">
        <v>155</v>
      </c>
      <c r="AD13" s="19"/>
      <c r="AE13" s="33">
        <v>204</v>
      </c>
      <c r="AF13" s="19">
        <v>199.9</v>
      </c>
    </row>
    <row r="14" spans="1:32" ht="15.75" x14ac:dyDescent="0.25">
      <c r="A14" s="22">
        <v>9</v>
      </c>
      <c r="B14" s="19">
        <v>198</v>
      </c>
      <c r="C14" s="125">
        <v>58</v>
      </c>
      <c r="D14" s="131">
        <v>203.2</v>
      </c>
      <c r="E14" s="126">
        <f t="shared" si="0"/>
        <v>107</v>
      </c>
      <c r="F14" s="19">
        <v>197.8</v>
      </c>
      <c r="G14" s="33">
        <v>156</v>
      </c>
      <c r="H14" s="19">
        <v>203</v>
      </c>
      <c r="I14" s="33">
        <v>205</v>
      </c>
      <c r="J14" s="19">
        <v>200.5</v>
      </c>
      <c r="L14" s="22">
        <v>9</v>
      </c>
      <c r="M14" s="19">
        <v>198</v>
      </c>
      <c r="N14" s="125">
        <v>58</v>
      </c>
      <c r="O14" s="131">
        <v>203.2</v>
      </c>
      <c r="P14" s="126">
        <f t="shared" si="1"/>
        <v>107</v>
      </c>
      <c r="Q14" s="19"/>
      <c r="R14" s="33">
        <v>156</v>
      </c>
      <c r="S14" s="19">
        <v>203</v>
      </c>
      <c r="T14" s="33">
        <v>205</v>
      </c>
      <c r="U14" s="19"/>
      <c r="W14" s="22">
        <v>9</v>
      </c>
      <c r="X14" s="19"/>
      <c r="Y14" s="125">
        <v>58</v>
      </c>
      <c r="Z14" s="131"/>
      <c r="AA14" s="126">
        <f t="shared" si="2"/>
        <v>107</v>
      </c>
      <c r="AB14" s="19">
        <v>197.8</v>
      </c>
      <c r="AC14" s="33">
        <v>156</v>
      </c>
      <c r="AD14" s="19"/>
      <c r="AE14" s="33">
        <v>205</v>
      </c>
      <c r="AF14" s="19">
        <v>200.5</v>
      </c>
    </row>
    <row r="15" spans="1:32" ht="15.75" x14ac:dyDescent="0.25">
      <c r="A15" s="22">
        <v>10</v>
      </c>
      <c r="B15" s="19">
        <v>198.8</v>
      </c>
      <c r="C15" s="125">
        <v>59</v>
      </c>
      <c r="D15" s="131">
        <v>201.8</v>
      </c>
      <c r="E15" s="126">
        <f t="shared" si="0"/>
        <v>108</v>
      </c>
      <c r="F15" s="19">
        <v>201.3</v>
      </c>
      <c r="G15" s="33">
        <v>157</v>
      </c>
      <c r="H15" s="19">
        <v>195</v>
      </c>
      <c r="I15" s="33">
        <v>206</v>
      </c>
      <c r="J15" s="19">
        <v>200.5</v>
      </c>
      <c r="L15" s="22">
        <v>10</v>
      </c>
      <c r="M15" s="19">
        <v>198.8</v>
      </c>
      <c r="N15" s="125">
        <v>59</v>
      </c>
      <c r="O15" s="131">
        <v>201.8</v>
      </c>
      <c r="P15" s="126">
        <f t="shared" si="1"/>
        <v>108</v>
      </c>
      <c r="Q15" s="19"/>
      <c r="R15" s="33">
        <v>157</v>
      </c>
      <c r="S15" s="19">
        <v>195</v>
      </c>
      <c r="T15" s="33">
        <v>206</v>
      </c>
      <c r="U15" s="19"/>
      <c r="W15" s="22">
        <v>10</v>
      </c>
      <c r="X15" s="19"/>
      <c r="Y15" s="125">
        <v>59</v>
      </c>
      <c r="Z15" s="131"/>
      <c r="AA15" s="126">
        <f t="shared" si="2"/>
        <v>108</v>
      </c>
      <c r="AB15" s="19">
        <v>201.3</v>
      </c>
      <c r="AC15" s="33">
        <v>157</v>
      </c>
      <c r="AD15" s="19"/>
      <c r="AE15" s="33">
        <v>206</v>
      </c>
      <c r="AF15" s="19">
        <v>200.5</v>
      </c>
    </row>
    <row r="16" spans="1:32" ht="15.75" x14ac:dyDescent="0.25">
      <c r="A16" s="22">
        <v>11</v>
      </c>
      <c r="B16" s="19">
        <v>200.7</v>
      </c>
      <c r="C16" s="125">
        <v>60</v>
      </c>
      <c r="D16" s="131">
        <v>202.2</v>
      </c>
      <c r="E16" s="126">
        <f t="shared" si="0"/>
        <v>109</v>
      </c>
      <c r="F16" s="19">
        <v>192.9</v>
      </c>
      <c r="G16" s="33">
        <v>158</v>
      </c>
      <c r="H16" s="19">
        <v>198.5</v>
      </c>
      <c r="I16" s="33">
        <v>207</v>
      </c>
      <c r="J16" s="19">
        <v>201.5</v>
      </c>
      <c r="L16" s="22">
        <v>11</v>
      </c>
      <c r="M16" s="19">
        <v>200.7</v>
      </c>
      <c r="N16" s="125">
        <v>60</v>
      </c>
      <c r="O16" s="131">
        <v>202.2</v>
      </c>
      <c r="P16" s="126">
        <f t="shared" si="1"/>
        <v>109</v>
      </c>
      <c r="Q16" s="19"/>
      <c r="R16" s="33">
        <v>158</v>
      </c>
      <c r="S16" s="19">
        <v>198.5</v>
      </c>
      <c r="T16" s="33">
        <v>207</v>
      </c>
      <c r="U16" s="19"/>
      <c r="W16" s="22">
        <v>11</v>
      </c>
      <c r="X16" s="19"/>
      <c r="Y16" s="125">
        <v>60</v>
      </c>
      <c r="Z16" s="131"/>
      <c r="AA16" s="126">
        <f t="shared" si="2"/>
        <v>109</v>
      </c>
      <c r="AB16" s="19">
        <v>192.9</v>
      </c>
      <c r="AC16" s="33">
        <v>158</v>
      </c>
      <c r="AD16" s="19"/>
      <c r="AE16" s="33">
        <v>207</v>
      </c>
      <c r="AF16" s="19">
        <v>201.5</v>
      </c>
    </row>
    <row r="17" spans="1:32" ht="15.75" x14ac:dyDescent="0.25">
      <c r="A17" s="22">
        <v>12</v>
      </c>
      <c r="B17" s="19">
        <v>199.4</v>
      </c>
      <c r="C17" s="125">
        <v>61</v>
      </c>
      <c r="D17" s="131">
        <v>198.2</v>
      </c>
      <c r="E17" s="126">
        <f t="shared" si="0"/>
        <v>110</v>
      </c>
      <c r="F17" s="19">
        <v>200.5</v>
      </c>
      <c r="G17" s="33">
        <v>159</v>
      </c>
      <c r="H17" s="19">
        <v>201</v>
      </c>
      <c r="I17" s="33">
        <v>208</v>
      </c>
      <c r="J17" s="19">
        <v>199.5</v>
      </c>
      <c r="L17" s="22">
        <v>12</v>
      </c>
      <c r="M17" s="19">
        <v>199.4</v>
      </c>
      <c r="N17" s="125">
        <v>61</v>
      </c>
      <c r="O17" s="131">
        <v>198.2</v>
      </c>
      <c r="P17" s="126">
        <f t="shared" si="1"/>
        <v>110</v>
      </c>
      <c r="Q17" s="19"/>
      <c r="R17" s="33">
        <v>159</v>
      </c>
      <c r="S17" s="19">
        <v>201</v>
      </c>
      <c r="T17" s="33">
        <v>208</v>
      </c>
      <c r="U17" s="19"/>
      <c r="W17" s="22">
        <v>12</v>
      </c>
      <c r="X17" s="19"/>
      <c r="Y17" s="125">
        <v>61</v>
      </c>
      <c r="Z17" s="131"/>
      <c r="AA17" s="126">
        <f t="shared" si="2"/>
        <v>110</v>
      </c>
      <c r="AB17" s="19">
        <v>200.5</v>
      </c>
      <c r="AC17" s="33">
        <v>159</v>
      </c>
      <c r="AD17" s="19"/>
      <c r="AE17" s="33">
        <v>208</v>
      </c>
      <c r="AF17" s="19">
        <v>199.5</v>
      </c>
    </row>
    <row r="18" spans="1:32" ht="15.75" x14ac:dyDescent="0.25">
      <c r="A18" s="22">
        <v>13</v>
      </c>
      <c r="B18" s="19">
        <v>202.4</v>
      </c>
      <c r="C18" s="125">
        <v>62</v>
      </c>
      <c r="D18" s="127">
        <v>200.7</v>
      </c>
      <c r="E18" s="126">
        <f t="shared" si="0"/>
        <v>111</v>
      </c>
      <c r="F18" s="19">
        <v>203.2</v>
      </c>
      <c r="G18" s="33">
        <v>160</v>
      </c>
      <c r="H18" s="19">
        <v>206.1</v>
      </c>
      <c r="I18" s="33">
        <v>209</v>
      </c>
      <c r="J18" s="19">
        <v>201.8</v>
      </c>
      <c r="L18" s="22">
        <v>13</v>
      </c>
      <c r="M18" s="19">
        <v>202.4</v>
      </c>
      <c r="N18" s="125">
        <v>62</v>
      </c>
      <c r="O18" s="127">
        <v>200.7</v>
      </c>
      <c r="P18" s="126">
        <f t="shared" si="1"/>
        <v>111</v>
      </c>
      <c r="Q18" s="19"/>
      <c r="R18" s="33">
        <v>160</v>
      </c>
      <c r="S18" s="19">
        <v>206.1</v>
      </c>
      <c r="T18" s="33">
        <v>209</v>
      </c>
      <c r="U18" s="19"/>
      <c r="W18" s="22">
        <v>13</v>
      </c>
      <c r="X18" s="19"/>
      <c r="Y18" s="125">
        <v>62</v>
      </c>
      <c r="Z18" s="127"/>
      <c r="AA18" s="126">
        <f t="shared" si="2"/>
        <v>111</v>
      </c>
      <c r="AB18" s="19">
        <v>203.2</v>
      </c>
      <c r="AC18" s="33">
        <v>160</v>
      </c>
      <c r="AD18" s="19"/>
      <c r="AE18" s="33">
        <v>209</v>
      </c>
      <c r="AF18" s="19">
        <v>201.8</v>
      </c>
    </row>
    <row r="19" spans="1:32" ht="13.5" customHeight="1" x14ac:dyDescent="0.25">
      <c r="A19" s="22">
        <v>14</v>
      </c>
      <c r="B19" s="19">
        <v>197</v>
      </c>
      <c r="C19" s="125">
        <v>63</v>
      </c>
      <c r="D19" s="127">
        <v>201.2</v>
      </c>
      <c r="E19" s="126">
        <f t="shared" si="0"/>
        <v>112</v>
      </c>
      <c r="F19" s="19">
        <v>199.3</v>
      </c>
      <c r="G19" s="33">
        <v>161</v>
      </c>
      <c r="H19" s="19">
        <v>205.2</v>
      </c>
      <c r="I19" s="33">
        <v>210</v>
      </c>
      <c r="J19" s="19">
        <v>197</v>
      </c>
      <c r="L19" s="22">
        <v>14</v>
      </c>
      <c r="M19" s="19">
        <v>197</v>
      </c>
      <c r="N19" s="125">
        <v>63</v>
      </c>
      <c r="O19" s="127">
        <v>201.2</v>
      </c>
      <c r="P19" s="126">
        <f t="shared" si="1"/>
        <v>112</v>
      </c>
      <c r="Q19" s="19"/>
      <c r="R19" s="33">
        <v>161</v>
      </c>
      <c r="S19" s="19">
        <v>205.2</v>
      </c>
      <c r="T19" s="33">
        <v>210</v>
      </c>
      <c r="U19" s="19"/>
      <c r="W19" s="22">
        <v>14</v>
      </c>
      <c r="X19" s="19"/>
      <c r="Y19" s="125">
        <v>63</v>
      </c>
      <c r="Z19" s="127"/>
      <c r="AA19" s="126">
        <f t="shared" si="2"/>
        <v>112</v>
      </c>
      <c r="AB19" s="19">
        <v>199.3</v>
      </c>
      <c r="AC19" s="33">
        <v>161</v>
      </c>
      <c r="AD19" s="19"/>
      <c r="AE19" s="33">
        <v>210</v>
      </c>
      <c r="AF19" s="19">
        <v>197</v>
      </c>
    </row>
    <row r="20" spans="1:32" ht="15.75" x14ac:dyDescent="0.25">
      <c r="A20" s="22">
        <v>15</v>
      </c>
      <c r="B20" s="19">
        <v>209.8</v>
      </c>
      <c r="C20" s="22">
        <v>64</v>
      </c>
      <c r="D20" s="19">
        <v>206.2</v>
      </c>
      <c r="E20" s="22">
        <f t="shared" si="0"/>
        <v>113</v>
      </c>
      <c r="F20" s="19">
        <v>201.4</v>
      </c>
      <c r="G20" s="35">
        <v>162</v>
      </c>
      <c r="H20" s="19">
        <v>201.6</v>
      </c>
      <c r="I20" s="33">
        <v>211</v>
      </c>
      <c r="J20" s="19">
        <v>200.4</v>
      </c>
      <c r="L20" s="22">
        <v>15</v>
      </c>
      <c r="M20" s="19">
        <v>209.8</v>
      </c>
      <c r="N20" s="22">
        <v>64</v>
      </c>
      <c r="O20" s="19">
        <v>206.2</v>
      </c>
      <c r="P20" s="22">
        <f t="shared" si="1"/>
        <v>113</v>
      </c>
      <c r="Q20" s="19"/>
      <c r="R20" s="35">
        <v>162</v>
      </c>
      <c r="S20" s="19">
        <v>201.6</v>
      </c>
      <c r="T20" s="33">
        <v>211</v>
      </c>
      <c r="U20" s="19"/>
      <c r="W20" s="22">
        <v>15</v>
      </c>
      <c r="X20" s="19"/>
      <c r="Y20" s="22">
        <v>64</v>
      </c>
      <c r="Z20" s="19"/>
      <c r="AA20" s="22">
        <f t="shared" si="2"/>
        <v>113</v>
      </c>
      <c r="AB20" s="19">
        <v>201.4</v>
      </c>
      <c r="AC20" s="35">
        <v>162</v>
      </c>
      <c r="AD20" s="19"/>
      <c r="AE20" s="33">
        <v>211</v>
      </c>
      <c r="AF20" s="19">
        <v>200.4</v>
      </c>
    </row>
    <row r="21" spans="1:32" ht="15.75" x14ac:dyDescent="0.25">
      <c r="A21" s="22">
        <v>16</v>
      </c>
      <c r="B21" s="19">
        <v>204.8</v>
      </c>
      <c r="C21" s="22">
        <v>65</v>
      </c>
      <c r="D21" s="19">
        <v>195.3</v>
      </c>
      <c r="E21" s="22">
        <f t="shared" si="0"/>
        <v>114</v>
      </c>
      <c r="F21" s="19">
        <v>203.3</v>
      </c>
      <c r="G21" s="35">
        <v>163</v>
      </c>
      <c r="H21" s="19">
        <v>202.1</v>
      </c>
      <c r="I21" s="33">
        <v>212</v>
      </c>
      <c r="J21" s="19">
        <v>200.6</v>
      </c>
      <c r="L21" s="22">
        <v>16</v>
      </c>
      <c r="M21" s="19">
        <v>204.8</v>
      </c>
      <c r="N21" s="22">
        <v>65</v>
      </c>
      <c r="O21" s="19">
        <v>195.3</v>
      </c>
      <c r="P21" s="22">
        <f t="shared" si="1"/>
        <v>114</v>
      </c>
      <c r="Q21" s="19"/>
      <c r="R21" s="35">
        <v>163</v>
      </c>
      <c r="S21" s="19">
        <v>202.1</v>
      </c>
      <c r="T21" s="33">
        <v>212</v>
      </c>
      <c r="U21" s="19"/>
      <c r="W21" s="22">
        <v>16</v>
      </c>
      <c r="X21" s="19"/>
      <c r="Y21" s="22">
        <v>65</v>
      </c>
      <c r="Z21" s="19"/>
      <c r="AA21" s="22">
        <f t="shared" si="2"/>
        <v>114</v>
      </c>
      <c r="AB21" s="19">
        <v>203.3</v>
      </c>
      <c r="AC21" s="35">
        <v>163</v>
      </c>
      <c r="AD21" s="19"/>
      <c r="AE21" s="33">
        <v>212</v>
      </c>
      <c r="AF21" s="19">
        <v>200.6</v>
      </c>
    </row>
    <row r="22" spans="1:32" ht="15.75" x14ac:dyDescent="0.25">
      <c r="A22" s="22">
        <v>17</v>
      </c>
      <c r="B22" s="19">
        <v>196.3</v>
      </c>
      <c r="C22" s="22">
        <v>66</v>
      </c>
      <c r="D22" s="19">
        <v>198.4</v>
      </c>
      <c r="E22" s="22">
        <f t="shared" si="0"/>
        <v>115</v>
      </c>
      <c r="F22" s="19">
        <v>201.4</v>
      </c>
      <c r="G22" s="35">
        <v>164</v>
      </c>
      <c r="H22" s="19">
        <v>202.9</v>
      </c>
      <c r="I22" s="33">
        <v>213</v>
      </c>
      <c r="J22" s="19">
        <v>197.4</v>
      </c>
      <c r="L22" s="22">
        <v>17</v>
      </c>
      <c r="M22" s="19">
        <v>196.3</v>
      </c>
      <c r="N22" s="22">
        <v>66</v>
      </c>
      <c r="O22" s="19">
        <v>198.4</v>
      </c>
      <c r="P22" s="22">
        <f t="shared" si="1"/>
        <v>115</v>
      </c>
      <c r="Q22" s="19"/>
      <c r="R22" s="35">
        <v>164</v>
      </c>
      <c r="S22" s="19">
        <v>202.9</v>
      </c>
      <c r="T22" s="33">
        <v>213</v>
      </c>
      <c r="U22" s="19"/>
      <c r="W22" s="22">
        <v>17</v>
      </c>
      <c r="X22" s="19"/>
      <c r="Y22" s="22">
        <v>66</v>
      </c>
      <c r="Z22" s="19"/>
      <c r="AA22" s="22">
        <f t="shared" si="2"/>
        <v>115</v>
      </c>
      <c r="AB22" s="19">
        <v>201.4</v>
      </c>
      <c r="AC22" s="35">
        <v>164</v>
      </c>
      <c r="AD22" s="19"/>
      <c r="AE22" s="33">
        <v>213</v>
      </c>
      <c r="AF22" s="19">
        <v>197.4</v>
      </c>
    </row>
    <row r="23" spans="1:32" ht="15.75" x14ac:dyDescent="0.25">
      <c r="A23" s="22">
        <v>18</v>
      </c>
      <c r="B23" s="19">
        <v>200</v>
      </c>
      <c r="C23" s="22">
        <v>67</v>
      </c>
      <c r="D23" s="19">
        <v>195.2</v>
      </c>
      <c r="E23" s="22">
        <f t="shared" si="0"/>
        <v>116</v>
      </c>
      <c r="F23" s="19">
        <v>202.1</v>
      </c>
      <c r="G23" s="35">
        <v>165</v>
      </c>
      <c r="H23" s="19">
        <v>201.6</v>
      </c>
      <c r="I23" s="33">
        <v>214</v>
      </c>
      <c r="J23" s="19">
        <v>195.7</v>
      </c>
      <c r="L23" s="22">
        <v>18</v>
      </c>
      <c r="M23" s="19">
        <v>200</v>
      </c>
      <c r="N23" s="22">
        <v>67</v>
      </c>
      <c r="O23" s="19">
        <v>195.2</v>
      </c>
      <c r="P23" s="22">
        <f t="shared" si="1"/>
        <v>116</v>
      </c>
      <c r="Q23" s="19"/>
      <c r="R23" s="35">
        <v>165</v>
      </c>
      <c r="S23" s="19">
        <v>201.6</v>
      </c>
      <c r="T23" s="33">
        <v>214</v>
      </c>
      <c r="U23" s="19"/>
      <c r="W23" s="22">
        <v>18</v>
      </c>
      <c r="X23" s="19"/>
      <c r="Y23" s="22">
        <v>67</v>
      </c>
      <c r="Z23" s="19"/>
      <c r="AA23" s="22">
        <f t="shared" si="2"/>
        <v>116</v>
      </c>
      <c r="AB23" s="19">
        <v>202.1</v>
      </c>
      <c r="AC23" s="35">
        <v>165</v>
      </c>
      <c r="AD23" s="19"/>
      <c r="AE23" s="33">
        <v>214</v>
      </c>
      <c r="AF23" s="19">
        <v>195.7</v>
      </c>
    </row>
    <row r="24" spans="1:32" ht="15.75" x14ac:dyDescent="0.25">
      <c r="A24" s="22">
        <v>19</v>
      </c>
      <c r="B24" s="19">
        <v>205.2</v>
      </c>
      <c r="C24" s="22">
        <v>68</v>
      </c>
      <c r="D24" s="19">
        <v>201.3</v>
      </c>
      <c r="E24" s="22">
        <f t="shared" si="0"/>
        <v>117</v>
      </c>
      <c r="F24" s="19">
        <v>202.5</v>
      </c>
      <c r="G24" s="35">
        <v>166</v>
      </c>
      <c r="H24" s="19">
        <v>205.2</v>
      </c>
      <c r="I24" s="33">
        <v>215</v>
      </c>
      <c r="J24" s="19">
        <v>201.7</v>
      </c>
      <c r="L24" s="22">
        <v>19</v>
      </c>
      <c r="M24" s="19">
        <v>205.2</v>
      </c>
      <c r="N24" s="22">
        <v>68</v>
      </c>
      <c r="O24" s="19">
        <v>201.3</v>
      </c>
      <c r="P24" s="22">
        <f t="shared" si="1"/>
        <v>117</v>
      </c>
      <c r="Q24" s="19"/>
      <c r="R24" s="35">
        <v>166</v>
      </c>
      <c r="S24" s="19">
        <v>205.2</v>
      </c>
      <c r="T24" s="33">
        <v>215</v>
      </c>
      <c r="U24" s="19"/>
      <c r="W24" s="22">
        <v>19</v>
      </c>
      <c r="X24" s="19"/>
      <c r="Y24" s="22">
        <v>68</v>
      </c>
      <c r="Z24" s="19"/>
      <c r="AA24" s="22">
        <f t="shared" si="2"/>
        <v>117</v>
      </c>
      <c r="AB24" s="19">
        <v>202.5</v>
      </c>
      <c r="AC24" s="35">
        <v>166</v>
      </c>
      <c r="AD24" s="19"/>
      <c r="AE24" s="33">
        <v>215</v>
      </c>
      <c r="AF24" s="19">
        <v>201.7</v>
      </c>
    </row>
    <row r="25" spans="1:32" ht="15.75" x14ac:dyDescent="0.25">
      <c r="A25" s="22">
        <v>20</v>
      </c>
      <c r="B25" s="19">
        <v>195.5</v>
      </c>
      <c r="C25" s="22">
        <v>69</v>
      </c>
      <c r="D25" s="19">
        <v>196.2</v>
      </c>
      <c r="E25" s="22">
        <f t="shared" si="0"/>
        <v>118</v>
      </c>
      <c r="F25" s="19">
        <v>199.6</v>
      </c>
      <c r="G25" s="35">
        <v>167</v>
      </c>
      <c r="H25" s="19">
        <v>200.4</v>
      </c>
      <c r="I25" s="33">
        <v>216</v>
      </c>
      <c r="J25" s="19">
        <v>197</v>
      </c>
      <c r="L25" s="22">
        <v>20</v>
      </c>
      <c r="M25" s="19">
        <v>195.5</v>
      </c>
      <c r="N25" s="22">
        <v>69</v>
      </c>
      <c r="O25" s="19">
        <v>196.2</v>
      </c>
      <c r="P25" s="22">
        <f t="shared" si="1"/>
        <v>118</v>
      </c>
      <c r="Q25" s="19"/>
      <c r="R25" s="35">
        <v>167</v>
      </c>
      <c r="S25" s="19">
        <v>200.4</v>
      </c>
      <c r="T25" s="33">
        <v>216</v>
      </c>
      <c r="U25" s="19"/>
      <c r="W25" s="22">
        <v>20</v>
      </c>
      <c r="X25" s="19"/>
      <c r="Y25" s="22">
        <v>69</v>
      </c>
      <c r="Z25" s="19"/>
      <c r="AA25" s="22">
        <f t="shared" si="2"/>
        <v>118</v>
      </c>
      <c r="AB25" s="19">
        <v>199.6</v>
      </c>
      <c r="AC25" s="35">
        <v>167</v>
      </c>
      <c r="AD25" s="19"/>
      <c r="AE25" s="33">
        <v>216</v>
      </c>
      <c r="AF25" s="19">
        <v>197</v>
      </c>
    </row>
    <row r="26" spans="1:32" ht="15.75" x14ac:dyDescent="0.25">
      <c r="A26" s="22">
        <v>21</v>
      </c>
      <c r="B26" s="19">
        <v>199.5</v>
      </c>
      <c r="C26" s="22">
        <v>70</v>
      </c>
      <c r="D26" s="19">
        <v>201.2</v>
      </c>
      <c r="E26" s="22">
        <f t="shared" si="0"/>
        <v>119</v>
      </c>
      <c r="F26" s="19">
        <v>210.6</v>
      </c>
      <c r="G26" s="35">
        <v>168</v>
      </c>
      <c r="H26" s="19">
        <v>205</v>
      </c>
      <c r="I26" s="33">
        <v>217</v>
      </c>
      <c r="J26" s="19">
        <v>193.3</v>
      </c>
      <c r="L26" s="22">
        <v>21</v>
      </c>
      <c r="M26" s="19">
        <v>199.5</v>
      </c>
      <c r="N26" s="22">
        <v>70</v>
      </c>
      <c r="O26" s="19">
        <v>201.2</v>
      </c>
      <c r="P26" s="22">
        <f t="shared" si="1"/>
        <v>119</v>
      </c>
      <c r="Q26" s="19"/>
      <c r="R26" s="35">
        <v>168</v>
      </c>
      <c r="S26" s="19">
        <v>205</v>
      </c>
      <c r="T26" s="33">
        <v>217</v>
      </c>
      <c r="U26" s="19"/>
      <c r="W26" s="22">
        <v>21</v>
      </c>
      <c r="X26" s="19"/>
      <c r="Y26" s="22">
        <v>70</v>
      </c>
      <c r="Z26" s="19"/>
      <c r="AA26" s="22">
        <f t="shared" si="2"/>
        <v>119</v>
      </c>
      <c r="AB26" s="19">
        <v>210.6</v>
      </c>
      <c r="AC26" s="35">
        <v>168</v>
      </c>
      <c r="AD26" s="19"/>
      <c r="AE26" s="33">
        <v>217</v>
      </c>
      <c r="AF26" s="19">
        <v>193.3</v>
      </c>
    </row>
    <row r="27" spans="1:32" ht="15.75" x14ac:dyDescent="0.25">
      <c r="A27" s="22">
        <v>22</v>
      </c>
      <c r="B27" s="19">
        <v>204.4</v>
      </c>
      <c r="C27" s="22">
        <v>71</v>
      </c>
      <c r="D27" s="19">
        <v>199.2</v>
      </c>
      <c r="E27" s="22">
        <f t="shared" si="0"/>
        <v>120</v>
      </c>
      <c r="F27" s="19">
        <v>195.8</v>
      </c>
      <c r="G27" s="35">
        <v>169</v>
      </c>
      <c r="H27" s="19">
        <v>206.8</v>
      </c>
      <c r="I27" s="33">
        <v>218</v>
      </c>
      <c r="J27" s="19">
        <v>195</v>
      </c>
      <c r="L27" s="22">
        <v>22</v>
      </c>
      <c r="M27" s="19">
        <v>204.4</v>
      </c>
      <c r="N27" s="22">
        <v>71</v>
      </c>
      <c r="O27" s="19">
        <v>199.2</v>
      </c>
      <c r="P27" s="22">
        <f t="shared" si="1"/>
        <v>120</v>
      </c>
      <c r="Q27" s="19"/>
      <c r="R27" s="35">
        <v>169</v>
      </c>
      <c r="S27" s="19">
        <v>206.8</v>
      </c>
      <c r="T27" s="33">
        <v>218</v>
      </c>
      <c r="U27" s="19"/>
      <c r="W27" s="22">
        <v>22</v>
      </c>
      <c r="X27" s="19"/>
      <c r="Y27" s="22">
        <v>71</v>
      </c>
      <c r="Z27" s="19"/>
      <c r="AA27" s="22">
        <f t="shared" si="2"/>
        <v>120</v>
      </c>
      <c r="AB27" s="19">
        <v>195.8</v>
      </c>
      <c r="AC27" s="35">
        <v>169</v>
      </c>
      <c r="AD27" s="19"/>
      <c r="AE27" s="33">
        <v>218</v>
      </c>
      <c r="AF27" s="19">
        <v>195</v>
      </c>
    </row>
    <row r="28" spans="1:32" ht="15.75" x14ac:dyDescent="0.25">
      <c r="A28" s="22">
        <v>23</v>
      </c>
      <c r="B28" s="19">
        <v>200.2</v>
      </c>
      <c r="C28" s="22">
        <v>72</v>
      </c>
      <c r="D28" s="19">
        <v>199.6</v>
      </c>
      <c r="E28" s="22">
        <f t="shared" si="0"/>
        <v>121</v>
      </c>
      <c r="F28" s="19">
        <v>199.2</v>
      </c>
      <c r="G28" s="35">
        <v>170</v>
      </c>
      <c r="H28" s="19">
        <v>204.9</v>
      </c>
      <c r="I28" s="33">
        <v>219</v>
      </c>
      <c r="J28" s="19">
        <v>194.9</v>
      </c>
      <c r="L28" s="22">
        <v>23</v>
      </c>
      <c r="M28" s="19">
        <v>200.2</v>
      </c>
      <c r="N28" s="22">
        <v>72</v>
      </c>
      <c r="O28" s="19">
        <v>199.6</v>
      </c>
      <c r="P28" s="22">
        <f t="shared" si="1"/>
        <v>121</v>
      </c>
      <c r="Q28" s="19"/>
      <c r="R28" s="35">
        <v>170</v>
      </c>
      <c r="S28" s="19">
        <v>204.9</v>
      </c>
      <c r="T28" s="33">
        <v>219</v>
      </c>
      <c r="U28" s="19"/>
      <c r="W28" s="22">
        <v>23</v>
      </c>
      <c r="X28" s="19"/>
      <c r="Y28" s="22">
        <v>72</v>
      </c>
      <c r="Z28" s="19"/>
      <c r="AA28" s="22">
        <f t="shared" si="2"/>
        <v>121</v>
      </c>
      <c r="AB28" s="19">
        <v>199.2</v>
      </c>
      <c r="AC28" s="35">
        <v>170</v>
      </c>
      <c r="AD28" s="19"/>
      <c r="AE28" s="33">
        <v>219</v>
      </c>
      <c r="AF28" s="19">
        <v>194.9</v>
      </c>
    </row>
    <row r="29" spans="1:32" ht="15.75" x14ac:dyDescent="0.25">
      <c r="A29" s="22">
        <v>24</v>
      </c>
      <c r="B29" s="19">
        <v>200.6</v>
      </c>
      <c r="C29" s="22">
        <v>73</v>
      </c>
      <c r="D29" s="19">
        <v>201.9</v>
      </c>
      <c r="E29" s="22">
        <f t="shared" si="0"/>
        <v>122</v>
      </c>
      <c r="F29" s="19">
        <v>192.4</v>
      </c>
      <c r="G29" s="35">
        <v>171</v>
      </c>
      <c r="H29" s="19">
        <v>203.8</v>
      </c>
      <c r="I29" s="33">
        <v>220</v>
      </c>
      <c r="J29" s="19">
        <v>197.6</v>
      </c>
      <c r="L29" s="22">
        <v>24</v>
      </c>
      <c r="M29" s="19">
        <v>200.6</v>
      </c>
      <c r="N29" s="22">
        <v>73</v>
      </c>
      <c r="O29" s="19">
        <v>201.9</v>
      </c>
      <c r="P29" s="22">
        <f t="shared" si="1"/>
        <v>122</v>
      </c>
      <c r="Q29" s="19"/>
      <c r="R29" s="35">
        <v>171</v>
      </c>
      <c r="S29" s="19">
        <v>203.8</v>
      </c>
      <c r="T29" s="33">
        <v>220</v>
      </c>
      <c r="U29" s="19"/>
      <c r="W29" s="22">
        <v>24</v>
      </c>
      <c r="X29" s="19"/>
      <c r="Y29" s="22">
        <v>73</v>
      </c>
      <c r="Z29" s="19"/>
      <c r="AA29" s="22">
        <f t="shared" si="2"/>
        <v>122</v>
      </c>
      <c r="AB29" s="19">
        <v>192.4</v>
      </c>
      <c r="AC29" s="35">
        <v>171</v>
      </c>
      <c r="AD29" s="19"/>
      <c r="AE29" s="33">
        <v>220</v>
      </c>
      <c r="AF29" s="19">
        <v>197.6</v>
      </c>
    </row>
    <row r="30" spans="1:32" ht="15.75" x14ac:dyDescent="0.25">
      <c r="A30" s="22">
        <v>25</v>
      </c>
      <c r="B30" s="19">
        <v>204.5</v>
      </c>
      <c r="C30" s="22">
        <v>74</v>
      </c>
      <c r="D30" s="19">
        <v>196.3</v>
      </c>
      <c r="E30" s="22">
        <f t="shared" si="0"/>
        <v>123</v>
      </c>
      <c r="F30" s="19">
        <v>202.3</v>
      </c>
      <c r="G30" s="35">
        <v>172</v>
      </c>
      <c r="H30" s="19">
        <v>205.8</v>
      </c>
      <c r="I30" s="20"/>
      <c r="J30" s="36"/>
      <c r="L30" s="22">
        <v>25</v>
      </c>
      <c r="M30" s="19">
        <v>204.5</v>
      </c>
      <c r="N30" s="22">
        <v>74</v>
      </c>
      <c r="O30" s="19">
        <v>196.3</v>
      </c>
      <c r="P30" s="22">
        <f t="shared" si="1"/>
        <v>123</v>
      </c>
      <c r="Q30" s="19"/>
      <c r="R30" s="35">
        <v>172</v>
      </c>
      <c r="S30" s="19">
        <v>205.8</v>
      </c>
      <c r="T30" s="20"/>
      <c r="U30" s="36"/>
      <c r="W30" s="22">
        <v>25</v>
      </c>
      <c r="X30" s="19"/>
      <c r="Y30" s="22">
        <v>74</v>
      </c>
      <c r="Z30" s="19"/>
      <c r="AA30" s="22">
        <f t="shared" si="2"/>
        <v>123</v>
      </c>
      <c r="AB30" s="19">
        <v>202.3</v>
      </c>
      <c r="AC30" s="35">
        <v>172</v>
      </c>
      <c r="AD30" s="19"/>
      <c r="AE30" s="20"/>
      <c r="AF30" s="36"/>
    </row>
    <row r="31" spans="1:32" ht="15.75" x14ac:dyDescent="0.25">
      <c r="A31" s="22">
        <v>26</v>
      </c>
      <c r="B31" s="19">
        <v>197.6</v>
      </c>
      <c r="C31" s="22">
        <v>75</v>
      </c>
      <c r="D31" s="19">
        <v>194</v>
      </c>
      <c r="E31" s="22">
        <f t="shared" si="0"/>
        <v>124</v>
      </c>
      <c r="F31" s="19">
        <v>199.6</v>
      </c>
      <c r="G31" s="35">
        <v>173</v>
      </c>
      <c r="H31" s="19">
        <v>202.5</v>
      </c>
      <c r="I31" s="20"/>
      <c r="J31" s="36"/>
      <c r="L31" s="22">
        <v>26</v>
      </c>
      <c r="M31" s="19">
        <v>197.6</v>
      </c>
      <c r="N31" s="22">
        <v>75</v>
      </c>
      <c r="O31" s="19">
        <v>194</v>
      </c>
      <c r="P31" s="22">
        <f t="shared" si="1"/>
        <v>124</v>
      </c>
      <c r="Q31" s="19"/>
      <c r="R31" s="35">
        <v>173</v>
      </c>
      <c r="S31" s="19">
        <v>202.5</v>
      </c>
      <c r="T31" s="20"/>
      <c r="U31" s="36"/>
      <c r="W31" s="22">
        <v>26</v>
      </c>
      <c r="X31" s="19"/>
      <c r="Y31" s="22">
        <v>75</v>
      </c>
      <c r="Z31" s="19"/>
      <c r="AA31" s="22">
        <f t="shared" si="2"/>
        <v>124</v>
      </c>
      <c r="AB31" s="19">
        <v>199.6</v>
      </c>
      <c r="AC31" s="35">
        <v>173</v>
      </c>
      <c r="AD31" s="19"/>
      <c r="AE31" s="20"/>
      <c r="AF31" s="36"/>
    </row>
    <row r="32" spans="1:32" ht="15.75" x14ac:dyDescent="0.25">
      <c r="A32" s="22">
        <v>27</v>
      </c>
      <c r="B32" s="19">
        <v>199.3</v>
      </c>
      <c r="C32" s="22">
        <v>76</v>
      </c>
      <c r="D32" s="19">
        <v>200.9</v>
      </c>
      <c r="E32" s="22">
        <f t="shared" si="0"/>
        <v>125</v>
      </c>
      <c r="F32" s="19">
        <v>202.9</v>
      </c>
      <c r="G32" s="33">
        <v>174</v>
      </c>
      <c r="H32" s="19">
        <v>199</v>
      </c>
      <c r="I32" s="21"/>
      <c r="J32" s="36"/>
      <c r="L32" s="22">
        <v>27</v>
      </c>
      <c r="M32" s="19">
        <v>199.3</v>
      </c>
      <c r="N32" s="22">
        <v>76</v>
      </c>
      <c r="O32" s="19">
        <v>200.9</v>
      </c>
      <c r="P32" s="22">
        <f t="shared" si="1"/>
        <v>125</v>
      </c>
      <c r="Q32" s="19"/>
      <c r="R32" s="33">
        <v>174</v>
      </c>
      <c r="S32" s="19">
        <v>199</v>
      </c>
      <c r="T32" s="21"/>
      <c r="U32" s="36"/>
      <c r="W32" s="22">
        <v>27</v>
      </c>
      <c r="X32" s="19"/>
      <c r="Y32" s="22">
        <v>76</v>
      </c>
      <c r="Z32" s="19"/>
      <c r="AA32" s="22">
        <f t="shared" si="2"/>
        <v>125</v>
      </c>
      <c r="AB32" s="19">
        <v>202.9</v>
      </c>
      <c r="AC32" s="33">
        <v>174</v>
      </c>
      <c r="AD32" s="19"/>
      <c r="AE32" s="21"/>
      <c r="AF32" s="36"/>
    </row>
    <row r="33" spans="1:32" ht="15.75" x14ac:dyDescent="0.25">
      <c r="A33" s="22">
        <v>28</v>
      </c>
      <c r="B33" s="19">
        <v>195.4</v>
      </c>
      <c r="C33" s="22">
        <v>77</v>
      </c>
      <c r="D33" s="19">
        <v>203.1</v>
      </c>
      <c r="E33" s="22">
        <f t="shared" si="0"/>
        <v>126</v>
      </c>
      <c r="F33" s="19">
        <v>201.2</v>
      </c>
      <c r="G33" s="33">
        <v>175</v>
      </c>
      <c r="H33" s="19">
        <v>201.7</v>
      </c>
      <c r="I33" s="20"/>
      <c r="J33" s="36"/>
      <c r="L33" s="22">
        <v>28</v>
      </c>
      <c r="M33" s="19">
        <v>195.4</v>
      </c>
      <c r="N33" s="22">
        <v>77</v>
      </c>
      <c r="O33" s="19">
        <v>203.1</v>
      </c>
      <c r="P33" s="22">
        <f t="shared" si="1"/>
        <v>126</v>
      </c>
      <c r="Q33" s="19"/>
      <c r="R33" s="33">
        <v>175</v>
      </c>
      <c r="S33" s="19">
        <v>201.7</v>
      </c>
      <c r="T33" s="20"/>
      <c r="U33" s="36"/>
      <c r="W33" s="22">
        <v>28</v>
      </c>
      <c r="X33" s="19"/>
      <c r="Y33" s="22">
        <v>77</v>
      </c>
      <c r="Z33" s="19"/>
      <c r="AA33" s="22">
        <f t="shared" si="2"/>
        <v>126</v>
      </c>
      <c r="AB33" s="19">
        <v>201.2</v>
      </c>
      <c r="AC33" s="33">
        <v>175</v>
      </c>
      <c r="AD33" s="19"/>
      <c r="AE33" s="20"/>
      <c r="AF33" s="36"/>
    </row>
    <row r="34" spans="1:32" ht="15.75" x14ac:dyDescent="0.25">
      <c r="A34" s="22">
        <v>29</v>
      </c>
      <c r="B34" s="19">
        <v>199</v>
      </c>
      <c r="C34" s="22">
        <v>78</v>
      </c>
      <c r="D34" s="19">
        <v>199.7</v>
      </c>
      <c r="E34" s="22">
        <f t="shared" si="0"/>
        <v>127</v>
      </c>
      <c r="F34" s="19">
        <v>203.7</v>
      </c>
      <c r="G34" s="33">
        <v>176</v>
      </c>
      <c r="H34" s="19">
        <v>198.6</v>
      </c>
      <c r="I34" s="20"/>
      <c r="J34" s="36"/>
      <c r="L34" s="22">
        <v>29</v>
      </c>
      <c r="M34" s="19">
        <v>199</v>
      </c>
      <c r="N34" s="22">
        <v>78</v>
      </c>
      <c r="O34" s="19">
        <v>199.7</v>
      </c>
      <c r="P34" s="22">
        <f t="shared" si="1"/>
        <v>127</v>
      </c>
      <c r="Q34" s="19"/>
      <c r="R34" s="33">
        <v>176</v>
      </c>
      <c r="S34" s="19">
        <v>198.6</v>
      </c>
      <c r="T34" s="20"/>
      <c r="U34" s="36"/>
      <c r="W34" s="22">
        <v>29</v>
      </c>
      <c r="X34" s="19"/>
      <c r="Y34" s="22">
        <v>78</v>
      </c>
      <c r="Z34" s="19"/>
      <c r="AA34" s="22">
        <f t="shared" si="2"/>
        <v>127</v>
      </c>
      <c r="AB34" s="19">
        <v>203.7</v>
      </c>
      <c r="AC34" s="33">
        <v>176</v>
      </c>
      <c r="AD34" s="19"/>
      <c r="AE34" s="20"/>
      <c r="AF34" s="36"/>
    </row>
    <row r="35" spans="1:32" ht="15.75" x14ac:dyDescent="0.25">
      <c r="A35" s="22">
        <v>30</v>
      </c>
      <c r="B35" s="19">
        <v>202.5</v>
      </c>
      <c r="C35" s="22">
        <v>79</v>
      </c>
      <c r="D35" s="19">
        <v>195.9</v>
      </c>
      <c r="E35" s="22">
        <f t="shared" si="0"/>
        <v>128</v>
      </c>
      <c r="F35" s="19">
        <v>204</v>
      </c>
      <c r="G35" s="33">
        <v>177</v>
      </c>
      <c r="H35" s="19">
        <v>196.5</v>
      </c>
      <c r="I35" s="21"/>
      <c r="J35" s="36"/>
      <c r="L35" s="22">
        <v>30</v>
      </c>
      <c r="M35" s="19">
        <v>202.5</v>
      </c>
      <c r="N35" s="22">
        <v>79</v>
      </c>
      <c r="O35" s="19">
        <v>195.9</v>
      </c>
      <c r="P35" s="22">
        <f t="shared" si="1"/>
        <v>128</v>
      </c>
      <c r="Q35" s="19"/>
      <c r="R35" s="33">
        <v>177</v>
      </c>
      <c r="S35" s="19">
        <v>196.5</v>
      </c>
      <c r="T35" s="21"/>
      <c r="U35" s="36"/>
      <c r="W35" s="22">
        <v>30</v>
      </c>
      <c r="X35" s="19"/>
      <c r="Y35" s="22">
        <v>79</v>
      </c>
      <c r="Z35" s="19"/>
      <c r="AA35" s="22">
        <f t="shared" si="2"/>
        <v>128</v>
      </c>
      <c r="AB35" s="19">
        <v>204</v>
      </c>
      <c r="AC35" s="33">
        <v>177</v>
      </c>
      <c r="AD35" s="19"/>
      <c r="AE35" s="21"/>
      <c r="AF35" s="36"/>
    </row>
    <row r="36" spans="1:32" ht="15.75" x14ac:dyDescent="0.25">
      <c r="A36" s="22">
        <v>31</v>
      </c>
      <c r="B36" s="19">
        <v>204.2</v>
      </c>
      <c r="C36" s="22">
        <v>80</v>
      </c>
      <c r="D36" s="19">
        <v>193.5</v>
      </c>
      <c r="E36" s="22">
        <f t="shared" si="0"/>
        <v>129</v>
      </c>
      <c r="F36" s="19">
        <v>204</v>
      </c>
      <c r="G36" s="33">
        <v>178</v>
      </c>
      <c r="H36" s="19">
        <v>196.7</v>
      </c>
      <c r="I36" s="20"/>
      <c r="J36" s="36"/>
      <c r="L36" s="22">
        <v>31</v>
      </c>
      <c r="M36" s="19">
        <v>204.2</v>
      </c>
      <c r="N36" s="22">
        <v>80</v>
      </c>
      <c r="O36" s="19">
        <v>193.5</v>
      </c>
      <c r="P36" s="22">
        <f t="shared" si="1"/>
        <v>129</v>
      </c>
      <c r="Q36" s="19"/>
      <c r="R36" s="33">
        <v>178</v>
      </c>
      <c r="S36" s="19">
        <v>196.7</v>
      </c>
      <c r="T36" s="20"/>
      <c r="U36" s="36"/>
      <c r="W36" s="22">
        <v>31</v>
      </c>
      <c r="X36" s="19"/>
      <c r="Y36" s="22">
        <v>80</v>
      </c>
      <c r="Z36" s="19"/>
      <c r="AA36" s="22">
        <f t="shared" si="2"/>
        <v>129</v>
      </c>
      <c r="AB36" s="19">
        <v>204</v>
      </c>
      <c r="AC36" s="33">
        <v>178</v>
      </c>
      <c r="AD36" s="19"/>
      <c r="AE36" s="20"/>
      <c r="AF36" s="36"/>
    </row>
    <row r="37" spans="1:32" ht="15.75" x14ac:dyDescent="0.25">
      <c r="A37" s="22">
        <v>32</v>
      </c>
      <c r="B37" s="19">
        <v>200.3</v>
      </c>
      <c r="C37" s="22">
        <v>81</v>
      </c>
      <c r="D37" s="19">
        <v>196.8</v>
      </c>
      <c r="E37" s="22">
        <f t="shared" si="0"/>
        <v>130</v>
      </c>
      <c r="F37" s="19">
        <v>206.3</v>
      </c>
      <c r="G37" s="33">
        <v>179</v>
      </c>
      <c r="H37" s="19">
        <v>203.5</v>
      </c>
      <c r="I37" s="20"/>
      <c r="J37" s="36"/>
      <c r="L37" s="22">
        <v>32</v>
      </c>
      <c r="M37" s="19">
        <v>200.3</v>
      </c>
      <c r="N37" s="22">
        <v>81</v>
      </c>
      <c r="O37" s="19">
        <v>196.8</v>
      </c>
      <c r="P37" s="22">
        <f t="shared" si="1"/>
        <v>130</v>
      </c>
      <c r="Q37" s="19"/>
      <c r="R37" s="33">
        <v>179</v>
      </c>
      <c r="S37" s="19">
        <v>203.5</v>
      </c>
      <c r="T37" s="20"/>
      <c r="U37" s="36"/>
      <c r="W37" s="22">
        <v>32</v>
      </c>
      <c r="X37" s="19"/>
      <c r="Y37" s="22">
        <v>81</v>
      </c>
      <c r="Z37" s="19"/>
      <c r="AA37" s="22">
        <f t="shared" si="2"/>
        <v>130</v>
      </c>
      <c r="AB37" s="19">
        <v>206.3</v>
      </c>
      <c r="AC37" s="33">
        <v>179</v>
      </c>
      <c r="AD37" s="19"/>
      <c r="AE37" s="20"/>
      <c r="AF37" s="36"/>
    </row>
    <row r="38" spans="1:32" ht="15.75" x14ac:dyDescent="0.25">
      <c r="A38" s="22">
        <v>33</v>
      </c>
      <c r="B38" s="19">
        <v>198.8</v>
      </c>
      <c r="C38" s="22">
        <v>82</v>
      </c>
      <c r="D38" s="19">
        <v>196.6</v>
      </c>
      <c r="E38" s="22">
        <f t="shared" si="0"/>
        <v>131</v>
      </c>
      <c r="F38" s="19">
        <v>193.8</v>
      </c>
      <c r="G38" s="33">
        <v>180</v>
      </c>
      <c r="H38" s="19">
        <v>201.2</v>
      </c>
      <c r="I38" s="21"/>
      <c r="J38" s="36"/>
      <c r="L38" s="22">
        <v>33</v>
      </c>
      <c r="M38" s="19">
        <v>198.8</v>
      </c>
      <c r="N38" s="22">
        <v>82</v>
      </c>
      <c r="O38" s="19">
        <v>196.6</v>
      </c>
      <c r="P38" s="22">
        <f t="shared" si="1"/>
        <v>131</v>
      </c>
      <c r="Q38" s="19">
        <v>193.8</v>
      </c>
      <c r="R38" s="33">
        <v>180</v>
      </c>
      <c r="S38" s="19"/>
      <c r="T38" s="21"/>
      <c r="U38" s="36"/>
      <c r="W38" s="22">
        <v>33</v>
      </c>
      <c r="X38" s="19"/>
      <c r="Y38" s="22">
        <v>82</v>
      </c>
      <c r="Z38" s="19"/>
      <c r="AA38" s="22">
        <f t="shared" si="2"/>
        <v>131</v>
      </c>
      <c r="AB38" s="19"/>
      <c r="AC38" s="33">
        <v>180</v>
      </c>
      <c r="AD38" s="19">
        <v>201.2</v>
      </c>
      <c r="AE38" s="21"/>
      <c r="AF38" s="36"/>
    </row>
    <row r="39" spans="1:32" ht="15.75" x14ac:dyDescent="0.25">
      <c r="A39" s="22">
        <v>34</v>
      </c>
      <c r="B39" s="19">
        <v>198.7</v>
      </c>
      <c r="C39" s="22">
        <v>83</v>
      </c>
      <c r="D39" s="19">
        <v>202.5</v>
      </c>
      <c r="E39" s="22">
        <f t="shared" si="0"/>
        <v>132</v>
      </c>
      <c r="F39" s="19">
        <v>197.9</v>
      </c>
      <c r="G39" s="33">
        <v>181</v>
      </c>
      <c r="H39" s="19">
        <v>198.7</v>
      </c>
      <c r="I39" s="21"/>
      <c r="J39" s="36"/>
      <c r="L39" s="22">
        <v>34</v>
      </c>
      <c r="M39" s="19">
        <v>198.7</v>
      </c>
      <c r="N39" s="22">
        <v>83</v>
      </c>
      <c r="O39" s="19">
        <v>202.5</v>
      </c>
      <c r="P39" s="22">
        <f t="shared" si="1"/>
        <v>132</v>
      </c>
      <c r="Q39" s="19">
        <v>197.9</v>
      </c>
      <c r="R39" s="33">
        <v>181</v>
      </c>
      <c r="S39" s="19"/>
      <c r="T39" s="21"/>
      <c r="U39" s="36"/>
      <c r="W39" s="22">
        <v>34</v>
      </c>
      <c r="X39" s="19"/>
      <c r="Y39" s="22">
        <v>83</v>
      </c>
      <c r="Z39" s="19"/>
      <c r="AA39" s="22">
        <f t="shared" si="2"/>
        <v>132</v>
      </c>
      <c r="AB39" s="19"/>
      <c r="AC39" s="33">
        <v>181</v>
      </c>
      <c r="AD39" s="19">
        <v>198.7</v>
      </c>
      <c r="AE39" s="21"/>
      <c r="AF39" s="36"/>
    </row>
    <row r="40" spans="1:32" ht="15.75" x14ac:dyDescent="0.25">
      <c r="A40" s="22">
        <v>35</v>
      </c>
      <c r="B40" s="19">
        <v>200.5</v>
      </c>
      <c r="C40" s="22">
        <v>84</v>
      </c>
      <c r="D40" s="19">
        <v>199.4</v>
      </c>
      <c r="E40" s="22">
        <f t="shared" si="0"/>
        <v>133</v>
      </c>
      <c r="F40" s="19">
        <v>210.2</v>
      </c>
      <c r="G40" s="33">
        <v>182</v>
      </c>
      <c r="H40" s="19">
        <v>203.5</v>
      </c>
      <c r="I40" s="20"/>
      <c r="J40" s="36"/>
      <c r="L40" s="22">
        <v>35</v>
      </c>
      <c r="M40" s="19">
        <v>200.5</v>
      </c>
      <c r="N40" s="22">
        <v>84</v>
      </c>
      <c r="O40" s="19">
        <v>199.4</v>
      </c>
      <c r="P40" s="22">
        <f t="shared" si="1"/>
        <v>133</v>
      </c>
      <c r="Q40" s="19">
        <v>210.2</v>
      </c>
      <c r="R40" s="33">
        <v>182</v>
      </c>
      <c r="S40" s="19"/>
      <c r="T40" s="20"/>
      <c r="U40" s="36"/>
      <c r="W40" s="22">
        <v>35</v>
      </c>
      <c r="X40" s="19"/>
      <c r="Y40" s="22">
        <v>84</v>
      </c>
      <c r="Z40" s="19"/>
      <c r="AA40" s="22">
        <f t="shared" si="2"/>
        <v>133</v>
      </c>
      <c r="AB40" s="19"/>
      <c r="AC40" s="33">
        <v>182</v>
      </c>
      <c r="AD40" s="19">
        <v>203.5</v>
      </c>
      <c r="AE40" s="20"/>
      <c r="AF40" s="36"/>
    </row>
    <row r="41" spans="1:32" ht="15.75" x14ac:dyDescent="0.25">
      <c r="A41" s="22">
        <v>36</v>
      </c>
      <c r="B41" s="19">
        <v>199.1</v>
      </c>
      <c r="C41" s="22">
        <v>85</v>
      </c>
      <c r="D41" s="19">
        <v>201.7</v>
      </c>
      <c r="E41" s="22">
        <f t="shared" si="0"/>
        <v>134</v>
      </c>
      <c r="F41" s="19">
        <v>205.4</v>
      </c>
      <c r="G41" s="33">
        <v>183</v>
      </c>
      <c r="H41" s="19">
        <v>213.8</v>
      </c>
      <c r="I41" s="20"/>
      <c r="J41" s="36"/>
      <c r="L41" s="22">
        <v>36</v>
      </c>
      <c r="M41" s="19">
        <v>199.1</v>
      </c>
      <c r="N41" s="22">
        <v>85</v>
      </c>
      <c r="O41" s="19">
        <v>201.7</v>
      </c>
      <c r="P41" s="22">
        <f t="shared" si="1"/>
        <v>134</v>
      </c>
      <c r="Q41" s="19">
        <v>205.4</v>
      </c>
      <c r="R41" s="33">
        <v>183</v>
      </c>
      <c r="S41" s="19"/>
      <c r="T41" s="20"/>
      <c r="U41" s="36"/>
      <c r="W41" s="22">
        <v>36</v>
      </c>
      <c r="X41" s="19"/>
      <c r="Y41" s="22">
        <v>85</v>
      </c>
      <c r="Z41" s="19"/>
      <c r="AA41" s="22">
        <f t="shared" si="2"/>
        <v>134</v>
      </c>
      <c r="AB41" s="19"/>
      <c r="AC41" s="33">
        <v>183</v>
      </c>
      <c r="AD41" s="19">
        <v>213.8</v>
      </c>
      <c r="AE41" s="20"/>
      <c r="AF41" s="36"/>
    </row>
    <row r="42" spans="1:32" ht="15.75" x14ac:dyDescent="0.25">
      <c r="A42" s="22">
        <v>37</v>
      </c>
      <c r="B42" s="19">
        <v>205.6</v>
      </c>
      <c r="C42" s="22">
        <v>86</v>
      </c>
      <c r="D42" s="19">
        <v>198.8</v>
      </c>
      <c r="E42" s="22">
        <f t="shared" si="0"/>
        <v>135</v>
      </c>
      <c r="F42" s="19">
        <v>206.7</v>
      </c>
      <c r="G42" s="33">
        <v>184</v>
      </c>
      <c r="H42" s="19">
        <v>198</v>
      </c>
      <c r="I42" s="21"/>
      <c r="J42" s="36"/>
      <c r="L42" s="22">
        <v>37</v>
      </c>
      <c r="M42" s="19">
        <v>205.6</v>
      </c>
      <c r="N42" s="22">
        <v>86</v>
      </c>
      <c r="O42" s="19">
        <v>198.8</v>
      </c>
      <c r="P42" s="22">
        <f t="shared" si="1"/>
        <v>135</v>
      </c>
      <c r="Q42" s="19">
        <v>206.7</v>
      </c>
      <c r="R42" s="33">
        <v>184</v>
      </c>
      <c r="S42" s="19"/>
      <c r="T42" s="21"/>
      <c r="U42" s="36"/>
      <c r="W42" s="22">
        <v>37</v>
      </c>
      <c r="X42" s="19"/>
      <c r="Y42" s="22">
        <v>86</v>
      </c>
      <c r="Z42" s="19"/>
      <c r="AA42" s="22">
        <f t="shared" si="2"/>
        <v>135</v>
      </c>
      <c r="AB42" s="19"/>
      <c r="AC42" s="33">
        <v>184</v>
      </c>
      <c r="AD42" s="19">
        <v>198</v>
      </c>
      <c r="AE42" s="21"/>
      <c r="AF42" s="36"/>
    </row>
    <row r="43" spans="1:32" ht="15.75" x14ac:dyDescent="0.25">
      <c r="A43" s="22">
        <v>38</v>
      </c>
      <c r="B43" s="19">
        <v>201.6</v>
      </c>
      <c r="C43" s="22">
        <v>87</v>
      </c>
      <c r="D43" s="19">
        <v>202</v>
      </c>
      <c r="E43" s="22">
        <f t="shared" si="0"/>
        <v>136</v>
      </c>
      <c r="F43" s="19">
        <v>200.3</v>
      </c>
      <c r="G43" s="33">
        <v>185</v>
      </c>
      <c r="H43" s="19">
        <v>203.3</v>
      </c>
      <c r="I43" s="20"/>
      <c r="J43" s="36"/>
      <c r="L43" s="22">
        <v>38</v>
      </c>
      <c r="M43" s="19">
        <v>201.6</v>
      </c>
      <c r="N43" s="22">
        <v>87</v>
      </c>
      <c r="O43" s="19">
        <v>202</v>
      </c>
      <c r="P43" s="22">
        <f t="shared" si="1"/>
        <v>136</v>
      </c>
      <c r="Q43" s="19">
        <v>200.3</v>
      </c>
      <c r="R43" s="33">
        <v>185</v>
      </c>
      <c r="S43" s="19"/>
      <c r="T43" s="20"/>
      <c r="U43" s="36"/>
      <c r="W43" s="22">
        <v>38</v>
      </c>
      <c r="X43" s="19"/>
      <c r="Y43" s="22">
        <v>87</v>
      </c>
      <c r="Z43" s="19"/>
      <c r="AA43" s="22">
        <f t="shared" si="2"/>
        <v>136</v>
      </c>
      <c r="AB43" s="19"/>
      <c r="AC43" s="33">
        <v>185</v>
      </c>
      <c r="AD43" s="19">
        <v>203.3</v>
      </c>
      <c r="AE43" s="20"/>
      <c r="AF43" s="36"/>
    </row>
    <row r="44" spans="1:32" ht="15.75" x14ac:dyDescent="0.25">
      <c r="A44" s="22">
        <v>39</v>
      </c>
      <c r="B44" s="19">
        <v>196.3</v>
      </c>
      <c r="C44" s="22">
        <v>88</v>
      </c>
      <c r="D44" s="19">
        <v>201.3</v>
      </c>
      <c r="E44" s="22">
        <f t="shared" si="0"/>
        <v>137</v>
      </c>
      <c r="F44" s="19">
        <v>199.9</v>
      </c>
      <c r="G44" s="33">
        <v>186</v>
      </c>
      <c r="H44" s="19">
        <v>201.7</v>
      </c>
      <c r="I44" s="20"/>
      <c r="J44" s="36"/>
      <c r="L44" s="22">
        <v>39</v>
      </c>
      <c r="M44" s="19">
        <v>196.3</v>
      </c>
      <c r="N44" s="22">
        <v>88</v>
      </c>
      <c r="O44" s="19">
        <v>201.3</v>
      </c>
      <c r="P44" s="22">
        <f t="shared" si="1"/>
        <v>137</v>
      </c>
      <c r="Q44" s="19">
        <v>199.9</v>
      </c>
      <c r="R44" s="33">
        <v>186</v>
      </c>
      <c r="S44" s="19"/>
      <c r="T44" s="20"/>
      <c r="U44" s="36"/>
      <c r="W44" s="22">
        <v>39</v>
      </c>
      <c r="X44" s="19"/>
      <c r="Y44" s="22">
        <v>88</v>
      </c>
      <c r="Z44" s="19"/>
      <c r="AA44" s="22">
        <f t="shared" si="2"/>
        <v>137</v>
      </c>
      <c r="AB44" s="19"/>
      <c r="AC44" s="33">
        <v>186</v>
      </c>
      <c r="AD44" s="19">
        <v>201.7</v>
      </c>
      <c r="AE44" s="20"/>
      <c r="AF44" s="36"/>
    </row>
    <row r="45" spans="1:32" ht="15.75" x14ac:dyDescent="0.25">
      <c r="A45" s="22">
        <v>40</v>
      </c>
      <c r="B45" s="19">
        <v>201.7</v>
      </c>
      <c r="C45" s="22">
        <v>89</v>
      </c>
      <c r="D45" s="19">
        <v>202.3</v>
      </c>
      <c r="E45" s="22">
        <f t="shared" si="0"/>
        <v>138</v>
      </c>
      <c r="F45" s="19">
        <v>204.7</v>
      </c>
      <c r="G45" s="33">
        <v>187</v>
      </c>
      <c r="H45" s="19">
        <v>201.9</v>
      </c>
      <c r="I45" s="21"/>
      <c r="J45" s="36"/>
      <c r="L45" s="22">
        <v>40</v>
      </c>
      <c r="M45" s="19">
        <v>201.7</v>
      </c>
      <c r="N45" s="22">
        <v>89</v>
      </c>
      <c r="O45" s="19">
        <v>202.3</v>
      </c>
      <c r="P45" s="22">
        <f t="shared" si="1"/>
        <v>138</v>
      </c>
      <c r="Q45" s="19">
        <v>204.7</v>
      </c>
      <c r="R45" s="33">
        <v>187</v>
      </c>
      <c r="S45" s="19"/>
      <c r="T45" s="21"/>
      <c r="U45" s="36"/>
      <c r="W45" s="22">
        <v>40</v>
      </c>
      <c r="X45" s="19"/>
      <c r="Y45" s="22">
        <v>89</v>
      </c>
      <c r="Z45" s="19"/>
      <c r="AA45" s="22">
        <f t="shared" si="2"/>
        <v>138</v>
      </c>
      <c r="AB45" s="19"/>
      <c r="AC45" s="33">
        <v>187</v>
      </c>
      <c r="AD45" s="19">
        <v>201.9</v>
      </c>
      <c r="AE45" s="21"/>
      <c r="AF45" s="36"/>
    </row>
    <row r="46" spans="1:32" ht="15.75" x14ac:dyDescent="0.25">
      <c r="A46" s="22">
        <v>41</v>
      </c>
      <c r="B46" s="19">
        <v>198.3</v>
      </c>
      <c r="C46" s="22">
        <v>90</v>
      </c>
      <c r="D46" s="19">
        <v>198.5</v>
      </c>
      <c r="E46" s="22">
        <f t="shared" si="0"/>
        <v>139</v>
      </c>
      <c r="F46" s="19">
        <v>207.5</v>
      </c>
      <c r="G46" s="33">
        <v>188</v>
      </c>
      <c r="H46" s="19">
        <v>208.8</v>
      </c>
      <c r="I46" s="20"/>
      <c r="J46" s="36"/>
      <c r="L46" s="22">
        <v>41</v>
      </c>
      <c r="M46" s="19">
        <v>198.3</v>
      </c>
      <c r="N46" s="22">
        <v>90</v>
      </c>
      <c r="O46" s="19">
        <v>198.5</v>
      </c>
      <c r="P46" s="22">
        <f t="shared" si="1"/>
        <v>139</v>
      </c>
      <c r="Q46" s="19">
        <v>207.5</v>
      </c>
      <c r="R46" s="33">
        <v>188</v>
      </c>
      <c r="S46" s="19"/>
      <c r="T46" s="20"/>
      <c r="U46" s="36"/>
      <c r="W46" s="22">
        <v>41</v>
      </c>
      <c r="X46" s="19"/>
      <c r="Y46" s="22">
        <v>90</v>
      </c>
      <c r="Z46" s="19"/>
      <c r="AA46" s="22">
        <f t="shared" si="2"/>
        <v>139</v>
      </c>
      <c r="AB46" s="19"/>
      <c r="AC46" s="33">
        <v>188</v>
      </c>
      <c r="AD46" s="19">
        <v>208.8</v>
      </c>
      <c r="AE46" s="20"/>
      <c r="AF46" s="36"/>
    </row>
    <row r="47" spans="1:32" ht="15.75" x14ac:dyDescent="0.25">
      <c r="A47" s="22">
        <v>42</v>
      </c>
      <c r="B47" s="19">
        <v>202</v>
      </c>
      <c r="C47" s="22">
        <v>91</v>
      </c>
      <c r="D47" s="19">
        <v>196.9</v>
      </c>
      <c r="E47" s="22">
        <f t="shared" si="0"/>
        <v>140</v>
      </c>
      <c r="F47" s="19">
        <v>201.7</v>
      </c>
      <c r="G47" s="33">
        <v>189</v>
      </c>
      <c r="H47" s="19">
        <v>205.8</v>
      </c>
      <c r="I47" s="20"/>
      <c r="J47" s="36"/>
      <c r="L47" s="22">
        <v>42</v>
      </c>
      <c r="M47" s="19">
        <v>202</v>
      </c>
      <c r="N47" s="22">
        <v>91</v>
      </c>
      <c r="O47" s="19">
        <v>196.9</v>
      </c>
      <c r="P47" s="22">
        <f t="shared" si="1"/>
        <v>140</v>
      </c>
      <c r="Q47" s="19">
        <v>201.7</v>
      </c>
      <c r="R47" s="33">
        <v>189</v>
      </c>
      <c r="S47" s="19"/>
      <c r="T47" s="20"/>
      <c r="U47" s="36"/>
      <c r="W47" s="22">
        <v>42</v>
      </c>
      <c r="X47" s="19"/>
      <c r="Y47" s="22">
        <v>91</v>
      </c>
      <c r="Z47" s="19"/>
      <c r="AA47" s="22">
        <f t="shared" si="2"/>
        <v>140</v>
      </c>
      <c r="AB47" s="19"/>
      <c r="AC47" s="33">
        <v>189</v>
      </c>
      <c r="AD47" s="19">
        <v>205.8</v>
      </c>
      <c r="AE47" s="20"/>
      <c r="AF47" s="36"/>
    </row>
    <row r="48" spans="1:32" ht="15.75" x14ac:dyDescent="0.25">
      <c r="A48" s="22">
        <v>43</v>
      </c>
      <c r="B48" s="19">
        <v>201.1</v>
      </c>
      <c r="C48" s="22">
        <v>92</v>
      </c>
      <c r="D48" s="19">
        <v>201.8</v>
      </c>
      <c r="E48" s="22">
        <f t="shared" si="0"/>
        <v>141</v>
      </c>
      <c r="F48" s="19">
        <v>206.7</v>
      </c>
      <c r="G48" s="33">
        <v>190</v>
      </c>
      <c r="H48" s="19">
        <v>196.5</v>
      </c>
      <c r="I48" s="21"/>
      <c r="J48" s="36"/>
      <c r="L48" s="22">
        <v>43</v>
      </c>
      <c r="M48" s="19">
        <v>201.1</v>
      </c>
      <c r="N48" s="22">
        <v>92</v>
      </c>
      <c r="O48" s="19">
        <v>201.8</v>
      </c>
      <c r="P48" s="22">
        <f t="shared" si="1"/>
        <v>141</v>
      </c>
      <c r="Q48" s="19">
        <v>206.7</v>
      </c>
      <c r="R48" s="33">
        <v>190</v>
      </c>
      <c r="S48" s="19"/>
      <c r="T48" s="21"/>
      <c r="U48" s="36"/>
      <c r="W48" s="22">
        <v>43</v>
      </c>
      <c r="X48" s="19"/>
      <c r="Y48" s="22">
        <v>92</v>
      </c>
      <c r="Z48" s="19"/>
      <c r="AA48" s="22">
        <f t="shared" si="2"/>
        <v>141</v>
      </c>
      <c r="AB48" s="19"/>
      <c r="AC48" s="33">
        <v>190</v>
      </c>
      <c r="AD48" s="19">
        <v>196.5</v>
      </c>
      <c r="AE48" s="21"/>
      <c r="AF48" s="36"/>
    </row>
    <row r="49" spans="1:32" ht="15.75" x14ac:dyDescent="0.25">
      <c r="A49" s="22">
        <v>44</v>
      </c>
      <c r="B49" s="19">
        <v>198</v>
      </c>
      <c r="C49" s="22">
        <v>93</v>
      </c>
      <c r="D49" s="19">
        <v>194.1</v>
      </c>
      <c r="E49" s="22">
        <f t="shared" si="0"/>
        <v>142</v>
      </c>
      <c r="F49" s="19">
        <v>207.5</v>
      </c>
      <c r="G49" s="33">
        <v>191</v>
      </c>
      <c r="H49" s="19">
        <v>197.7</v>
      </c>
      <c r="I49" s="21"/>
      <c r="J49" s="36"/>
      <c r="L49" s="22">
        <v>44</v>
      </c>
      <c r="M49" s="19">
        <v>198</v>
      </c>
      <c r="N49" s="22">
        <v>93</v>
      </c>
      <c r="O49" s="19">
        <v>194.1</v>
      </c>
      <c r="P49" s="22">
        <f t="shared" si="1"/>
        <v>142</v>
      </c>
      <c r="Q49" s="19">
        <v>207.5</v>
      </c>
      <c r="R49" s="33">
        <v>191</v>
      </c>
      <c r="S49" s="19"/>
      <c r="T49" s="21"/>
      <c r="U49" s="36"/>
      <c r="W49" s="22">
        <v>44</v>
      </c>
      <c r="X49" s="19"/>
      <c r="Y49" s="22">
        <v>93</v>
      </c>
      <c r="Z49" s="19"/>
      <c r="AA49" s="22">
        <f t="shared" si="2"/>
        <v>142</v>
      </c>
      <c r="AB49" s="19"/>
      <c r="AC49" s="33">
        <v>191</v>
      </c>
      <c r="AD49" s="19">
        <v>197.7</v>
      </c>
      <c r="AE49" s="21"/>
      <c r="AF49" s="36"/>
    </row>
    <row r="50" spans="1:32" ht="15.75" x14ac:dyDescent="0.25">
      <c r="A50" s="22">
        <v>45</v>
      </c>
      <c r="B50" s="19">
        <v>204.2</v>
      </c>
      <c r="C50" s="22">
        <v>94</v>
      </c>
      <c r="D50" s="19">
        <v>191.6</v>
      </c>
      <c r="E50" s="22">
        <f t="shared" si="0"/>
        <v>143</v>
      </c>
      <c r="F50" s="19">
        <v>202.4</v>
      </c>
      <c r="G50" s="33">
        <v>192</v>
      </c>
      <c r="H50" s="19">
        <v>202.2</v>
      </c>
      <c r="I50" s="20"/>
      <c r="J50" s="36"/>
      <c r="L50" s="22">
        <v>45</v>
      </c>
      <c r="M50" s="19">
        <v>204.2</v>
      </c>
      <c r="N50" s="22">
        <v>94</v>
      </c>
      <c r="O50" s="19">
        <v>191.6</v>
      </c>
      <c r="P50" s="22">
        <f t="shared" si="1"/>
        <v>143</v>
      </c>
      <c r="Q50" s="19">
        <v>202.4</v>
      </c>
      <c r="R50" s="33">
        <v>192</v>
      </c>
      <c r="S50" s="19"/>
      <c r="T50" s="20"/>
      <c r="U50" s="36"/>
      <c r="W50" s="22">
        <v>45</v>
      </c>
      <c r="X50" s="19"/>
      <c r="Y50" s="22">
        <v>94</v>
      </c>
      <c r="Z50" s="19"/>
      <c r="AA50" s="22">
        <f t="shared" si="2"/>
        <v>143</v>
      </c>
      <c r="AB50" s="19"/>
      <c r="AC50" s="33">
        <v>192</v>
      </c>
      <c r="AD50" s="19">
        <v>202.2</v>
      </c>
      <c r="AE50" s="20"/>
      <c r="AF50" s="36"/>
    </row>
    <row r="51" spans="1:32" ht="15.75" x14ac:dyDescent="0.25">
      <c r="A51" s="22">
        <v>46</v>
      </c>
      <c r="B51" s="19">
        <v>202.9</v>
      </c>
      <c r="C51" s="22">
        <v>95</v>
      </c>
      <c r="D51" s="19">
        <v>195.5</v>
      </c>
      <c r="E51" s="22">
        <f t="shared" si="0"/>
        <v>144</v>
      </c>
      <c r="F51" s="19">
        <v>207.4</v>
      </c>
      <c r="G51" s="33">
        <v>193</v>
      </c>
      <c r="H51" s="19">
        <v>196.7</v>
      </c>
      <c r="I51" s="20"/>
      <c r="J51" s="36"/>
      <c r="L51" s="22">
        <v>46</v>
      </c>
      <c r="M51" s="19">
        <v>202.9</v>
      </c>
      <c r="N51" s="22">
        <v>95</v>
      </c>
      <c r="O51" s="19">
        <v>195.5</v>
      </c>
      <c r="P51" s="22">
        <f t="shared" si="1"/>
        <v>144</v>
      </c>
      <c r="Q51" s="19">
        <v>207.4</v>
      </c>
      <c r="R51" s="33">
        <v>193</v>
      </c>
      <c r="S51" s="19"/>
      <c r="T51" s="20"/>
      <c r="U51" s="36"/>
      <c r="W51" s="22">
        <v>46</v>
      </c>
      <c r="X51" s="19"/>
      <c r="Y51" s="22">
        <v>95</v>
      </c>
      <c r="Z51" s="19"/>
      <c r="AA51" s="22">
        <f t="shared" si="2"/>
        <v>144</v>
      </c>
      <c r="AB51" s="19"/>
      <c r="AC51" s="33">
        <v>193</v>
      </c>
      <c r="AD51" s="19">
        <v>196.7</v>
      </c>
      <c r="AE51" s="20"/>
      <c r="AF51" s="36"/>
    </row>
    <row r="52" spans="1:32" ht="15.75" x14ac:dyDescent="0.25">
      <c r="A52" s="22">
        <v>47</v>
      </c>
      <c r="B52" s="19">
        <v>203.7</v>
      </c>
      <c r="C52" s="22">
        <v>96</v>
      </c>
      <c r="D52" s="19">
        <v>200.5</v>
      </c>
      <c r="E52" s="22">
        <f t="shared" si="0"/>
        <v>145</v>
      </c>
      <c r="F52" s="19">
        <v>202.8</v>
      </c>
      <c r="G52" s="33">
        <v>194</v>
      </c>
      <c r="H52" s="19">
        <v>196.5</v>
      </c>
      <c r="I52" s="21"/>
      <c r="J52" s="36"/>
      <c r="L52" s="22">
        <v>47</v>
      </c>
      <c r="M52" s="19">
        <v>203.7</v>
      </c>
      <c r="N52" s="22">
        <v>96</v>
      </c>
      <c r="O52" s="19">
        <v>200.5</v>
      </c>
      <c r="P52" s="22">
        <f t="shared" si="1"/>
        <v>145</v>
      </c>
      <c r="Q52" s="19">
        <v>202.8</v>
      </c>
      <c r="R52" s="33">
        <v>194</v>
      </c>
      <c r="S52" s="19"/>
      <c r="T52" s="21"/>
      <c r="U52" s="36"/>
      <c r="W52" s="22">
        <v>47</v>
      </c>
      <c r="X52" s="19"/>
      <c r="Y52" s="22">
        <v>96</v>
      </c>
      <c r="Z52" s="19"/>
      <c r="AA52" s="22">
        <f t="shared" si="2"/>
        <v>145</v>
      </c>
      <c r="AB52" s="19"/>
      <c r="AC52" s="33">
        <v>194</v>
      </c>
      <c r="AD52" s="19">
        <v>196.5</v>
      </c>
      <c r="AE52" s="21"/>
      <c r="AF52" s="36"/>
    </row>
    <row r="53" spans="1:32" ht="15.75" x14ac:dyDescent="0.25">
      <c r="A53" s="22">
        <v>48</v>
      </c>
      <c r="B53" s="19">
        <v>199.2</v>
      </c>
      <c r="C53" s="22">
        <v>97</v>
      </c>
      <c r="D53" s="19">
        <v>199.2</v>
      </c>
      <c r="E53" s="22">
        <f t="shared" si="0"/>
        <v>146</v>
      </c>
      <c r="F53" s="19">
        <v>198.8</v>
      </c>
      <c r="G53" s="33">
        <v>195</v>
      </c>
      <c r="H53" s="19">
        <v>202.9</v>
      </c>
      <c r="I53" s="20"/>
      <c r="J53" s="36"/>
      <c r="L53" s="22">
        <v>48</v>
      </c>
      <c r="M53" s="19">
        <v>199.2</v>
      </c>
      <c r="N53" s="22">
        <v>97</v>
      </c>
      <c r="O53" s="19">
        <v>199.2</v>
      </c>
      <c r="P53" s="22">
        <f t="shared" si="1"/>
        <v>146</v>
      </c>
      <c r="Q53" s="19">
        <v>198.8</v>
      </c>
      <c r="R53" s="33">
        <v>195</v>
      </c>
      <c r="S53" s="19"/>
      <c r="T53" s="20"/>
      <c r="U53" s="36"/>
      <c r="W53" s="22">
        <v>48</v>
      </c>
      <c r="X53" s="19"/>
      <c r="Y53" s="22">
        <v>97</v>
      </c>
      <c r="Z53" s="19"/>
      <c r="AA53" s="22">
        <f t="shared" si="2"/>
        <v>146</v>
      </c>
      <c r="AB53" s="19"/>
      <c r="AC53" s="33">
        <v>195</v>
      </c>
      <c r="AD53" s="19">
        <v>202.9</v>
      </c>
      <c r="AE53" s="20"/>
      <c r="AF53" s="36"/>
    </row>
    <row r="54" spans="1:32" ht="15.75" x14ac:dyDescent="0.25">
      <c r="A54" s="37">
        <v>49</v>
      </c>
      <c r="B54" s="19">
        <v>200.7</v>
      </c>
      <c r="C54" s="37">
        <v>98</v>
      </c>
      <c r="D54" s="19">
        <v>197.6</v>
      </c>
      <c r="E54" s="22">
        <f t="shared" si="0"/>
        <v>147</v>
      </c>
      <c r="F54" s="19">
        <v>202.5</v>
      </c>
      <c r="G54" s="38">
        <v>196</v>
      </c>
      <c r="H54" s="19">
        <v>203.5</v>
      </c>
      <c r="I54" s="39"/>
      <c r="J54" s="40"/>
      <c r="L54" s="37">
        <v>49</v>
      </c>
      <c r="M54" s="19">
        <v>200.7</v>
      </c>
      <c r="N54" s="37">
        <v>98</v>
      </c>
      <c r="O54" s="19">
        <v>197.6</v>
      </c>
      <c r="P54" s="22">
        <f t="shared" si="1"/>
        <v>147</v>
      </c>
      <c r="Q54" s="19">
        <v>202.5</v>
      </c>
      <c r="R54" s="38">
        <v>196</v>
      </c>
      <c r="S54" s="19"/>
      <c r="T54" s="39"/>
      <c r="U54" s="40"/>
      <c r="W54" s="37">
        <v>49</v>
      </c>
      <c r="X54" s="19"/>
      <c r="Y54" s="37">
        <v>98</v>
      </c>
      <c r="Z54" s="19"/>
      <c r="AA54" s="22">
        <f t="shared" si="2"/>
        <v>147</v>
      </c>
      <c r="AB54" s="19"/>
      <c r="AC54" s="38">
        <v>196</v>
      </c>
      <c r="AD54" s="19">
        <v>203.5</v>
      </c>
      <c r="AE54" s="39"/>
      <c r="AF54" s="40"/>
    </row>
    <row r="55" spans="1:32" ht="15.75" x14ac:dyDescent="0.25">
      <c r="A55" s="41"/>
      <c r="B55" s="23">
        <f>SUM(B6:B54)</f>
        <v>9838.0000000000036</v>
      </c>
      <c r="C55" s="23"/>
      <c r="D55" s="23">
        <f>SUM(D6:D54)</f>
        <v>9758.4</v>
      </c>
      <c r="E55" s="23"/>
      <c r="F55" s="23">
        <f>SUM(F6:F54)</f>
        <v>9881.5999999999985</v>
      </c>
      <c r="G55" s="23"/>
      <c r="H55" s="23">
        <f>SUM(H6:H54)</f>
        <v>9887.5</v>
      </c>
      <c r="I55" s="41"/>
      <c r="J55" s="41">
        <f>SUM(J6:J54)</f>
        <v>4784.3</v>
      </c>
      <c r="L55" s="41"/>
      <c r="M55" s="23">
        <f>SUM(M6:M54)</f>
        <v>9838.0000000000036</v>
      </c>
      <c r="N55" s="23"/>
      <c r="O55" s="23">
        <f>SUM(O6:O54)</f>
        <v>9758.4</v>
      </c>
      <c r="P55" s="23"/>
      <c r="Q55" s="23">
        <f>SUM(Q6:Q54)</f>
        <v>3855.6000000000004</v>
      </c>
      <c r="R55" s="23"/>
      <c r="S55" s="23">
        <f>SUM(S6:S54)</f>
        <v>6454.8</v>
      </c>
      <c r="T55" s="41"/>
      <c r="U55" s="41">
        <f>SUM(U6:U54)</f>
        <v>0</v>
      </c>
      <c r="W55" s="41"/>
      <c r="X55" s="23">
        <f>SUM(X6:X54)</f>
        <v>0</v>
      </c>
      <c r="Y55" s="23"/>
      <c r="Z55" s="23">
        <f>SUM(Z6:Z54)</f>
        <v>0</v>
      </c>
      <c r="AA55" s="23"/>
      <c r="AB55" s="23">
        <f>SUM(AB6:AB54)</f>
        <v>6026</v>
      </c>
      <c r="AC55" s="23"/>
      <c r="AD55" s="23">
        <f>SUM(AD6:AD54)</f>
        <v>3432.6999999999994</v>
      </c>
      <c r="AE55" s="41"/>
      <c r="AF55" s="41">
        <f>SUM(AF6:AF54)</f>
        <v>4784.3</v>
      </c>
    </row>
    <row r="56" spans="1:32" ht="15.75" x14ac:dyDescent="0.25">
      <c r="A56" s="42" t="s">
        <v>5</v>
      </c>
      <c r="B56" s="43">
        <f>COUNT(B6:B54,D6:D54,F6:F54,H6:H54,J6:J54)</f>
        <v>220</v>
      </c>
      <c r="C56" s="13" t="s">
        <v>6</v>
      </c>
      <c r="D56" s="44"/>
      <c r="E56" s="45">
        <f>B55+D55+F55+H55+J55</f>
        <v>44149.8</v>
      </c>
      <c r="F56" s="24" t="s">
        <v>7</v>
      </c>
      <c r="G56" s="1">
        <f>B56*2.2</f>
        <v>484.00000000000006</v>
      </c>
      <c r="H56" s="13" t="s">
        <v>8</v>
      </c>
      <c r="I56" s="44"/>
      <c r="J56" s="45">
        <f>E56-G56</f>
        <v>43665.8</v>
      </c>
      <c r="L56" s="42" t="s">
        <v>5</v>
      </c>
      <c r="M56" s="43">
        <f>COUNT(M6:M54,O6:O54,Q6:Q54,S6:S54,U6:U54)</f>
        <v>149</v>
      </c>
      <c r="N56" s="13" t="s">
        <v>6</v>
      </c>
      <c r="O56" s="44"/>
      <c r="P56" s="45">
        <f>M55+O55+Q55+S55+U55</f>
        <v>29906.799999999999</v>
      </c>
      <c r="Q56" s="24" t="s">
        <v>7</v>
      </c>
      <c r="R56" s="1">
        <f>M56*2.2</f>
        <v>327.8</v>
      </c>
      <c r="S56" s="13" t="s">
        <v>8</v>
      </c>
      <c r="T56" s="44"/>
      <c r="U56" s="45">
        <f>P56-R56</f>
        <v>29579</v>
      </c>
      <c r="W56" s="42" t="s">
        <v>5</v>
      </c>
      <c r="X56" s="43">
        <f>COUNT(X6:X54,Z6:Z54,AB6:AB54,AD6:AD54,AF6:AF54)</f>
        <v>71</v>
      </c>
      <c r="Y56" s="13" t="s">
        <v>6</v>
      </c>
      <c r="Z56" s="44"/>
      <c r="AA56" s="45">
        <f>X55+Z55+AB55+AD55+AF55</f>
        <v>14243</v>
      </c>
      <c r="AB56" s="24" t="s">
        <v>7</v>
      </c>
      <c r="AC56" s="1">
        <f>X56*2.2</f>
        <v>156.20000000000002</v>
      </c>
      <c r="AD56" s="13" t="s">
        <v>8</v>
      </c>
      <c r="AE56" s="44"/>
      <c r="AF56" s="45">
        <f>AA56-AC56</f>
        <v>14086.8</v>
      </c>
    </row>
    <row r="57" spans="1:32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  <c r="L57" s="42" t="s">
        <v>9</v>
      </c>
      <c r="M57" s="25"/>
      <c r="N57" s="46"/>
      <c r="O57" s="44"/>
      <c r="P57" s="47"/>
      <c r="Q57" s="25"/>
      <c r="R57" s="48"/>
      <c r="S57" s="46"/>
      <c r="T57" s="44"/>
      <c r="U57" s="49"/>
      <c r="W57" s="42" t="s">
        <v>9</v>
      </c>
      <c r="X57" s="25"/>
      <c r="Y57" s="46"/>
      <c r="Z57" s="44"/>
      <c r="AA57" s="47"/>
      <c r="AB57" s="25"/>
      <c r="AC57" s="48"/>
      <c r="AD57" s="46"/>
      <c r="AE57" s="44"/>
      <c r="AF57" s="49"/>
    </row>
    <row r="58" spans="1:32" x14ac:dyDescent="0.25">
      <c r="B58">
        <f>M56+X56</f>
        <v>220</v>
      </c>
      <c r="E58" s="80">
        <f>P56+AA56</f>
        <v>44149.8</v>
      </c>
      <c r="J58" s="80">
        <f>U56+AF56</f>
        <v>43665.8</v>
      </c>
    </row>
    <row r="59" spans="1:32" x14ac:dyDescent="0.25">
      <c r="F59" s="112" t="s">
        <v>61</v>
      </c>
      <c r="G59" s="112">
        <v>2.2000000000000002</v>
      </c>
      <c r="Q59" s="112" t="s">
        <v>61</v>
      </c>
      <c r="R59" s="112">
        <v>2.2000000000000002</v>
      </c>
      <c r="AB59" s="112" t="s">
        <v>61</v>
      </c>
      <c r="AC59" s="112">
        <v>2.2000000000000002</v>
      </c>
    </row>
  </sheetData>
  <protectedRanges>
    <protectedRange password="CCE1" sqref="C6:C54 G6:G54 E6:E54 I6:I29 N6:N54 R6:R54 P6:P54 T6:T29 Y6:Y54 AC6:AC54 AA6:AA54 AE6:AE29" name="Диапазон1_3_1_7_2_1_1_1_1_1_1_1"/>
  </protectedRanges>
  <mergeCells count="6">
    <mergeCell ref="A1:J1"/>
    <mergeCell ref="I4:J4"/>
    <mergeCell ref="L1:U1"/>
    <mergeCell ref="T4:U4"/>
    <mergeCell ref="W1:AF1"/>
    <mergeCell ref="AE4:AF4"/>
  </mergeCells>
  <pageMargins left="0.7" right="0.7" top="0.75" bottom="0.75" header="0.3" footer="0.3"/>
  <pageSetup paperSize="9" scale="83" orientation="portrait" verticalDpi="0" r:id="rId1"/>
  <rowBreaks count="1" manualBreakCount="1">
    <brk id="57" max="16383" man="1"/>
  </rowBreaks>
  <colBreaks count="2" manualBreakCount="2">
    <brk id="10" max="1048575" man="1"/>
    <brk id="21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2"/>
  <sheetViews>
    <sheetView topLeftCell="A37" zoomScale="90" zoomScaleNormal="90" workbookViewId="0">
      <selection activeCell="N62" sqref="N62"/>
    </sheetView>
  </sheetViews>
  <sheetFormatPr defaultRowHeight="15" x14ac:dyDescent="0.25"/>
  <cols>
    <col min="11" max="11" width="2.85546875" customWidth="1"/>
    <col min="22" max="22" width="2.140625" customWidth="1"/>
  </cols>
  <sheetData>
    <row r="1" spans="1:32" ht="18.75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L1" s="204" t="s">
        <v>0</v>
      </c>
      <c r="M1" s="204"/>
      <c r="N1" s="204"/>
      <c r="O1" s="204"/>
      <c r="P1" s="204"/>
      <c r="Q1" s="204"/>
      <c r="R1" s="204"/>
      <c r="S1" s="204"/>
      <c r="T1" s="204"/>
      <c r="U1" s="204"/>
      <c r="W1" s="204" t="s">
        <v>0</v>
      </c>
      <c r="X1" s="204"/>
      <c r="Y1" s="204"/>
      <c r="Z1" s="204"/>
      <c r="AA1" s="204"/>
      <c r="AB1" s="204"/>
      <c r="AC1" s="204"/>
      <c r="AD1" s="204"/>
      <c r="AE1" s="204"/>
      <c r="AF1" s="204"/>
    </row>
    <row r="2" spans="1:32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  <c r="L2" s="13" t="s">
        <v>1</v>
      </c>
      <c r="M2" s="13"/>
      <c r="N2" s="13"/>
      <c r="O2" s="13"/>
      <c r="P2" s="13"/>
      <c r="Q2" s="13"/>
      <c r="R2" s="27"/>
      <c r="S2" s="13"/>
      <c r="T2" s="13"/>
      <c r="U2" s="13"/>
      <c r="W2" s="13" t="s">
        <v>1</v>
      </c>
      <c r="X2" s="13"/>
      <c r="Y2" s="13"/>
      <c r="Z2" s="13"/>
      <c r="AA2" s="13"/>
      <c r="AB2" s="13"/>
      <c r="AC2" s="27"/>
      <c r="AD2" s="13"/>
      <c r="AE2" s="13"/>
      <c r="AF2" s="13"/>
    </row>
    <row r="3" spans="1:32" ht="15.75" x14ac:dyDescent="0.25">
      <c r="A3" s="25" t="s">
        <v>2</v>
      </c>
      <c r="B3" s="27">
        <v>212</v>
      </c>
      <c r="C3" s="14"/>
      <c r="D3" s="15"/>
      <c r="E3" s="16"/>
      <c r="F3" s="16"/>
      <c r="G3" s="16"/>
      <c r="H3" s="16"/>
      <c r="I3" s="16" t="s">
        <v>33</v>
      </c>
      <c r="J3" s="16"/>
      <c r="L3" s="25" t="s">
        <v>2</v>
      </c>
      <c r="M3" s="27">
        <v>212</v>
      </c>
      <c r="N3" s="14"/>
      <c r="O3" s="15"/>
      <c r="P3" s="16"/>
      <c r="Q3" s="16"/>
      <c r="R3" s="16"/>
      <c r="S3" s="16"/>
      <c r="T3" s="16" t="s">
        <v>33</v>
      </c>
      <c r="U3" s="16"/>
      <c r="W3" s="25" t="s">
        <v>2</v>
      </c>
      <c r="X3" s="27">
        <v>212</v>
      </c>
      <c r="Y3" s="14"/>
      <c r="Z3" s="15"/>
      <c r="AA3" s="16"/>
      <c r="AB3" s="16"/>
      <c r="AC3" s="16"/>
      <c r="AD3" s="16"/>
      <c r="AE3" s="16" t="s">
        <v>33</v>
      </c>
      <c r="AF3" s="16"/>
    </row>
    <row r="4" spans="1:32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  <c r="L4" s="17"/>
      <c r="M4" s="17"/>
      <c r="N4" s="17"/>
      <c r="O4" s="17"/>
      <c r="P4" s="17"/>
      <c r="Q4" s="17"/>
      <c r="R4" s="17"/>
      <c r="S4" s="28"/>
      <c r="T4" s="205" t="s">
        <v>48</v>
      </c>
      <c r="U4" s="206"/>
      <c r="W4" s="17"/>
      <c r="X4" s="17"/>
      <c r="Y4" s="17"/>
      <c r="Z4" s="17"/>
      <c r="AA4" s="17"/>
      <c r="AB4" s="17"/>
      <c r="AC4" s="17"/>
      <c r="AD4" s="28"/>
      <c r="AE4" s="205" t="s">
        <v>50</v>
      </c>
      <c r="AF4" s="206"/>
    </row>
    <row r="5" spans="1:32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  <c r="L5" s="29" t="s">
        <v>3</v>
      </c>
      <c r="M5" s="18" t="s">
        <v>4</v>
      </c>
      <c r="N5" s="29" t="s">
        <v>3</v>
      </c>
      <c r="O5" s="18" t="s">
        <v>4</v>
      </c>
      <c r="P5" s="29" t="s">
        <v>3</v>
      </c>
      <c r="Q5" s="18" t="s">
        <v>4</v>
      </c>
      <c r="R5" s="29" t="s">
        <v>3</v>
      </c>
      <c r="S5" s="30" t="s">
        <v>4</v>
      </c>
      <c r="T5" s="31" t="s">
        <v>3</v>
      </c>
      <c r="U5" s="32" t="s">
        <v>4</v>
      </c>
      <c r="W5" s="29" t="s">
        <v>3</v>
      </c>
      <c r="X5" s="18" t="s">
        <v>4</v>
      </c>
      <c r="Y5" s="29" t="s">
        <v>3</v>
      </c>
      <c r="Z5" s="18" t="s">
        <v>4</v>
      </c>
      <c r="AA5" s="29" t="s">
        <v>3</v>
      </c>
      <c r="AB5" s="18" t="s">
        <v>4</v>
      </c>
      <c r="AC5" s="29" t="s">
        <v>3</v>
      </c>
      <c r="AD5" s="30" t="s">
        <v>4</v>
      </c>
      <c r="AE5" s="31" t="s">
        <v>3</v>
      </c>
      <c r="AF5" s="32" t="s">
        <v>4</v>
      </c>
    </row>
    <row r="6" spans="1:32" ht="15.75" x14ac:dyDescent="0.25">
      <c r="A6" s="22">
        <v>1</v>
      </c>
      <c r="B6" s="19">
        <v>202</v>
      </c>
      <c r="C6" s="22">
        <v>50</v>
      </c>
      <c r="D6" s="19">
        <v>199</v>
      </c>
      <c r="E6" s="22">
        <v>99</v>
      </c>
      <c r="F6" s="19">
        <v>193.3</v>
      </c>
      <c r="G6" s="33">
        <v>148</v>
      </c>
      <c r="H6" s="19">
        <v>202.1</v>
      </c>
      <c r="I6" s="34">
        <v>197</v>
      </c>
      <c r="J6" s="19">
        <v>206.3</v>
      </c>
      <c r="L6" s="22">
        <v>1</v>
      </c>
      <c r="M6" s="19">
        <v>202</v>
      </c>
      <c r="N6" s="22">
        <v>50</v>
      </c>
      <c r="O6" s="19">
        <v>199</v>
      </c>
      <c r="P6" s="22">
        <v>99</v>
      </c>
      <c r="Q6" s="19"/>
      <c r="R6" s="33">
        <v>148</v>
      </c>
      <c r="S6" s="19"/>
      <c r="T6" s="34">
        <v>197</v>
      </c>
      <c r="U6" s="19"/>
      <c r="W6" s="22">
        <v>1</v>
      </c>
      <c r="X6" s="19"/>
      <c r="Y6" s="22">
        <v>50</v>
      </c>
      <c r="Z6" s="19"/>
      <c r="AA6" s="22">
        <v>99</v>
      </c>
      <c r="AB6" s="19">
        <v>193.3</v>
      </c>
      <c r="AC6" s="33">
        <v>148</v>
      </c>
      <c r="AD6" s="19">
        <v>202.1</v>
      </c>
      <c r="AE6" s="34">
        <v>197</v>
      </c>
      <c r="AF6" s="19">
        <v>206.3</v>
      </c>
    </row>
    <row r="7" spans="1:32" ht="15.75" x14ac:dyDescent="0.25">
      <c r="A7" s="22">
        <v>2</v>
      </c>
      <c r="B7" s="19">
        <v>196.8</v>
      </c>
      <c r="C7" s="22">
        <v>51</v>
      </c>
      <c r="D7" s="19">
        <v>203.4</v>
      </c>
      <c r="E7" s="22">
        <v>100</v>
      </c>
      <c r="F7" s="19">
        <v>199</v>
      </c>
      <c r="G7" s="33">
        <v>149</v>
      </c>
      <c r="H7" s="19">
        <v>212.9</v>
      </c>
      <c r="I7" s="33">
        <v>198</v>
      </c>
      <c r="J7" s="19">
        <v>198.5</v>
      </c>
      <c r="L7" s="22">
        <v>2</v>
      </c>
      <c r="M7" s="19">
        <v>196.8</v>
      </c>
      <c r="N7" s="22">
        <v>51</v>
      </c>
      <c r="O7" s="19">
        <v>203.4</v>
      </c>
      <c r="P7" s="22">
        <v>100</v>
      </c>
      <c r="Q7" s="19"/>
      <c r="R7" s="33">
        <v>149</v>
      </c>
      <c r="S7" s="19"/>
      <c r="T7" s="33">
        <v>198</v>
      </c>
      <c r="U7" s="19"/>
      <c r="W7" s="22">
        <v>2</v>
      </c>
      <c r="X7" s="19"/>
      <c r="Y7" s="22">
        <v>51</v>
      </c>
      <c r="Z7" s="19"/>
      <c r="AA7" s="22">
        <v>100</v>
      </c>
      <c r="AB7" s="19">
        <v>199</v>
      </c>
      <c r="AC7" s="33">
        <v>149</v>
      </c>
      <c r="AD7" s="19">
        <v>212.9</v>
      </c>
      <c r="AE7" s="33">
        <v>198</v>
      </c>
      <c r="AF7" s="19">
        <v>198.5</v>
      </c>
    </row>
    <row r="8" spans="1:32" ht="15.75" x14ac:dyDescent="0.25">
      <c r="A8" s="22">
        <v>3</v>
      </c>
      <c r="B8" s="19">
        <v>204.7</v>
      </c>
      <c r="C8" s="22">
        <v>52</v>
      </c>
      <c r="D8" s="19">
        <v>200.5</v>
      </c>
      <c r="E8" s="22">
        <f t="shared" ref="E8:E54" si="0">+E7+1</f>
        <v>101</v>
      </c>
      <c r="F8" s="19">
        <v>197.2</v>
      </c>
      <c r="G8" s="33">
        <v>150</v>
      </c>
      <c r="H8" s="19">
        <v>204</v>
      </c>
      <c r="I8" s="33">
        <v>199</v>
      </c>
      <c r="J8" s="19">
        <v>205.7</v>
      </c>
      <c r="L8" s="22">
        <v>3</v>
      </c>
      <c r="M8" s="19">
        <v>204.7</v>
      </c>
      <c r="N8" s="22">
        <v>52</v>
      </c>
      <c r="O8" s="19">
        <v>200.5</v>
      </c>
      <c r="P8" s="22">
        <f t="shared" ref="P8:P54" si="1">+P7+1</f>
        <v>101</v>
      </c>
      <c r="Q8" s="19"/>
      <c r="R8" s="33">
        <v>150</v>
      </c>
      <c r="S8" s="19"/>
      <c r="T8" s="33">
        <v>199</v>
      </c>
      <c r="U8" s="19"/>
      <c r="W8" s="22">
        <v>3</v>
      </c>
      <c r="X8" s="19"/>
      <c r="Y8" s="22">
        <v>52</v>
      </c>
      <c r="Z8" s="19"/>
      <c r="AA8" s="22">
        <f t="shared" ref="AA8:AA54" si="2">+AA7+1</f>
        <v>101</v>
      </c>
      <c r="AB8" s="19">
        <v>197.2</v>
      </c>
      <c r="AC8" s="33">
        <v>150</v>
      </c>
      <c r="AD8" s="19">
        <v>204</v>
      </c>
      <c r="AE8" s="33">
        <v>199</v>
      </c>
      <c r="AF8" s="19">
        <v>205.7</v>
      </c>
    </row>
    <row r="9" spans="1:32" ht="15.75" x14ac:dyDescent="0.25">
      <c r="A9" s="22">
        <v>4</v>
      </c>
      <c r="B9" s="19">
        <v>192.8</v>
      </c>
      <c r="C9" s="22">
        <v>53</v>
      </c>
      <c r="D9" s="19">
        <v>198.8</v>
      </c>
      <c r="E9" s="22">
        <f t="shared" si="0"/>
        <v>102</v>
      </c>
      <c r="F9" s="19">
        <v>199</v>
      </c>
      <c r="G9" s="33">
        <v>151</v>
      </c>
      <c r="H9" s="19">
        <v>195.3</v>
      </c>
      <c r="I9" s="33">
        <v>200</v>
      </c>
      <c r="J9" s="19">
        <v>206.2</v>
      </c>
      <c r="L9" s="22">
        <v>4</v>
      </c>
      <c r="M9" s="19">
        <v>192.8</v>
      </c>
      <c r="N9" s="22">
        <v>53</v>
      </c>
      <c r="O9" s="19">
        <v>198.8</v>
      </c>
      <c r="P9" s="22">
        <f t="shared" si="1"/>
        <v>102</v>
      </c>
      <c r="Q9" s="19"/>
      <c r="R9" s="33">
        <v>151</v>
      </c>
      <c r="S9" s="19"/>
      <c r="T9" s="33">
        <v>200</v>
      </c>
      <c r="U9" s="19"/>
      <c r="W9" s="22">
        <v>4</v>
      </c>
      <c r="X9" s="19"/>
      <c r="Y9" s="22">
        <v>53</v>
      </c>
      <c r="Z9" s="19"/>
      <c r="AA9" s="22">
        <f t="shared" si="2"/>
        <v>102</v>
      </c>
      <c r="AB9" s="19">
        <v>199</v>
      </c>
      <c r="AC9" s="33">
        <v>151</v>
      </c>
      <c r="AD9" s="19">
        <v>195.3</v>
      </c>
      <c r="AE9" s="33">
        <v>200</v>
      </c>
      <c r="AF9" s="19">
        <v>206.2</v>
      </c>
    </row>
    <row r="10" spans="1:32" ht="15.75" x14ac:dyDescent="0.25">
      <c r="A10" s="22">
        <v>5</v>
      </c>
      <c r="B10" s="19">
        <v>204.6</v>
      </c>
      <c r="C10" s="22">
        <v>54</v>
      </c>
      <c r="D10" s="19">
        <v>191.5</v>
      </c>
      <c r="E10" s="22">
        <f t="shared" si="0"/>
        <v>103</v>
      </c>
      <c r="F10" s="19">
        <v>200.7</v>
      </c>
      <c r="G10" s="33">
        <v>152</v>
      </c>
      <c r="H10" s="19">
        <v>207.1</v>
      </c>
      <c r="I10" s="33">
        <v>201</v>
      </c>
      <c r="J10" s="19">
        <v>201.6</v>
      </c>
      <c r="L10" s="22">
        <v>5</v>
      </c>
      <c r="M10" s="19">
        <v>204.6</v>
      </c>
      <c r="N10" s="22">
        <v>54</v>
      </c>
      <c r="O10" s="19">
        <v>191.5</v>
      </c>
      <c r="P10" s="22">
        <f t="shared" si="1"/>
        <v>103</v>
      </c>
      <c r="Q10" s="19"/>
      <c r="R10" s="33">
        <v>152</v>
      </c>
      <c r="S10" s="19"/>
      <c r="T10" s="33">
        <v>201</v>
      </c>
      <c r="U10" s="19"/>
      <c r="W10" s="22">
        <v>5</v>
      </c>
      <c r="X10" s="19"/>
      <c r="Y10" s="22">
        <v>54</v>
      </c>
      <c r="Z10" s="19"/>
      <c r="AA10" s="22">
        <f t="shared" si="2"/>
        <v>103</v>
      </c>
      <c r="AB10" s="19">
        <v>200.7</v>
      </c>
      <c r="AC10" s="33">
        <v>152</v>
      </c>
      <c r="AD10" s="19">
        <v>207.1</v>
      </c>
      <c r="AE10" s="33">
        <v>201</v>
      </c>
      <c r="AF10" s="19">
        <v>201.6</v>
      </c>
    </row>
    <row r="11" spans="1:32" ht="15.75" x14ac:dyDescent="0.25">
      <c r="A11" s="22">
        <v>6</v>
      </c>
      <c r="B11" s="19">
        <v>193.4</v>
      </c>
      <c r="C11" s="22">
        <v>55</v>
      </c>
      <c r="D11" s="19">
        <v>194.3</v>
      </c>
      <c r="E11" s="22">
        <f t="shared" si="0"/>
        <v>104</v>
      </c>
      <c r="F11" s="19">
        <v>199.7</v>
      </c>
      <c r="G11" s="33">
        <v>153</v>
      </c>
      <c r="H11" s="19">
        <v>197.6</v>
      </c>
      <c r="I11" s="33">
        <v>202</v>
      </c>
      <c r="J11" s="19">
        <v>204.1</v>
      </c>
      <c r="L11" s="22">
        <v>6</v>
      </c>
      <c r="M11" s="19">
        <v>193.4</v>
      </c>
      <c r="N11" s="22">
        <v>55</v>
      </c>
      <c r="O11" s="19">
        <v>194.3</v>
      </c>
      <c r="P11" s="22">
        <f t="shared" si="1"/>
        <v>104</v>
      </c>
      <c r="Q11" s="19"/>
      <c r="R11" s="33">
        <v>153</v>
      </c>
      <c r="S11" s="19"/>
      <c r="T11" s="33">
        <v>202</v>
      </c>
      <c r="U11" s="19"/>
      <c r="W11" s="22">
        <v>6</v>
      </c>
      <c r="X11" s="19"/>
      <c r="Y11" s="22">
        <v>55</v>
      </c>
      <c r="Z11" s="19"/>
      <c r="AA11" s="22">
        <f t="shared" si="2"/>
        <v>104</v>
      </c>
      <c r="AB11" s="19">
        <v>199.7</v>
      </c>
      <c r="AC11" s="33">
        <v>153</v>
      </c>
      <c r="AD11" s="19">
        <v>197.6</v>
      </c>
      <c r="AE11" s="33">
        <v>202</v>
      </c>
      <c r="AF11" s="19">
        <v>204.1</v>
      </c>
    </row>
    <row r="12" spans="1:32" ht="15.75" x14ac:dyDescent="0.25">
      <c r="A12" s="22">
        <v>7</v>
      </c>
      <c r="B12" s="19">
        <v>205.6</v>
      </c>
      <c r="C12" s="22">
        <v>56</v>
      </c>
      <c r="D12" s="19">
        <v>204</v>
      </c>
      <c r="E12" s="22">
        <f t="shared" si="0"/>
        <v>105</v>
      </c>
      <c r="F12" s="19">
        <v>194.5</v>
      </c>
      <c r="G12" s="33">
        <v>154</v>
      </c>
      <c r="H12" s="19">
        <v>209</v>
      </c>
      <c r="I12" s="33">
        <v>203</v>
      </c>
      <c r="J12" s="19">
        <v>204.7</v>
      </c>
      <c r="L12" s="22">
        <v>7</v>
      </c>
      <c r="M12" s="19">
        <v>205.6</v>
      </c>
      <c r="N12" s="22">
        <v>56</v>
      </c>
      <c r="O12" s="19">
        <v>204</v>
      </c>
      <c r="P12" s="22">
        <f t="shared" si="1"/>
        <v>105</v>
      </c>
      <c r="Q12" s="19"/>
      <c r="R12" s="33">
        <v>154</v>
      </c>
      <c r="S12" s="19"/>
      <c r="T12" s="33">
        <v>203</v>
      </c>
      <c r="U12" s="19"/>
      <c r="W12" s="22">
        <v>7</v>
      </c>
      <c r="X12" s="19"/>
      <c r="Y12" s="22">
        <v>56</v>
      </c>
      <c r="Z12" s="19"/>
      <c r="AA12" s="22">
        <f t="shared" si="2"/>
        <v>105</v>
      </c>
      <c r="AB12" s="19">
        <v>194.5</v>
      </c>
      <c r="AC12" s="33">
        <v>154</v>
      </c>
      <c r="AD12" s="19">
        <v>209</v>
      </c>
      <c r="AE12" s="33">
        <v>203</v>
      </c>
      <c r="AF12" s="19">
        <v>204.7</v>
      </c>
    </row>
    <row r="13" spans="1:32" ht="15.75" x14ac:dyDescent="0.25">
      <c r="A13" s="22">
        <v>8</v>
      </c>
      <c r="B13" s="19">
        <v>196.2</v>
      </c>
      <c r="C13" s="22">
        <v>57</v>
      </c>
      <c r="D13" s="19">
        <v>197.6</v>
      </c>
      <c r="E13" s="22">
        <f t="shared" si="0"/>
        <v>106</v>
      </c>
      <c r="F13" s="19">
        <v>199.7</v>
      </c>
      <c r="G13" s="33">
        <v>155</v>
      </c>
      <c r="H13" s="19">
        <v>203.6</v>
      </c>
      <c r="I13" s="33">
        <v>204</v>
      </c>
      <c r="J13" s="19">
        <v>193.7</v>
      </c>
      <c r="L13" s="22">
        <v>8</v>
      </c>
      <c r="M13" s="19">
        <v>196.2</v>
      </c>
      <c r="N13" s="22">
        <v>57</v>
      </c>
      <c r="O13" s="19">
        <v>197.6</v>
      </c>
      <c r="P13" s="22">
        <f t="shared" si="1"/>
        <v>106</v>
      </c>
      <c r="Q13" s="19"/>
      <c r="R13" s="33">
        <v>155</v>
      </c>
      <c r="S13" s="19"/>
      <c r="T13" s="33">
        <v>204</v>
      </c>
      <c r="U13" s="19"/>
      <c r="W13" s="22">
        <v>8</v>
      </c>
      <c r="X13" s="19"/>
      <c r="Y13" s="22">
        <v>57</v>
      </c>
      <c r="Z13" s="19"/>
      <c r="AA13" s="22">
        <f t="shared" si="2"/>
        <v>106</v>
      </c>
      <c r="AB13" s="19">
        <v>199.7</v>
      </c>
      <c r="AC13" s="33">
        <v>155</v>
      </c>
      <c r="AD13" s="19">
        <v>203.6</v>
      </c>
      <c r="AE13" s="33">
        <v>204</v>
      </c>
      <c r="AF13" s="19">
        <v>193.7</v>
      </c>
    </row>
    <row r="14" spans="1:32" ht="15.75" x14ac:dyDescent="0.25">
      <c r="A14" s="22">
        <v>9</v>
      </c>
      <c r="B14" s="19">
        <v>200.4</v>
      </c>
      <c r="C14" s="22">
        <v>58</v>
      </c>
      <c r="D14" s="19">
        <v>200.8</v>
      </c>
      <c r="E14" s="22">
        <f t="shared" si="0"/>
        <v>107</v>
      </c>
      <c r="F14" s="19">
        <v>196.7</v>
      </c>
      <c r="G14" s="33">
        <v>156</v>
      </c>
      <c r="H14" s="19">
        <v>204.5</v>
      </c>
      <c r="I14" s="33">
        <v>205</v>
      </c>
      <c r="J14" s="19">
        <v>196.9</v>
      </c>
      <c r="L14" s="22">
        <v>9</v>
      </c>
      <c r="M14" s="19">
        <v>200.4</v>
      </c>
      <c r="N14" s="22">
        <v>58</v>
      </c>
      <c r="O14" s="19">
        <v>200.8</v>
      </c>
      <c r="P14" s="22">
        <f t="shared" si="1"/>
        <v>107</v>
      </c>
      <c r="Q14" s="19"/>
      <c r="R14" s="33">
        <v>156</v>
      </c>
      <c r="S14" s="19"/>
      <c r="T14" s="33">
        <v>205</v>
      </c>
      <c r="U14" s="19"/>
      <c r="W14" s="22">
        <v>9</v>
      </c>
      <c r="X14" s="19"/>
      <c r="Y14" s="22">
        <v>58</v>
      </c>
      <c r="Z14" s="19"/>
      <c r="AA14" s="22">
        <f t="shared" si="2"/>
        <v>107</v>
      </c>
      <c r="AB14" s="19">
        <v>196.7</v>
      </c>
      <c r="AC14" s="33">
        <v>156</v>
      </c>
      <c r="AD14" s="19">
        <v>204.5</v>
      </c>
      <c r="AE14" s="33">
        <v>205</v>
      </c>
      <c r="AF14" s="19">
        <v>196.9</v>
      </c>
    </row>
    <row r="15" spans="1:32" ht="15.75" x14ac:dyDescent="0.25">
      <c r="A15" s="22">
        <v>10</v>
      </c>
      <c r="B15" s="19">
        <v>209.8</v>
      </c>
      <c r="C15" s="22">
        <v>59</v>
      </c>
      <c r="D15" s="19">
        <v>194.4</v>
      </c>
      <c r="E15" s="22">
        <f t="shared" si="0"/>
        <v>108</v>
      </c>
      <c r="F15" s="19">
        <v>199.7</v>
      </c>
      <c r="G15" s="33">
        <v>157</v>
      </c>
      <c r="H15" s="19">
        <v>200</v>
      </c>
      <c r="I15" s="33">
        <v>206</v>
      </c>
      <c r="J15" s="19">
        <v>198</v>
      </c>
      <c r="L15" s="22">
        <v>10</v>
      </c>
      <c r="M15" s="19">
        <v>209.8</v>
      </c>
      <c r="N15" s="22">
        <v>59</v>
      </c>
      <c r="O15" s="19">
        <v>194.4</v>
      </c>
      <c r="P15" s="22">
        <f t="shared" si="1"/>
        <v>108</v>
      </c>
      <c r="Q15" s="19"/>
      <c r="R15" s="33">
        <v>157</v>
      </c>
      <c r="S15" s="19"/>
      <c r="T15" s="33">
        <v>206</v>
      </c>
      <c r="U15" s="19"/>
      <c r="W15" s="22">
        <v>10</v>
      </c>
      <c r="X15" s="19"/>
      <c r="Y15" s="22">
        <v>59</v>
      </c>
      <c r="Z15" s="19"/>
      <c r="AA15" s="22">
        <f t="shared" si="2"/>
        <v>108</v>
      </c>
      <c r="AB15" s="19">
        <v>199.7</v>
      </c>
      <c r="AC15" s="33">
        <v>157</v>
      </c>
      <c r="AD15" s="19">
        <v>200</v>
      </c>
      <c r="AE15" s="33">
        <v>206</v>
      </c>
      <c r="AF15" s="19">
        <v>198</v>
      </c>
    </row>
    <row r="16" spans="1:32" ht="15.75" x14ac:dyDescent="0.25">
      <c r="A16" s="22">
        <v>11</v>
      </c>
      <c r="B16" s="19">
        <v>200.4</v>
      </c>
      <c r="C16" s="22">
        <v>60</v>
      </c>
      <c r="D16" s="19">
        <v>198</v>
      </c>
      <c r="E16" s="22">
        <f t="shared" si="0"/>
        <v>109</v>
      </c>
      <c r="F16" s="19">
        <v>191.3</v>
      </c>
      <c r="G16" s="33">
        <v>158</v>
      </c>
      <c r="H16" s="19">
        <v>200.8</v>
      </c>
      <c r="I16" s="33">
        <v>207</v>
      </c>
      <c r="J16" s="19">
        <v>201</v>
      </c>
      <c r="L16" s="22">
        <v>11</v>
      </c>
      <c r="M16" s="19">
        <v>200.4</v>
      </c>
      <c r="N16" s="22">
        <v>60</v>
      </c>
      <c r="O16" s="19">
        <v>198</v>
      </c>
      <c r="P16" s="22">
        <f t="shared" si="1"/>
        <v>109</v>
      </c>
      <c r="Q16" s="19"/>
      <c r="R16" s="33">
        <v>158</v>
      </c>
      <c r="S16" s="19"/>
      <c r="T16" s="33">
        <v>207</v>
      </c>
      <c r="U16" s="19"/>
      <c r="W16" s="22">
        <v>11</v>
      </c>
      <c r="X16" s="19"/>
      <c r="Y16" s="22">
        <v>60</v>
      </c>
      <c r="Z16" s="19"/>
      <c r="AA16" s="22">
        <f t="shared" si="2"/>
        <v>109</v>
      </c>
      <c r="AB16" s="19">
        <v>191.3</v>
      </c>
      <c r="AC16" s="33">
        <v>158</v>
      </c>
      <c r="AD16" s="19">
        <v>200.8</v>
      </c>
      <c r="AE16" s="33">
        <v>207</v>
      </c>
      <c r="AF16" s="19">
        <v>201</v>
      </c>
    </row>
    <row r="17" spans="1:32" ht="15.75" x14ac:dyDescent="0.25">
      <c r="A17" s="22">
        <v>12</v>
      </c>
      <c r="B17" s="19">
        <v>195.3</v>
      </c>
      <c r="C17" s="22">
        <v>61</v>
      </c>
      <c r="D17" s="19">
        <v>192.6</v>
      </c>
      <c r="E17" s="22">
        <f t="shared" si="0"/>
        <v>110</v>
      </c>
      <c r="F17" s="19">
        <v>196.3</v>
      </c>
      <c r="G17" s="33">
        <v>159</v>
      </c>
      <c r="H17" s="19">
        <v>202</v>
      </c>
      <c r="I17" s="33">
        <v>208</v>
      </c>
      <c r="J17" s="19">
        <v>201.8</v>
      </c>
      <c r="L17" s="22">
        <v>12</v>
      </c>
      <c r="M17" s="19">
        <v>195.3</v>
      </c>
      <c r="N17" s="22">
        <v>61</v>
      </c>
      <c r="O17" s="19">
        <v>192.6</v>
      </c>
      <c r="P17" s="22">
        <f t="shared" si="1"/>
        <v>110</v>
      </c>
      <c r="Q17" s="19"/>
      <c r="R17" s="33">
        <v>159</v>
      </c>
      <c r="S17" s="19"/>
      <c r="T17" s="33">
        <v>208</v>
      </c>
      <c r="U17" s="19"/>
      <c r="W17" s="22">
        <v>12</v>
      </c>
      <c r="X17" s="19"/>
      <c r="Y17" s="22">
        <v>61</v>
      </c>
      <c r="Z17" s="19"/>
      <c r="AA17" s="22">
        <f t="shared" si="2"/>
        <v>110</v>
      </c>
      <c r="AB17" s="19">
        <v>196.3</v>
      </c>
      <c r="AC17" s="33">
        <v>159</v>
      </c>
      <c r="AD17" s="19">
        <v>202</v>
      </c>
      <c r="AE17" s="33">
        <v>208</v>
      </c>
      <c r="AF17" s="19">
        <v>201.8</v>
      </c>
    </row>
    <row r="18" spans="1:32" ht="15.75" x14ac:dyDescent="0.25">
      <c r="A18" s="22">
        <v>13</v>
      </c>
      <c r="B18" s="19">
        <v>199</v>
      </c>
      <c r="C18" s="22">
        <v>62</v>
      </c>
      <c r="D18" s="19">
        <v>205.2</v>
      </c>
      <c r="E18" s="22">
        <f t="shared" si="0"/>
        <v>111</v>
      </c>
      <c r="F18" s="19">
        <v>197.9</v>
      </c>
      <c r="G18" s="33">
        <v>160</v>
      </c>
      <c r="H18" s="19">
        <v>199.1</v>
      </c>
      <c r="I18" s="33">
        <v>209</v>
      </c>
      <c r="J18" s="19">
        <v>204.3</v>
      </c>
      <c r="L18" s="22">
        <v>13</v>
      </c>
      <c r="M18" s="19">
        <v>199</v>
      </c>
      <c r="N18" s="22">
        <v>62</v>
      </c>
      <c r="O18" s="19">
        <v>205.2</v>
      </c>
      <c r="P18" s="22">
        <f t="shared" si="1"/>
        <v>111</v>
      </c>
      <c r="Q18" s="19"/>
      <c r="R18" s="33">
        <v>160</v>
      </c>
      <c r="S18" s="19"/>
      <c r="T18" s="33">
        <v>209</v>
      </c>
      <c r="U18" s="19"/>
      <c r="W18" s="22">
        <v>13</v>
      </c>
      <c r="X18" s="19"/>
      <c r="Y18" s="22">
        <v>62</v>
      </c>
      <c r="Z18" s="19"/>
      <c r="AA18" s="22">
        <f t="shared" si="2"/>
        <v>111</v>
      </c>
      <c r="AB18" s="19">
        <v>197.9</v>
      </c>
      <c r="AC18" s="33">
        <v>160</v>
      </c>
      <c r="AD18" s="19">
        <v>199.1</v>
      </c>
      <c r="AE18" s="33">
        <v>209</v>
      </c>
      <c r="AF18" s="19">
        <v>204.3</v>
      </c>
    </row>
    <row r="19" spans="1:32" ht="15.75" x14ac:dyDescent="0.25">
      <c r="A19" s="22">
        <v>14</v>
      </c>
      <c r="B19" s="19">
        <v>191.1</v>
      </c>
      <c r="C19" s="22">
        <v>63</v>
      </c>
      <c r="D19" s="19">
        <v>203.1</v>
      </c>
      <c r="E19" s="22">
        <f t="shared" si="0"/>
        <v>112</v>
      </c>
      <c r="F19" s="19">
        <v>203</v>
      </c>
      <c r="G19" s="33">
        <v>161</v>
      </c>
      <c r="H19" s="19">
        <v>201</v>
      </c>
      <c r="I19" s="33">
        <v>210</v>
      </c>
      <c r="J19" s="19">
        <v>198.8</v>
      </c>
      <c r="L19" s="22">
        <v>14</v>
      </c>
      <c r="M19" s="19">
        <v>191.1</v>
      </c>
      <c r="N19" s="22">
        <v>63</v>
      </c>
      <c r="O19" s="19">
        <v>203.1</v>
      </c>
      <c r="P19" s="22">
        <f t="shared" si="1"/>
        <v>112</v>
      </c>
      <c r="Q19" s="19"/>
      <c r="R19" s="33">
        <v>161</v>
      </c>
      <c r="S19" s="19"/>
      <c r="T19" s="33">
        <v>210</v>
      </c>
      <c r="U19" s="19"/>
      <c r="W19" s="22">
        <v>14</v>
      </c>
      <c r="X19" s="19"/>
      <c r="Y19" s="22">
        <v>63</v>
      </c>
      <c r="Z19" s="19"/>
      <c r="AA19" s="22">
        <f t="shared" si="2"/>
        <v>112</v>
      </c>
      <c r="AB19" s="19">
        <v>203</v>
      </c>
      <c r="AC19" s="33">
        <v>161</v>
      </c>
      <c r="AD19" s="19">
        <v>201</v>
      </c>
      <c r="AE19" s="33">
        <v>210</v>
      </c>
      <c r="AF19" s="19">
        <v>198.8</v>
      </c>
    </row>
    <row r="20" spans="1:32" ht="15.75" x14ac:dyDescent="0.25">
      <c r="A20" s="22">
        <v>15</v>
      </c>
      <c r="B20" s="19">
        <v>199.8</v>
      </c>
      <c r="C20" s="22">
        <v>64</v>
      </c>
      <c r="D20" s="19">
        <v>195.6</v>
      </c>
      <c r="E20" s="22">
        <f t="shared" si="0"/>
        <v>113</v>
      </c>
      <c r="F20" s="19">
        <v>201.5</v>
      </c>
      <c r="G20" s="35">
        <v>162</v>
      </c>
      <c r="H20" s="19">
        <v>205.9</v>
      </c>
      <c r="I20" s="33">
        <v>211</v>
      </c>
      <c r="J20" s="19">
        <v>198.5</v>
      </c>
      <c r="L20" s="22">
        <v>15</v>
      </c>
      <c r="M20" s="19">
        <v>199.8</v>
      </c>
      <c r="N20" s="22">
        <v>64</v>
      </c>
      <c r="O20" s="19">
        <v>195.6</v>
      </c>
      <c r="P20" s="22">
        <f t="shared" si="1"/>
        <v>113</v>
      </c>
      <c r="Q20" s="19"/>
      <c r="R20" s="35">
        <v>162</v>
      </c>
      <c r="S20" s="19"/>
      <c r="T20" s="33">
        <v>211</v>
      </c>
      <c r="U20" s="19"/>
      <c r="W20" s="22">
        <v>15</v>
      </c>
      <c r="X20" s="19"/>
      <c r="Y20" s="22">
        <v>64</v>
      </c>
      <c r="Z20" s="19"/>
      <c r="AA20" s="22">
        <f t="shared" si="2"/>
        <v>113</v>
      </c>
      <c r="AB20" s="19">
        <v>201.5</v>
      </c>
      <c r="AC20" s="35">
        <v>162</v>
      </c>
      <c r="AD20" s="19">
        <v>205.9</v>
      </c>
      <c r="AE20" s="33">
        <v>211</v>
      </c>
      <c r="AF20" s="19">
        <v>198.5</v>
      </c>
    </row>
    <row r="21" spans="1:32" ht="15.75" x14ac:dyDescent="0.25">
      <c r="A21" s="22">
        <v>16</v>
      </c>
      <c r="B21" s="19">
        <v>195</v>
      </c>
      <c r="C21" s="22">
        <v>65</v>
      </c>
      <c r="D21" s="19">
        <v>194.7</v>
      </c>
      <c r="E21" s="22">
        <f t="shared" si="0"/>
        <v>114</v>
      </c>
      <c r="F21" s="19">
        <v>202.3</v>
      </c>
      <c r="G21" s="35">
        <v>163</v>
      </c>
      <c r="H21" s="19">
        <v>198.4</v>
      </c>
      <c r="I21" s="33">
        <v>212</v>
      </c>
      <c r="J21" s="19">
        <v>202.3</v>
      </c>
      <c r="L21" s="22">
        <v>16</v>
      </c>
      <c r="M21" s="19">
        <v>195</v>
      </c>
      <c r="N21" s="22">
        <v>65</v>
      </c>
      <c r="O21" s="19">
        <v>194.7</v>
      </c>
      <c r="P21" s="22">
        <f t="shared" si="1"/>
        <v>114</v>
      </c>
      <c r="Q21" s="19"/>
      <c r="R21" s="35">
        <v>163</v>
      </c>
      <c r="S21" s="19"/>
      <c r="T21" s="33">
        <v>212</v>
      </c>
      <c r="U21" s="19"/>
      <c r="W21" s="22">
        <v>16</v>
      </c>
      <c r="X21" s="19"/>
      <c r="Y21" s="22">
        <v>65</v>
      </c>
      <c r="Z21" s="19"/>
      <c r="AA21" s="22">
        <f t="shared" si="2"/>
        <v>114</v>
      </c>
      <c r="AB21" s="19">
        <v>202.3</v>
      </c>
      <c r="AC21" s="35">
        <v>163</v>
      </c>
      <c r="AD21" s="19">
        <v>198.4</v>
      </c>
      <c r="AE21" s="33">
        <v>212</v>
      </c>
      <c r="AF21" s="19">
        <v>202.3</v>
      </c>
    </row>
    <row r="22" spans="1:32" ht="15.75" x14ac:dyDescent="0.25">
      <c r="A22" s="22">
        <v>17</v>
      </c>
      <c r="B22" s="19">
        <v>202.4</v>
      </c>
      <c r="C22" s="22">
        <v>66</v>
      </c>
      <c r="D22" s="19">
        <v>202</v>
      </c>
      <c r="E22" s="22">
        <f t="shared" si="0"/>
        <v>115</v>
      </c>
      <c r="F22" s="19">
        <v>201.1</v>
      </c>
      <c r="G22" s="35">
        <v>164</v>
      </c>
      <c r="H22" s="19">
        <v>200.9</v>
      </c>
      <c r="I22" s="33">
        <v>213</v>
      </c>
      <c r="J22" s="19">
        <v>200.8</v>
      </c>
      <c r="L22" s="22">
        <v>17</v>
      </c>
      <c r="M22" s="19">
        <v>202.4</v>
      </c>
      <c r="N22" s="22">
        <v>66</v>
      </c>
      <c r="O22" s="19">
        <v>202</v>
      </c>
      <c r="P22" s="22">
        <f t="shared" si="1"/>
        <v>115</v>
      </c>
      <c r="Q22" s="19"/>
      <c r="R22" s="35">
        <v>164</v>
      </c>
      <c r="S22" s="19"/>
      <c r="T22" s="33">
        <v>213</v>
      </c>
      <c r="U22" s="19"/>
      <c r="W22" s="22">
        <v>17</v>
      </c>
      <c r="X22" s="19"/>
      <c r="Y22" s="22">
        <v>66</v>
      </c>
      <c r="Z22" s="19"/>
      <c r="AA22" s="22">
        <f t="shared" si="2"/>
        <v>115</v>
      </c>
      <c r="AB22" s="19">
        <v>201.1</v>
      </c>
      <c r="AC22" s="35">
        <v>164</v>
      </c>
      <c r="AD22" s="19">
        <v>200.9</v>
      </c>
      <c r="AE22" s="33">
        <v>213</v>
      </c>
      <c r="AF22" s="19">
        <v>200.8</v>
      </c>
    </row>
    <row r="23" spans="1:32" ht="15.75" x14ac:dyDescent="0.25">
      <c r="A23" s="22">
        <v>18</v>
      </c>
      <c r="B23" s="19">
        <v>194.5</v>
      </c>
      <c r="C23" s="22">
        <v>67</v>
      </c>
      <c r="D23" s="19">
        <v>197.4</v>
      </c>
      <c r="E23" s="22">
        <f t="shared" si="0"/>
        <v>116</v>
      </c>
      <c r="F23" s="19">
        <v>200.4</v>
      </c>
      <c r="G23" s="35">
        <v>165</v>
      </c>
      <c r="H23" s="19">
        <v>196.2</v>
      </c>
      <c r="I23" s="33">
        <v>214</v>
      </c>
      <c r="J23" s="19">
        <v>198.9</v>
      </c>
      <c r="L23" s="22">
        <v>18</v>
      </c>
      <c r="M23" s="19">
        <v>194.5</v>
      </c>
      <c r="N23" s="22">
        <v>67</v>
      </c>
      <c r="O23" s="19">
        <v>197.4</v>
      </c>
      <c r="P23" s="22">
        <f t="shared" si="1"/>
        <v>116</v>
      </c>
      <c r="Q23" s="19"/>
      <c r="R23" s="35">
        <v>165</v>
      </c>
      <c r="S23" s="19"/>
      <c r="T23" s="33">
        <v>214</v>
      </c>
      <c r="U23" s="19"/>
      <c r="W23" s="22">
        <v>18</v>
      </c>
      <c r="X23" s="19"/>
      <c r="Y23" s="22">
        <v>67</v>
      </c>
      <c r="Z23" s="19"/>
      <c r="AA23" s="22">
        <f t="shared" si="2"/>
        <v>116</v>
      </c>
      <c r="AB23" s="19">
        <v>200.4</v>
      </c>
      <c r="AC23" s="35">
        <v>165</v>
      </c>
      <c r="AD23" s="19">
        <v>196.2</v>
      </c>
      <c r="AE23" s="33">
        <v>214</v>
      </c>
      <c r="AF23" s="19">
        <v>198.9</v>
      </c>
    </row>
    <row r="24" spans="1:32" ht="15.75" x14ac:dyDescent="0.25">
      <c r="A24" s="22">
        <v>19</v>
      </c>
      <c r="B24" s="19">
        <v>197</v>
      </c>
      <c r="C24" s="22">
        <v>68</v>
      </c>
      <c r="D24" s="19">
        <v>191.6</v>
      </c>
      <c r="E24" s="22">
        <f t="shared" si="0"/>
        <v>117</v>
      </c>
      <c r="F24" s="19">
        <v>204.7</v>
      </c>
      <c r="G24" s="35">
        <v>166</v>
      </c>
      <c r="H24" s="19">
        <v>206.8</v>
      </c>
      <c r="I24" s="33">
        <v>215</v>
      </c>
      <c r="J24" s="19">
        <v>195</v>
      </c>
      <c r="L24" s="22">
        <v>19</v>
      </c>
      <c r="M24" s="19">
        <v>197</v>
      </c>
      <c r="N24" s="22">
        <v>68</v>
      </c>
      <c r="O24" s="19">
        <v>191.6</v>
      </c>
      <c r="P24" s="22">
        <f t="shared" si="1"/>
        <v>117</v>
      </c>
      <c r="Q24" s="19"/>
      <c r="R24" s="35">
        <v>166</v>
      </c>
      <c r="S24" s="19"/>
      <c r="T24" s="33">
        <v>215</v>
      </c>
      <c r="U24" s="19"/>
      <c r="W24" s="22">
        <v>19</v>
      </c>
      <c r="X24" s="19"/>
      <c r="Y24" s="22">
        <v>68</v>
      </c>
      <c r="Z24" s="19"/>
      <c r="AA24" s="22">
        <f t="shared" si="2"/>
        <v>117</v>
      </c>
      <c r="AB24" s="19">
        <v>204.7</v>
      </c>
      <c r="AC24" s="35">
        <v>166</v>
      </c>
      <c r="AD24" s="19">
        <v>206.8</v>
      </c>
      <c r="AE24" s="33">
        <v>215</v>
      </c>
      <c r="AF24" s="19">
        <v>195</v>
      </c>
    </row>
    <row r="25" spans="1:32" ht="15.75" x14ac:dyDescent="0.25">
      <c r="A25" s="22">
        <v>20</v>
      </c>
      <c r="B25" s="19">
        <v>200.3</v>
      </c>
      <c r="C25" s="22">
        <v>69</v>
      </c>
      <c r="D25" s="19">
        <v>202.8</v>
      </c>
      <c r="E25" s="22">
        <f t="shared" si="0"/>
        <v>118</v>
      </c>
      <c r="F25" s="19">
        <v>210.2</v>
      </c>
      <c r="G25" s="35">
        <v>167</v>
      </c>
      <c r="H25" s="19">
        <v>207.3</v>
      </c>
      <c r="I25" s="33">
        <v>216</v>
      </c>
      <c r="J25" s="19">
        <v>203.2</v>
      </c>
      <c r="L25" s="22">
        <v>20</v>
      </c>
      <c r="M25" s="19">
        <v>200.3</v>
      </c>
      <c r="N25" s="22">
        <v>69</v>
      </c>
      <c r="O25" s="19">
        <v>202.8</v>
      </c>
      <c r="P25" s="22">
        <f t="shared" si="1"/>
        <v>118</v>
      </c>
      <c r="Q25" s="19"/>
      <c r="R25" s="35">
        <v>167</v>
      </c>
      <c r="S25" s="19"/>
      <c r="T25" s="33">
        <v>216</v>
      </c>
      <c r="U25" s="19"/>
      <c r="W25" s="22">
        <v>20</v>
      </c>
      <c r="X25" s="19"/>
      <c r="Y25" s="22">
        <v>69</v>
      </c>
      <c r="Z25" s="19"/>
      <c r="AA25" s="22">
        <f t="shared" si="2"/>
        <v>118</v>
      </c>
      <c r="AB25" s="19">
        <v>210.2</v>
      </c>
      <c r="AC25" s="35">
        <v>167</v>
      </c>
      <c r="AD25" s="19">
        <v>207.3</v>
      </c>
      <c r="AE25" s="33">
        <v>216</v>
      </c>
      <c r="AF25" s="19">
        <v>203.2</v>
      </c>
    </row>
    <row r="26" spans="1:32" ht="15.75" x14ac:dyDescent="0.25">
      <c r="A26" s="22">
        <v>21</v>
      </c>
      <c r="B26" s="19">
        <v>196.6</v>
      </c>
      <c r="C26" s="22">
        <v>70</v>
      </c>
      <c r="D26" s="19">
        <v>191.7</v>
      </c>
      <c r="E26" s="22">
        <f t="shared" si="0"/>
        <v>119</v>
      </c>
      <c r="F26" s="19">
        <v>197.6</v>
      </c>
      <c r="G26" s="35">
        <v>168</v>
      </c>
      <c r="H26" s="19">
        <v>200.7</v>
      </c>
      <c r="I26" s="33">
        <v>217</v>
      </c>
      <c r="J26" s="19">
        <v>194.4</v>
      </c>
      <c r="L26" s="22">
        <v>21</v>
      </c>
      <c r="M26" s="19">
        <v>196.6</v>
      </c>
      <c r="N26" s="22">
        <v>70</v>
      </c>
      <c r="O26" s="19">
        <v>191.7</v>
      </c>
      <c r="P26" s="22">
        <f t="shared" si="1"/>
        <v>119</v>
      </c>
      <c r="Q26" s="19"/>
      <c r="R26" s="35">
        <v>168</v>
      </c>
      <c r="S26" s="19"/>
      <c r="T26" s="33">
        <v>217</v>
      </c>
      <c r="U26" s="19"/>
      <c r="W26" s="22">
        <v>21</v>
      </c>
      <c r="X26" s="19"/>
      <c r="Y26" s="22">
        <v>70</v>
      </c>
      <c r="Z26" s="19"/>
      <c r="AA26" s="22">
        <f t="shared" si="2"/>
        <v>119</v>
      </c>
      <c r="AB26" s="19">
        <v>197.6</v>
      </c>
      <c r="AC26" s="35">
        <v>168</v>
      </c>
      <c r="AD26" s="19">
        <v>200.7</v>
      </c>
      <c r="AE26" s="33">
        <v>217</v>
      </c>
      <c r="AF26" s="19">
        <v>194.4</v>
      </c>
    </row>
    <row r="27" spans="1:32" ht="15.75" x14ac:dyDescent="0.25">
      <c r="A27" s="22">
        <v>22</v>
      </c>
      <c r="B27" s="19">
        <v>197.6</v>
      </c>
      <c r="C27" s="22">
        <v>71</v>
      </c>
      <c r="D27" s="19">
        <v>198.4</v>
      </c>
      <c r="E27" s="22">
        <f t="shared" si="0"/>
        <v>120</v>
      </c>
      <c r="F27" s="19">
        <v>201.9</v>
      </c>
      <c r="G27" s="35">
        <v>169</v>
      </c>
      <c r="H27" s="19">
        <v>206.6</v>
      </c>
      <c r="I27" s="33">
        <v>218</v>
      </c>
      <c r="J27" s="19">
        <v>201.1</v>
      </c>
      <c r="L27" s="22">
        <v>22</v>
      </c>
      <c r="M27" s="19">
        <v>197.6</v>
      </c>
      <c r="N27" s="22">
        <v>71</v>
      </c>
      <c r="O27" s="19">
        <v>198.4</v>
      </c>
      <c r="P27" s="22">
        <f t="shared" si="1"/>
        <v>120</v>
      </c>
      <c r="Q27" s="19"/>
      <c r="R27" s="35">
        <v>169</v>
      </c>
      <c r="S27" s="19"/>
      <c r="T27" s="33">
        <v>218</v>
      </c>
      <c r="U27" s="19"/>
      <c r="W27" s="22">
        <v>22</v>
      </c>
      <c r="X27" s="19"/>
      <c r="Y27" s="22">
        <v>71</v>
      </c>
      <c r="Z27" s="19"/>
      <c r="AA27" s="22">
        <f t="shared" si="2"/>
        <v>120</v>
      </c>
      <c r="AB27" s="19">
        <v>201.9</v>
      </c>
      <c r="AC27" s="35">
        <v>169</v>
      </c>
      <c r="AD27" s="19">
        <v>206.6</v>
      </c>
      <c r="AE27" s="33">
        <v>218</v>
      </c>
      <c r="AF27" s="19">
        <v>201.1</v>
      </c>
    </row>
    <row r="28" spans="1:32" ht="15.75" x14ac:dyDescent="0.25">
      <c r="A28" s="22">
        <v>23</v>
      </c>
      <c r="B28" s="19">
        <v>192</v>
      </c>
      <c r="C28" s="22">
        <v>72</v>
      </c>
      <c r="D28" s="19">
        <v>197.5</v>
      </c>
      <c r="E28" s="22">
        <f t="shared" si="0"/>
        <v>121</v>
      </c>
      <c r="F28" s="19">
        <v>201</v>
      </c>
      <c r="G28" s="35">
        <v>170</v>
      </c>
      <c r="H28" s="19">
        <v>200.5</v>
      </c>
      <c r="I28" s="33">
        <v>219</v>
      </c>
      <c r="J28" s="19">
        <v>200.9</v>
      </c>
      <c r="L28" s="22">
        <v>23</v>
      </c>
      <c r="M28" s="19">
        <v>192</v>
      </c>
      <c r="N28" s="22">
        <v>72</v>
      </c>
      <c r="O28" s="19">
        <v>197.5</v>
      </c>
      <c r="P28" s="22">
        <f t="shared" si="1"/>
        <v>121</v>
      </c>
      <c r="Q28" s="19"/>
      <c r="R28" s="35">
        <v>170</v>
      </c>
      <c r="S28" s="19"/>
      <c r="T28" s="33">
        <v>219</v>
      </c>
      <c r="U28" s="19"/>
      <c r="W28" s="22">
        <v>23</v>
      </c>
      <c r="X28" s="19"/>
      <c r="Y28" s="22">
        <v>72</v>
      </c>
      <c r="Z28" s="19"/>
      <c r="AA28" s="22">
        <f t="shared" si="2"/>
        <v>121</v>
      </c>
      <c r="AB28" s="19">
        <v>201</v>
      </c>
      <c r="AC28" s="35">
        <v>170</v>
      </c>
      <c r="AD28" s="19">
        <v>200.5</v>
      </c>
      <c r="AE28" s="33">
        <v>219</v>
      </c>
      <c r="AF28" s="19">
        <v>200.9</v>
      </c>
    </row>
    <row r="29" spans="1:32" ht="15.75" x14ac:dyDescent="0.25">
      <c r="A29" s="22">
        <v>24</v>
      </c>
      <c r="B29" s="19">
        <v>196.9</v>
      </c>
      <c r="C29" s="22">
        <v>73</v>
      </c>
      <c r="D29" s="19">
        <v>194.5</v>
      </c>
      <c r="E29" s="22">
        <f t="shared" si="0"/>
        <v>122</v>
      </c>
      <c r="F29" s="19">
        <v>200.7</v>
      </c>
      <c r="G29" s="35">
        <v>171</v>
      </c>
      <c r="H29" s="19">
        <v>203.6</v>
      </c>
      <c r="I29" s="33">
        <v>220</v>
      </c>
      <c r="J29" s="19">
        <v>200.5</v>
      </c>
      <c r="L29" s="22">
        <v>24</v>
      </c>
      <c r="M29" s="19">
        <v>196.9</v>
      </c>
      <c r="N29" s="22">
        <v>73</v>
      </c>
      <c r="O29" s="19">
        <v>194.5</v>
      </c>
      <c r="P29" s="22">
        <f t="shared" si="1"/>
        <v>122</v>
      </c>
      <c r="Q29" s="19"/>
      <c r="R29" s="35">
        <v>171</v>
      </c>
      <c r="S29" s="19"/>
      <c r="T29" s="33">
        <v>220</v>
      </c>
      <c r="U29" s="19"/>
      <c r="W29" s="22">
        <v>24</v>
      </c>
      <c r="X29" s="19"/>
      <c r="Y29" s="22">
        <v>73</v>
      </c>
      <c r="Z29" s="19"/>
      <c r="AA29" s="22">
        <f t="shared" si="2"/>
        <v>122</v>
      </c>
      <c r="AB29" s="19">
        <v>200.7</v>
      </c>
      <c r="AC29" s="35">
        <v>171</v>
      </c>
      <c r="AD29" s="19">
        <v>203.6</v>
      </c>
      <c r="AE29" s="33">
        <v>220</v>
      </c>
      <c r="AF29" s="19">
        <v>200.5</v>
      </c>
    </row>
    <row r="30" spans="1:32" ht="15.75" x14ac:dyDescent="0.25">
      <c r="A30" s="22">
        <v>25</v>
      </c>
      <c r="B30" s="19">
        <v>192.4</v>
      </c>
      <c r="C30" s="22">
        <v>74</v>
      </c>
      <c r="D30" s="19">
        <v>199.6</v>
      </c>
      <c r="E30" s="22">
        <f t="shared" si="0"/>
        <v>123</v>
      </c>
      <c r="F30" s="19">
        <v>201.2</v>
      </c>
      <c r="G30" s="35">
        <v>172</v>
      </c>
      <c r="H30" s="19">
        <v>198.9</v>
      </c>
      <c r="I30" s="20"/>
      <c r="J30" s="36"/>
      <c r="L30" s="22">
        <v>25</v>
      </c>
      <c r="M30" s="19">
        <v>192.4</v>
      </c>
      <c r="N30" s="22">
        <v>74</v>
      </c>
      <c r="O30" s="19">
        <v>199.6</v>
      </c>
      <c r="P30" s="22">
        <f t="shared" si="1"/>
        <v>123</v>
      </c>
      <c r="Q30" s="19"/>
      <c r="R30" s="35">
        <v>172</v>
      </c>
      <c r="S30" s="19"/>
      <c r="T30" s="20"/>
      <c r="U30" s="36"/>
      <c r="W30" s="22">
        <v>25</v>
      </c>
      <c r="X30" s="19"/>
      <c r="Y30" s="22">
        <v>74</v>
      </c>
      <c r="Z30" s="19"/>
      <c r="AA30" s="22">
        <f t="shared" si="2"/>
        <v>123</v>
      </c>
      <c r="AB30" s="19">
        <v>201.2</v>
      </c>
      <c r="AC30" s="35">
        <v>172</v>
      </c>
      <c r="AD30" s="19">
        <v>198.9</v>
      </c>
      <c r="AE30" s="20"/>
      <c r="AF30" s="36"/>
    </row>
    <row r="31" spans="1:32" ht="15.75" x14ac:dyDescent="0.25">
      <c r="A31" s="22">
        <v>26</v>
      </c>
      <c r="B31" s="19">
        <v>209.2</v>
      </c>
      <c r="C31" s="22">
        <v>75</v>
      </c>
      <c r="D31" s="19">
        <v>200.5</v>
      </c>
      <c r="E31" s="22">
        <f t="shared" si="0"/>
        <v>124</v>
      </c>
      <c r="F31" s="19">
        <v>206.5</v>
      </c>
      <c r="G31" s="35">
        <v>173</v>
      </c>
      <c r="H31" s="19">
        <v>203</v>
      </c>
      <c r="I31" s="20"/>
      <c r="J31" s="36"/>
      <c r="L31" s="22">
        <v>26</v>
      </c>
      <c r="M31" s="19">
        <v>209.2</v>
      </c>
      <c r="N31" s="22">
        <v>75</v>
      </c>
      <c r="O31" s="19">
        <v>200.5</v>
      </c>
      <c r="P31" s="22">
        <f t="shared" si="1"/>
        <v>124</v>
      </c>
      <c r="Q31" s="19"/>
      <c r="R31" s="35">
        <v>173</v>
      </c>
      <c r="S31" s="19"/>
      <c r="T31" s="20"/>
      <c r="U31" s="36"/>
      <c r="W31" s="22">
        <v>26</v>
      </c>
      <c r="X31" s="19"/>
      <c r="Y31" s="22">
        <v>75</v>
      </c>
      <c r="Z31" s="19"/>
      <c r="AA31" s="22">
        <f t="shared" si="2"/>
        <v>124</v>
      </c>
      <c r="AB31" s="19">
        <v>206.5</v>
      </c>
      <c r="AC31" s="35">
        <v>173</v>
      </c>
      <c r="AD31" s="19">
        <v>203</v>
      </c>
      <c r="AE31" s="20"/>
      <c r="AF31" s="36"/>
    </row>
    <row r="32" spans="1:32" ht="15.75" x14ac:dyDescent="0.25">
      <c r="A32" s="22">
        <v>27</v>
      </c>
      <c r="B32" s="19">
        <v>200</v>
      </c>
      <c r="C32" s="22">
        <v>76</v>
      </c>
      <c r="D32" s="19">
        <v>203.5</v>
      </c>
      <c r="E32" s="22">
        <f t="shared" si="0"/>
        <v>125</v>
      </c>
      <c r="F32" s="19">
        <v>205.6</v>
      </c>
      <c r="G32" s="33">
        <v>174</v>
      </c>
      <c r="H32" s="19">
        <v>196.5</v>
      </c>
      <c r="I32" s="21"/>
      <c r="J32" s="36"/>
      <c r="L32" s="22">
        <v>27</v>
      </c>
      <c r="M32" s="19">
        <v>200</v>
      </c>
      <c r="N32" s="22">
        <v>76</v>
      </c>
      <c r="O32" s="19">
        <v>203.5</v>
      </c>
      <c r="P32" s="22">
        <f t="shared" si="1"/>
        <v>125</v>
      </c>
      <c r="Q32" s="19"/>
      <c r="R32" s="33">
        <v>174</v>
      </c>
      <c r="S32" s="19"/>
      <c r="T32" s="21"/>
      <c r="U32" s="36"/>
      <c r="W32" s="22">
        <v>27</v>
      </c>
      <c r="X32" s="19"/>
      <c r="Y32" s="22">
        <v>76</v>
      </c>
      <c r="Z32" s="19"/>
      <c r="AA32" s="22">
        <f t="shared" si="2"/>
        <v>125</v>
      </c>
      <c r="AB32" s="19">
        <v>205.6</v>
      </c>
      <c r="AC32" s="33">
        <v>174</v>
      </c>
      <c r="AD32" s="19">
        <v>196.5</v>
      </c>
      <c r="AE32" s="21"/>
      <c r="AF32" s="36"/>
    </row>
    <row r="33" spans="1:32" ht="15.75" x14ac:dyDescent="0.25">
      <c r="A33" s="22">
        <v>28</v>
      </c>
      <c r="B33" s="19">
        <v>203.6</v>
      </c>
      <c r="C33" s="22">
        <v>77</v>
      </c>
      <c r="D33" s="19">
        <v>198.4</v>
      </c>
      <c r="E33" s="22">
        <f t="shared" si="0"/>
        <v>126</v>
      </c>
      <c r="F33" s="19">
        <v>196.3</v>
      </c>
      <c r="G33" s="33">
        <v>175</v>
      </c>
      <c r="H33" s="19">
        <v>199.9</v>
      </c>
      <c r="I33" s="20"/>
      <c r="J33" s="36"/>
      <c r="L33" s="22">
        <v>28</v>
      </c>
      <c r="M33" s="19">
        <v>203.6</v>
      </c>
      <c r="N33" s="22">
        <v>77</v>
      </c>
      <c r="O33" s="19">
        <v>198.4</v>
      </c>
      <c r="P33" s="22">
        <f t="shared" si="1"/>
        <v>126</v>
      </c>
      <c r="Q33" s="19"/>
      <c r="R33" s="33">
        <v>175</v>
      </c>
      <c r="S33" s="19"/>
      <c r="T33" s="20"/>
      <c r="U33" s="36"/>
      <c r="W33" s="22">
        <v>28</v>
      </c>
      <c r="X33" s="19"/>
      <c r="Y33" s="22">
        <v>77</v>
      </c>
      <c r="Z33" s="19"/>
      <c r="AA33" s="22">
        <f t="shared" si="2"/>
        <v>126</v>
      </c>
      <c r="AB33" s="19">
        <v>196.3</v>
      </c>
      <c r="AC33" s="33">
        <v>175</v>
      </c>
      <c r="AD33" s="19">
        <v>199.9</v>
      </c>
      <c r="AE33" s="20"/>
      <c r="AF33" s="36"/>
    </row>
    <row r="34" spans="1:32" ht="15.75" x14ac:dyDescent="0.25">
      <c r="A34" s="22">
        <v>29</v>
      </c>
      <c r="B34" s="19">
        <v>197.5</v>
      </c>
      <c r="C34" s="22">
        <v>78</v>
      </c>
      <c r="D34" s="19">
        <v>201.4</v>
      </c>
      <c r="E34" s="22">
        <f t="shared" si="0"/>
        <v>127</v>
      </c>
      <c r="F34" s="19">
        <v>208.3</v>
      </c>
      <c r="G34" s="33">
        <v>176</v>
      </c>
      <c r="H34" s="19">
        <v>198.1</v>
      </c>
      <c r="I34" s="20"/>
      <c r="J34" s="36"/>
      <c r="L34" s="22">
        <v>29</v>
      </c>
      <c r="M34" s="19">
        <v>197.5</v>
      </c>
      <c r="N34" s="22">
        <v>78</v>
      </c>
      <c r="O34" s="19">
        <v>201.4</v>
      </c>
      <c r="P34" s="22">
        <f t="shared" si="1"/>
        <v>127</v>
      </c>
      <c r="Q34" s="19"/>
      <c r="R34" s="33">
        <v>176</v>
      </c>
      <c r="S34" s="19"/>
      <c r="T34" s="20"/>
      <c r="U34" s="36"/>
      <c r="W34" s="22">
        <v>29</v>
      </c>
      <c r="X34" s="19"/>
      <c r="Y34" s="22">
        <v>78</v>
      </c>
      <c r="Z34" s="19"/>
      <c r="AA34" s="22">
        <f t="shared" si="2"/>
        <v>127</v>
      </c>
      <c r="AB34" s="19">
        <v>208.3</v>
      </c>
      <c r="AC34" s="33">
        <v>176</v>
      </c>
      <c r="AD34" s="19">
        <v>198.1</v>
      </c>
      <c r="AE34" s="20"/>
      <c r="AF34" s="36"/>
    </row>
    <row r="35" spans="1:32" ht="15.75" x14ac:dyDescent="0.25">
      <c r="A35" s="22">
        <v>30</v>
      </c>
      <c r="B35" s="19">
        <v>196.1</v>
      </c>
      <c r="C35" s="22">
        <v>79</v>
      </c>
      <c r="D35" s="19">
        <v>200.2</v>
      </c>
      <c r="E35" s="22">
        <f t="shared" si="0"/>
        <v>128</v>
      </c>
      <c r="F35" s="19">
        <v>205.3</v>
      </c>
      <c r="G35" s="33">
        <v>177</v>
      </c>
      <c r="H35" s="19">
        <v>201.7</v>
      </c>
      <c r="I35" s="21"/>
      <c r="J35" s="36"/>
      <c r="L35" s="22">
        <v>30</v>
      </c>
      <c r="M35" s="19">
        <v>196.1</v>
      </c>
      <c r="N35" s="22">
        <v>79</v>
      </c>
      <c r="O35" s="19">
        <v>200.2</v>
      </c>
      <c r="P35" s="22">
        <f t="shared" si="1"/>
        <v>128</v>
      </c>
      <c r="Q35" s="19"/>
      <c r="R35" s="33">
        <v>177</v>
      </c>
      <c r="S35" s="19"/>
      <c r="T35" s="21"/>
      <c r="U35" s="36"/>
      <c r="W35" s="22">
        <v>30</v>
      </c>
      <c r="X35" s="19"/>
      <c r="Y35" s="22">
        <v>79</v>
      </c>
      <c r="Z35" s="19"/>
      <c r="AA35" s="22">
        <f t="shared" si="2"/>
        <v>128</v>
      </c>
      <c r="AB35" s="19">
        <v>205.3</v>
      </c>
      <c r="AC35" s="33">
        <v>177</v>
      </c>
      <c r="AD35" s="19">
        <v>201.7</v>
      </c>
      <c r="AE35" s="21"/>
      <c r="AF35" s="36"/>
    </row>
    <row r="36" spans="1:32" ht="15.75" x14ac:dyDescent="0.25">
      <c r="A36" s="22">
        <v>31</v>
      </c>
      <c r="B36" s="19">
        <v>194.9</v>
      </c>
      <c r="C36" s="22">
        <v>80</v>
      </c>
      <c r="D36" s="19">
        <v>200.1</v>
      </c>
      <c r="E36" s="22">
        <f t="shared" si="0"/>
        <v>129</v>
      </c>
      <c r="F36" s="19">
        <v>202.1</v>
      </c>
      <c r="G36" s="33">
        <v>178</v>
      </c>
      <c r="H36" s="19">
        <v>198.3</v>
      </c>
      <c r="I36" s="20"/>
      <c r="J36" s="36"/>
      <c r="L36" s="22">
        <v>31</v>
      </c>
      <c r="M36" s="19">
        <v>194.9</v>
      </c>
      <c r="N36" s="22">
        <v>80</v>
      </c>
      <c r="O36" s="19"/>
      <c r="P36" s="22">
        <f t="shared" si="1"/>
        <v>129</v>
      </c>
      <c r="Q36" s="19"/>
      <c r="R36" s="33">
        <v>178</v>
      </c>
      <c r="S36" s="19"/>
      <c r="T36" s="20"/>
      <c r="U36" s="36"/>
      <c r="W36" s="22">
        <v>31</v>
      </c>
      <c r="X36" s="19"/>
      <c r="Y36" s="22">
        <v>80</v>
      </c>
      <c r="Z36" s="19">
        <v>200.1</v>
      </c>
      <c r="AA36" s="22">
        <f t="shared" si="2"/>
        <v>129</v>
      </c>
      <c r="AB36" s="19">
        <v>202.1</v>
      </c>
      <c r="AC36" s="33">
        <v>178</v>
      </c>
      <c r="AD36" s="19">
        <v>198.3</v>
      </c>
      <c r="AE36" s="20"/>
      <c r="AF36" s="36"/>
    </row>
    <row r="37" spans="1:32" ht="15.75" x14ac:dyDescent="0.25">
      <c r="A37" s="22">
        <v>32</v>
      </c>
      <c r="B37" s="19">
        <v>200</v>
      </c>
      <c r="C37" s="22">
        <v>81</v>
      </c>
      <c r="D37" s="19">
        <v>199</v>
      </c>
      <c r="E37" s="22">
        <f t="shared" si="0"/>
        <v>130</v>
      </c>
      <c r="F37" s="19">
        <v>204.2</v>
      </c>
      <c r="G37" s="33">
        <v>179</v>
      </c>
      <c r="H37" s="19">
        <v>201.2</v>
      </c>
      <c r="I37" s="20"/>
      <c r="J37" s="36"/>
      <c r="L37" s="22">
        <v>32</v>
      </c>
      <c r="M37" s="19">
        <v>200</v>
      </c>
      <c r="N37" s="22">
        <v>81</v>
      </c>
      <c r="O37" s="19"/>
      <c r="P37" s="22">
        <f t="shared" si="1"/>
        <v>130</v>
      </c>
      <c r="Q37" s="19"/>
      <c r="R37" s="33">
        <v>179</v>
      </c>
      <c r="S37" s="19"/>
      <c r="T37" s="20"/>
      <c r="U37" s="36"/>
      <c r="W37" s="22">
        <v>32</v>
      </c>
      <c r="X37" s="19"/>
      <c r="Y37" s="22">
        <v>81</v>
      </c>
      <c r="Z37" s="19">
        <v>199</v>
      </c>
      <c r="AA37" s="22">
        <f t="shared" si="2"/>
        <v>130</v>
      </c>
      <c r="AB37" s="19">
        <v>204.2</v>
      </c>
      <c r="AC37" s="33">
        <v>179</v>
      </c>
      <c r="AD37" s="19">
        <v>201.2</v>
      </c>
      <c r="AE37" s="20"/>
      <c r="AF37" s="36"/>
    </row>
    <row r="38" spans="1:32" ht="15.75" x14ac:dyDescent="0.25">
      <c r="A38" s="22">
        <v>33</v>
      </c>
      <c r="B38" s="19">
        <v>192</v>
      </c>
      <c r="C38" s="22">
        <v>82</v>
      </c>
      <c r="D38" s="19">
        <v>194.1</v>
      </c>
      <c r="E38" s="22">
        <f t="shared" si="0"/>
        <v>131</v>
      </c>
      <c r="F38" s="19">
        <v>205.2</v>
      </c>
      <c r="G38" s="33">
        <v>180</v>
      </c>
      <c r="H38" s="19">
        <v>197.6</v>
      </c>
      <c r="I38" s="21"/>
      <c r="J38" s="36"/>
      <c r="L38" s="22">
        <v>33</v>
      </c>
      <c r="M38" s="19">
        <v>192</v>
      </c>
      <c r="N38" s="22">
        <v>82</v>
      </c>
      <c r="O38" s="19"/>
      <c r="P38" s="22">
        <f t="shared" si="1"/>
        <v>131</v>
      </c>
      <c r="Q38" s="19"/>
      <c r="R38" s="33">
        <v>180</v>
      </c>
      <c r="S38" s="19"/>
      <c r="T38" s="21"/>
      <c r="U38" s="36"/>
      <c r="W38" s="22">
        <v>33</v>
      </c>
      <c r="X38" s="19"/>
      <c r="Y38" s="22">
        <v>82</v>
      </c>
      <c r="Z38" s="19">
        <v>194.1</v>
      </c>
      <c r="AA38" s="22">
        <f t="shared" si="2"/>
        <v>131</v>
      </c>
      <c r="AB38" s="19">
        <v>205.2</v>
      </c>
      <c r="AC38" s="33">
        <v>180</v>
      </c>
      <c r="AD38" s="19">
        <v>197.6</v>
      </c>
      <c r="AE38" s="21"/>
      <c r="AF38" s="36"/>
    </row>
    <row r="39" spans="1:32" ht="15.75" x14ac:dyDescent="0.25">
      <c r="A39" s="22">
        <v>34</v>
      </c>
      <c r="B39" s="19">
        <v>192.5</v>
      </c>
      <c r="C39" s="22">
        <v>83</v>
      </c>
      <c r="D39" s="19">
        <v>198.2</v>
      </c>
      <c r="E39" s="22">
        <f t="shared" si="0"/>
        <v>132</v>
      </c>
      <c r="F39" s="19">
        <v>201.2</v>
      </c>
      <c r="G39" s="33">
        <v>181</v>
      </c>
      <c r="H39" s="19">
        <v>203.4</v>
      </c>
      <c r="I39" s="21"/>
      <c r="J39" s="36"/>
      <c r="L39" s="22">
        <v>34</v>
      </c>
      <c r="M39" s="19">
        <v>192.5</v>
      </c>
      <c r="N39" s="22">
        <v>83</v>
      </c>
      <c r="O39" s="19"/>
      <c r="P39" s="22">
        <f t="shared" si="1"/>
        <v>132</v>
      </c>
      <c r="Q39" s="19"/>
      <c r="R39" s="33">
        <v>181</v>
      </c>
      <c r="S39" s="19"/>
      <c r="T39" s="21"/>
      <c r="U39" s="36"/>
      <c r="W39" s="22">
        <v>34</v>
      </c>
      <c r="X39" s="19"/>
      <c r="Y39" s="22">
        <v>83</v>
      </c>
      <c r="Z39" s="19">
        <v>198.2</v>
      </c>
      <c r="AA39" s="22">
        <f t="shared" si="2"/>
        <v>132</v>
      </c>
      <c r="AB39" s="19">
        <v>201.2</v>
      </c>
      <c r="AC39" s="33">
        <v>181</v>
      </c>
      <c r="AD39" s="19">
        <v>203.4</v>
      </c>
      <c r="AE39" s="21"/>
      <c r="AF39" s="36"/>
    </row>
    <row r="40" spans="1:32" ht="15.75" x14ac:dyDescent="0.25">
      <c r="A40" s="22">
        <v>35</v>
      </c>
      <c r="B40" s="19">
        <v>204.1</v>
      </c>
      <c r="C40" s="22">
        <v>84</v>
      </c>
      <c r="D40" s="19">
        <v>197.2</v>
      </c>
      <c r="E40" s="22">
        <f t="shared" si="0"/>
        <v>133</v>
      </c>
      <c r="F40" s="19">
        <v>200.8</v>
      </c>
      <c r="G40" s="33">
        <v>182</v>
      </c>
      <c r="H40" s="19">
        <v>196.3</v>
      </c>
      <c r="I40" s="20"/>
      <c r="J40" s="36"/>
      <c r="L40" s="22">
        <v>35</v>
      </c>
      <c r="M40" s="19">
        <v>204.1</v>
      </c>
      <c r="N40" s="22">
        <v>84</v>
      </c>
      <c r="O40" s="19"/>
      <c r="P40" s="22">
        <f t="shared" si="1"/>
        <v>133</v>
      </c>
      <c r="Q40" s="19"/>
      <c r="R40" s="33">
        <v>182</v>
      </c>
      <c r="S40" s="19"/>
      <c r="T40" s="20"/>
      <c r="U40" s="36"/>
      <c r="W40" s="22">
        <v>35</v>
      </c>
      <c r="X40" s="19"/>
      <c r="Y40" s="22">
        <v>84</v>
      </c>
      <c r="Z40" s="19">
        <v>197.2</v>
      </c>
      <c r="AA40" s="22">
        <f t="shared" si="2"/>
        <v>133</v>
      </c>
      <c r="AB40" s="19">
        <v>200.8</v>
      </c>
      <c r="AC40" s="33">
        <v>182</v>
      </c>
      <c r="AD40" s="19">
        <v>196.3</v>
      </c>
      <c r="AE40" s="20"/>
      <c r="AF40" s="36"/>
    </row>
    <row r="41" spans="1:32" ht="15.75" x14ac:dyDescent="0.25">
      <c r="A41" s="22">
        <v>36</v>
      </c>
      <c r="B41" s="19">
        <v>192.2</v>
      </c>
      <c r="C41" s="22">
        <v>85</v>
      </c>
      <c r="D41" s="19">
        <v>194.2</v>
      </c>
      <c r="E41" s="22">
        <f t="shared" si="0"/>
        <v>134</v>
      </c>
      <c r="F41" s="19">
        <v>207.5</v>
      </c>
      <c r="G41" s="33">
        <v>183</v>
      </c>
      <c r="H41" s="19">
        <v>201.5</v>
      </c>
      <c r="I41" s="20"/>
      <c r="J41" s="36"/>
      <c r="L41" s="22">
        <v>36</v>
      </c>
      <c r="M41" s="19">
        <v>192.2</v>
      </c>
      <c r="N41" s="22">
        <v>85</v>
      </c>
      <c r="O41" s="19"/>
      <c r="P41" s="22">
        <f t="shared" si="1"/>
        <v>134</v>
      </c>
      <c r="Q41" s="19"/>
      <c r="R41" s="33">
        <v>183</v>
      </c>
      <c r="S41" s="19"/>
      <c r="T41" s="20"/>
      <c r="U41" s="36"/>
      <c r="W41" s="22">
        <v>36</v>
      </c>
      <c r="X41" s="19"/>
      <c r="Y41" s="22">
        <v>85</v>
      </c>
      <c r="Z41" s="19">
        <v>194.2</v>
      </c>
      <c r="AA41" s="22">
        <f t="shared" si="2"/>
        <v>134</v>
      </c>
      <c r="AB41" s="19">
        <v>207.5</v>
      </c>
      <c r="AC41" s="33">
        <v>183</v>
      </c>
      <c r="AD41" s="19">
        <v>201.5</v>
      </c>
      <c r="AE41" s="20"/>
      <c r="AF41" s="36"/>
    </row>
    <row r="42" spans="1:32" ht="15.75" x14ac:dyDescent="0.25">
      <c r="A42" s="22">
        <v>37</v>
      </c>
      <c r="B42" s="19">
        <v>215.6</v>
      </c>
      <c r="C42" s="22">
        <v>86</v>
      </c>
      <c r="D42" s="19">
        <v>204.9</v>
      </c>
      <c r="E42" s="22">
        <f t="shared" si="0"/>
        <v>135</v>
      </c>
      <c r="F42" s="19">
        <v>204</v>
      </c>
      <c r="G42" s="33">
        <v>184</v>
      </c>
      <c r="H42" s="19">
        <v>200.7</v>
      </c>
      <c r="I42" s="21"/>
      <c r="J42" s="36"/>
      <c r="L42" s="22">
        <v>37</v>
      </c>
      <c r="M42" s="19">
        <v>215.6</v>
      </c>
      <c r="N42" s="22">
        <v>86</v>
      </c>
      <c r="O42" s="19"/>
      <c r="P42" s="22">
        <f t="shared" si="1"/>
        <v>135</v>
      </c>
      <c r="Q42" s="19"/>
      <c r="R42" s="33">
        <v>184</v>
      </c>
      <c r="S42" s="19"/>
      <c r="T42" s="21"/>
      <c r="U42" s="36"/>
      <c r="W42" s="22">
        <v>37</v>
      </c>
      <c r="X42" s="19"/>
      <c r="Y42" s="22">
        <v>86</v>
      </c>
      <c r="Z42" s="19">
        <v>204.9</v>
      </c>
      <c r="AA42" s="22">
        <f t="shared" si="2"/>
        <v>135</v>
      </c>
      <c r="AB42" s="19">
        <v>204</v>
      </c>
      <c r="AC42" s="33">
        <v>184</v>
      </c>
      <c r="AD42" s="19">
        <v>200.7</v>
      </c>
      <c r="AE42" s="21"/>
      <c r="AF42" s="36"/>
    </row>
    <row r="43" spans="1:32" ht="15.75" x14ac:dyDescent="0.25">
      <c r="A43" s="22">
        <v>38</v>
      </c>
      <c r="B43" s="19">
        <v>198.3</v>
      </c>
      <c r="C43" s="22">
        <v>87</v>
      </c>
      <c r="D43" s="19">
        <v>194.7</v>
      </c>
      <c r="E43" s="22">
        <f t="shared" si="0"/>
        <v>136</v>
      </c>
      <c r="F43" s="19">
        <v>205.6</v>
      </c>
      <c r="G43" s="33">
        <v>185</v>
      </c>
      <c r="H43" s="19">
        <v>199.3</v>
      </c>
      <c r="I43" s="20"/>
      <c r="J43" s="36"/>
      <c r="L43" s="22">
        <v>38</v>
      </c>
      <c r="M43" s="19">
        <v>198.3</v>
      </c>
      <c r="N43" s="22">
        <v>87</v>
      </c>
      <c r="O43" s="19"/>
      <c r="P43" s="22">
        <f t="shared" si="1"/>
        <v>136</v>
      </c>
      <c r="Q43" s="19">
        <v>205.6</v>
      </c>
      <c r="R43" s="33">
        <v>185</v>
      </c>
      <c r="S43" s="19"/>
      <c r="T43" s="20"/>
      <c r="U43" s="36"/>
      <c r="W43" s="22">
        <v>38</v>
      </c>
      <c r="X43" s="19"/>
      <c r="Y43" s="22">
        <v>87</v>
      </c>
      <c r="Z43" s="19">
        <v>194.7</v>
      </c>
      <c r="AA43" s="22">
        <f t="shared" si="2"/>
        <v>136</v>
      </c>
      <c r="AB43" s="19"/>
      <c r="AC43" s="33">
        <v>185</v>
      </c>
      <c r="AD43" s="19">
        <v>199.3</v>
      </c>
      <c r="AE43" s="20"/>
      <c r="AF43" s="36"/>
    </row>
    <row r="44" spans="1:32" ht="15.75" x14ac:dyDescent="0.25">
      <c r="A44" s="22">
        <v>39</v>
      </c>
      <c r="B44" s="19">
        <v>213.8</v>
      </c>
      <c r="C44" s="22">
        <v>88</v>
      </c>
      <c r="D44" s="19">
        <v>197.4</v>
      </c>
      <c r="E44" s="22">
        <f t="shared" si="0"/>
        <v>137</v>
      </c>
      <c r="F44" s="19">
        <v>204.3</v>
      </c>
      <c r="G44" s="33">
        <v>186</v>
      </c>
      <c r="H44" s="19">
        <v>192.3</v>
      </c>
      <c r="I44" s="20"/>
      <c r="J44" s="36"/>
      <c r="L44" s="22">
        <v>39</v>
      </c>
      <c r="M44" s="19">
        <v>213.8</v>
      </c>
      <c r="N44" s="22">
        <v>88</v>
      </c>
      <c r="O44" s="19"/>
      <c r="P44" s="22">
        <f t="shared" si="1"/>
        <v>137</v>
      </c>
      <c r="Q44" s="19">
        <v>204.3</v>
      </c>
      <c r="R44" s="33">
        <v>186</v>
      </c>
      <c r="S44" s="19"/>
      <c r="T44" s="20"/>
      <c r="U44" s="36"/>
      <c r="W44" s="22">
        <v>39</v>
      </c>
      <c r="X44" s="19"/>
      <c r="Y44" s="22">
        <v>88</v>
      </c>
      <c r="Z44" s="19">
        <v>197.4</v>
      </c>
      <c r="AA44" s="22">
        <f t="shared" si="2"/>
        <v>137</v>
      </c>
      <c r="AB44" s="19"/>
      <c r="AC44" s="33">
        <v>186</v>
      </c>
      <c r="AD44" s="19">
        <v>192.3</v>
      </c>
      <c r="AE44" s="20"/>
      <c r="AF44" s="36"/>
    </row>
    <row r="45" spans="1:32" ht="15.75" x14ac:dyDescent="0.25">
      <c r="A45" s="22">
        <v>40</v>
      </c>
      <c r="B45" s="19">
        <v>198.1</v>
      </c>
      <c r="C45" s="22">
        <v>89</v>
      </c>
      <c r="D45" s="19">
        <v>190.3</v>
      </c>
      <c r="E45" s="22">
        <f t="shared" si="0"/>
        <v>138</v>
      </c>
      <c r="F45" s="19">
        <v>207.8</v>
      </c>
      <c r="G45" s="33">
        <v>187</v>
      </c>
      <c r="H45" s="19">
        <v>201.3</v>
      </c>
      <c r="I45" s="21"/>
      <c r="J45" s="36"/>
      <c r="L45" s="22">
        <v>40</v>
      </c>
      <c r="M45" s="19">
        <v>198.1</v>
      </c>
      <c r="N45" s="22">
        <v>89</v>
      </c>
      <c r="O45" s="19"/>
      <c r="P45" s="22">
        <f t="shared" si="1"/>
        <v>138</v>
      </c>
      <c r="Q45" s="19">
        <v>207.8</v>
      </c>
      <c r="R45" s="33">
        <v>187</v>
      </c>
      <c r="S45" s="19"/>
      <c r="T45" s="21"/>
      <c r="U45" s="36"/>
      <c r="W45" s="22">
        <v>40</v>
      </c>
      <c r="X45" s="19"/>
      <c r="Y45" s="22">
        <v>89</v>
      </c>
      <c r="Z45" s="19">
        <v>190.3</v>
      </c>
      <c r="AA45" s="22">
        <f t="shared" si="2"/>
        <v>138</v>
      </c>
      <c r="AB45" s="19"/>
      <c r="AC45" s="33">
        <v>187</v>
      </c>
      <c r="AD45" s="19">
        <v>201.3</v>
      </c>
      <c r="AE45" s="21"/>
      <c r="AF45" s="36"/>
    </row>
    <row r="46" spans="1:32" ht="15.75" x14ac:dyDescent="0.25">
      <c r="A46" s="22">
        <v>41</v>
      </c>
      <c r="B46" s="19">
        <v>204.5</v>
      </c>
      <c r="C46" s="22">
        <v>90</v>
      </c>
      <c r="D46" s="19">
        <v>193.5</v>
      </c>
      <c r="E46" s="22">
        <f t="shared" si="0"/>
        <v>139</v>
      </c>
      <c r="F46" s="19">
        <v>202.7</v>
      </c>
      <c r="G46" s="33">
        <v>188</v>
      </c>
      <c r="H46" s="19">
        <v>200.3</v>
      </c>
      <c r="I46" s="20"/>
      <c r="J46" s="36"/>
      <c r="L46" s="22">
        <v>41</v>
      </c>
      <c r="M46" s="19">
        <v>204.5</v>
      </c>
      <c r="N46" s="22">
        <v>90</v>
      </c>
      <c r="O46" s="19"/>
      <c r="P46" s="22">
        <f t="shared" si="1"/>
        <v>139</v>
      </c>
      <c r="Q46" s="19">
        <v>202.7</v>
      </c>
      <c r="R46" s="33">
        <v>188</v>
      </c>
      <c r="S46" s="19"/>
      <c r="T46" s="20"/>
      <c r="U46" s="36"/>
      <c r="W46" s="22">
        <v>41</v>
      </c>
      <c r="X46" s="19"/>
      <c r="Y46" s="22">
        <v>90</v>
      </c>
      <c r="Z46" s="19">
        <v>193.5</v>
      </c>
      <c r="AA46" s="22">
        <f t="shared" si="2"/>
        <v>139</v>
      </c>
      <c r="AB46" s="19"/>
      <c r="AC46" s="33">
        <v>188</v>
      </c>
      <c r="AD46" s="19">
        <v>200.3</v>
      </c>
      <c r="AE46" s="20"/>
      <c r="AF46" s="36"/>
    </row>
    <row r="47" spans="1:32" ht="15.75" x14ac:dyDescent="0.25">
      <c r="A47" s="22">
        <v>42</v>
      </c>
      <c r="B47" s="19">
        <v>200.8</v>
      </c>
      <c r="C47" s="22">
        <v>91</v>
      </c>
      <c r="D47" s="19">
        <v>193.5</v>
      </c>
      <c r="E47" s="22">
        <f t="shared" si="0"/>
        <v>140</v>
      </c>
      <c r="F47" s="19">
        <v>204.8</v>
      </c>
      <c r="G47" s="33">
        <v>189</v>
      </c>
      <c r="H47" s="19">
        <v>199.8</v>
      </c>
      <c r="I47" s="20"/>
      <c r="J47" s="36"/>
      <c r="L47" s="22">
        <v>42</v>
      </c>
      <c r="M47" s="19">
        <v>200.8</v>
      </c>
      <c r="N47" s="22">
        <v>91</v>
      </c>
      <c r="O47" s="19"/>
      <c r="P47" s="22">
        <f t="shared" si="1"/>
        <v>140</v>
      </c>
      <c r="Q47" s="19">
        <v>204.8</v>
      </c>
      <c r="R47" s="33">
        <v>189</v>
      </c>
      <c r="S47" s="19"/>
      <c r="T47" s="20"/>
      <c r="U47" s="36"/>
      <c r="W47" s="22">
        <v>42</v>
      </c>
      <c r="X47" s="19"/>
      <c r="Y47" s="22">
        <v>91</v>
      </c>
      <c r="Z47" s="19">
        <v>193.5</v>
      </c>
      <c r="AA47" s="22">
        <f t="shared" si="2"/>
        <v>140</v>
      </c>
      <c r="AB47" s="19"/>
      <c r="AC47" s="33">
        <v>189</v>
      </c>
      <c r="AD47" s="19">
        <v>199.8</v>
      </c>
      <c r="AE47" s="20"/>
      <c r="AF47" s="36"/>
    </row>
    <row r="48" spans="1:32" ht="15.75" x14ac:dyDescent="0.25">
      <c r="A48" s="22">
        <v>43</v>
      </c>
      <c r="B48" s="19">
        <v>201.7</v>
      </c>
      <c r="C48" s="22">
        <v>92</v>
      </c>
      <c r="D48" s="19">
        <v>193.8</v>
      </c>
      <c r="E48" s="22">
        <f t="shared" si="0"/>
        <v>141</v>
      </c>
      <c r="F48" s="19">
        <v>204</v>
      </c>
      <c r="G48" s="33">
        <v>190</v>
      </c>
      <c r="H48" s="19">
        <v>197.7</v>
      </c>
      <c r="I48" s="21"/>
      <c r="J48" s="36"/>
      <c r="L48" s="22">
        <v>43</v>
      </c>
      <c r="M48" s="19">
        <v>201.7</v>
      </c>
      <c r="N48" s="22">
        <v>92</v>
      </c>
      <c r="O48" s="19"/>
      <c r="P48" s="22">
        <f t="shared" si="1"/>
        <v>141</v>
      </c>
      <c r="Q48" s="19">
        <v>204</v>
      </c>
      <c r="R48" s="33">
        <v>190</v>
      </c>
      <c r="S48" s="19"/>
      <c r="T48" s="21"/>
      <c r="U48" s="36"/>
      <c r="W48" s="22">
        <v>43</v>
      </c>
      <c r="X48" s="19"/>
      <c r="Y48" s="22">
        <v>92</v>
      </c>
      <c r="Z48" s="19">
        <v>193.8</v>
      </c>
      <c r="AA48" s="22">
        <f t="shared" si="2"/>
        <v>141</v>
      </c>
      <c r="AB48" s="19"/>
      <c r="AC48" s="33">
        <v>190</v>
      </c>
      <c r="AD48" s="19">
        <v>197.7</v>
      </c>
      <c r="AE48" s="21"/>
      <c r="AF48" s="36"/>
    </row>
    <row r="49" spans="1:32" ht="15.75" x14ac:dyDescent="0.25">
      <c r="A49" s="22">
        <v>44</v>
      </c>
      <c r="B49" s="19">
        <v>194.8</v>
      </c>
      <c r="C49" s="22">
        <v>93</v>
      </c>
      <c r="D49" s="19">
        <v>192.9</v>
      </c>
      <c r="E49" s="22">
        <f t="shared" si="0"/>
        <v>142</v>
      </c>
      <c r="F49" s="19">
        <v>202.8</v>
      </c>
      <c r="G49" s="33">
        <v>191</v>
      </c>
      <c r="H49" s="19">
        <v>197.2</v>
      </c>
      <c r="I49" s="21"/>
      <c r="J49" s="36"/>
      <c r="L49" s="22">
        <v>44</v>
      </c>
      <c r="M49" s="19">
        <v>194.8</v>
      </c>
      <c r="N49" s="22">
        <v>93</v>
      </c>
      <c r="O49" s="19"/>
      <c r="P49" s="22">
        <f t="shared" si="1"/>
        <v>142</v>
      </c>
      <c r="Q49" s="19">
        <v>202.8</v>
      </c>
      <c r="R49" s="33">
        <v>191</v>
      </c>
      <c r="S49" s="19"/>
      <c r="T49" s="21"/>
      <c r="U49" s="36"/>
      <c r="W49" s="22">
        <v>44</v>
      </c>
      <c r="X49" s="19"/>
      <c r="Y49" s="22">
        <v>93</v>
      </c>
      <c r="Z49" s="19">
        <v>192.9</v>
      </c>
      <c r="AA49" s="22">
        <f t="shared" si="2"/>
        <v>142</v>
      </c>
      <c r="AB49" s="19"/>
      <c r="AC49" s="33">
        <v>191</v>
      </c>
      <c r="AD49" s="19">
        <v>197.2</v>
      </c>
      <c r="AE49" s="21"/>
      <c r="AF49" s="36"/>
    </row>
    <row r="50" spans="1:32" ht="15.75" x14ac:dyDescent="0.25">
      <c r="A50" s="22">
        <v>45</v>
      </c>
      <c r="B50" s="19">
        <v>199.1</v>
      </c>
      <c r="C50" s="22">
        <v>94</v>
      </c>
      <c r="D50" s="19">
        <v>193.1</v>
      </c>
      <c r="E50" s="22">
        <f t="shared" si="0"/>
        <v>143</v>
      </c>
      <c r="F50" s="19">
        <v>202.3</v>
      </c>
      <c r="G50" s="33">
        <v>192</v>
      </c>
      <c r="H50" s="19">
        <v>197.3</v>
      </c>
      <c r="I50" s="20"/>
      <c r="J50" s="36"/>
      <c r="L50" s="22">
        <v>45</v>
      </c>
      <c r="M50" s="19">
        <v>199.1</v>
      </c>
      <c r="N50" s="22">
        <v>94</v>
      </c>
      <c r="O50" s="19"/>
      <c r="P50" s="22">
        <f t="shared" si="1"/>
        <v>143</v>
      </c>
      <c r="Q50" s="19">
        <v>202.3</v>
      </c>
      <c r="R50" s="33">
        <v>192</v>
      </c>
      <c r="S50" s="19"/>
      <c r="T50" s="20"/>
      <c r="U50" s="36"/>
      <c r="W50" s="22">
        <v>45</v>
      </c>
      <c r="X50" s="19"/>
      <c r="Y50" s="22">
        <v>94</v>
      </c>
      <c r="Z50" s="19">
        <v>193.1</v>
      </c>
      <c r="AA50" s="22">
        <f t="shared" si="2"/>
        <v>143</v>
      </c>
      <c r="AB50" s="19"/>
      <c r="AC50" s="33">
        <v>192</v>
      </c>
      <c r="AD50" s="19">
        <v>197.3</v>
      </c>
      <c r="AE50" s="20"/>
      <c r="AF50" s="36"/>
    </row>
    <row r="51" spans="1:32" ht="15.75" x14ac:dyDescent="0.25">
      <c r="A51" s="22">
        <v>46</v>
      </c>
      <c r="B51" s="19">
        <v>196.6</v>
      </c>
      <c r="C51" s="22">
        <v>95</v>
      </c>
      <c r="D51" s="19">
        <v>194.4</v>
      </c>
      <c r="E51" s="22">
        <f t="shared" si="0"/>
        <v>144</v>
      </c>
      <c r="F51" s="19">
        <v>199.8</v>
      </c>
      <c r="G51" s="33">
        <v>193</v>
      </c>
      <c r="H51" s="19">
        <v>198.1</v>
      </c>
      <c r="I51" s="20"/>
      <c r="J51" s="36"/>
      <c r="L51" s="22">
        <v>46</v>
      </c>
      <c r="M51" s="19">
        <v>196.6</v>
      </c>
      <c r="N51" s="22">
        <v>95</v>
      </c>
      <c r="O51" s="19"/>
      <c r="P51" s="22">
        <f t="shared" si="1"/>
        <v>144</v>
      </c>
      <c r="Q51" s="19">
        <v>199.8</v>
      </c>
      <c r="R51" s="33">
        <v>193</v>
      </c>
      <c r="S51" s="19"/>
      <c r="T51" s="20"/>
      <c r="U51" s="36"/>
      <c r="W51" s="22">
        <v>46</v>
      </c>
      <c r="X51" s="19"/>
      <c r="Y51" s="22">
        <v>95</v>
      </c>
      <c r="Z51" s="19">
        <v>194.4</v>
      </c>
      <c r="AA51" s="22">
        <f t="shared" si="2"/>
        <v>144</v>
      </c>
      <c r="AB51" s="19"/>
      <c r="AC51" s="33">
        <v>193</v>
      </c>
      <c r="AD51" s="19">
        <v>198.1</v>
      </c>
      <c r="AE51" s="20"/>
      <c r="AF51" s="36"/>
    </row>
    <row r="52" spans="1:32" ht="15.75" x14ac:dyDescent="0.25">
      <c r="A52" s="22">
        <v>47</v>
      </c>
      <c r="B52" s="19">
        <v>204</v>
      </c>
      <c r="C52" s="22">
        <v>96</v>
      </c>
      <c r="D52" s="19">
        <v>200.4</v>
      </c>
      <c r="E52" s="22">
        <f t="shared" si="0"/>
        <v>145</v>
      </c>
      <c r="F52" s="19">
        <v>199.9</v>
      </c>
      <c r="G52" s="33">
        <v>194</v>
      </c>
      <c r="H52" s="19">
        <v>196.2</v>
      </c>
      <c r="I52" s="21"/>
      <c r="J52" s="36"/>
      <c r="L52" s="22">
        <v>47</v>
      </c>
      <c r="M52" s="19">
        <v>204</v>
      </c>
      <c r="N52" s="22">
        <v>96</v>
      </c>
      <c r="O52" s="19"/>
      <c r="P52" s="22">
        <f t="shared" si="1"/>
        <v>145</v>
      </c>
      <c r="Q52" s="19">
        <v>199.9</v>
      </c>
      <c r="R52" s="33">
        <v>194</v>
      </c>
      <c r="S52" s="19"/>
      <c r="T52" s="21"/>
      <c r="U52" s="36"/>
      <c r="W52" s="22">
        <v>47</v>
      </c>
      <c r="X52" s="19"/>
      <c r="Y52" s="22">
        <v>96</v>
      </c>
      <c r="Z52" s="19">
        <v>200.4</v>
      </c>
      <c r="AA52" s="22">
        <f t="shared" si="2"/>
        <v>145</v>
      </c>
      <c r="AB52" s="19"/>
      <c r="AC52" s="33">
        <v>194</v>
      </c>
      <c r="AD52" s="19">
        <v>196.2</v>
      </c>
      <c r="AE52" s="21"/>
      <c r="AF52" s="36"/>
    </row>
    <row r="53" spans="1:32" ht="15.75" x14ac:dyDescent="0.25">
      <c r="A53" s="22">
        <v>48</v>
      </c>
      <c r="B53" s="19">
        <v>194.3</v>
      </c>
      <c r="C53" s="22">
        <v>97</v>
      </c>
      <c r="D53" s="19">
        <v>200.1</v>
      </c>
      <c r="E53" s="22">
        <f t="shared" si="0"/>
        <v>146</v>
      </c>
      <c r="F53" s="19">
        <v>199.9</v>
      </c>
      <c r="G53" s="33">
        <v>195</v>
      </c>
      <c r="H53" s="19">
        <v>200.6</v>
      </c>
      <c r="I53" s="20"/>
      <c r="J53" s="36"/>
      <c r="L53" s="22">
        <v>48</v>
      </c>
      <c r="M53" s="19">
        <v>194.3</v>
      </c>
      <c r="N53" s="22">
        <v>97</v>
      </c>
      <c r="O53" s="19"/>
      <c r="P53" s="22">
        <f t="shared" si="1"/>
        <v>146</v>
      </c>
      <c r="Q53" s="19"/>
      <c r="R53" s="33">
        <v>195</v>
      </c>
      <c r="S53" s="19"/>
      <c r="T53" s="20"/>
      <c r="U53" s="36"/>
      <c r="W53" s="22">
        <v>48</v>
      </c>
      <c r="X53" s="19"/>
      <c r="Y53" s="22">
        <v>97</v>
      </c>
      <c r="Z53" s="19">
        <v>200.1</v>
      </c>
      <c r="AA53" s="22">
        <f t="shared" si="2"/>
        <v>146</v>
      </c>
      <c r="AB53" s="19">
        <v>199.9</v>
      </c>
      <c r="AC53" s="33">
        <v>195</v>
      </c>
      <c r="AD53" s="19">
        <v>200.6</v>
      </c>
      <c r="AE53" s="20"/>
      <c r="AF53" s="36"/>
    </row>
    <row r="54" spans="1:32" ht="15.75" x14ac:dyDescent="0.25">
      <c r="A54" s="37">
        <v>49</v>
      </c>
      <c r="B54" s="19">
        <v>204.3</v>
      </c>
      <c r="C54" s="37">
        <v>98</v>
      </c>
      <c r="D54" s="19">
        <v>199.9</v>
      </c>
      <c r="E54" s="22">
        <f t="shared" si="0"/>
        <v>147</v>
      </c>
      <c r="F54" s="19">
        <v>201.5</v>
      </c>
      <c r="G54" s="38">
        <v>196</v>
      </c>
      <c r="H54" s="19">
        <v>197.4</v>
      </c>
      <c r="I54" s="39"/>
      <c r="J54" s="40"/>
      <c r="L54" s="37">
        <v>49</v>
      </c>
      <c r="M54" s="19">
        <v>204.3</v>
      </c>
      <c r="N54" s="37">
        <v>98</v>
      </c>
      <c r="O54" s="19"/>
      <c r="P54" s="22">
        <f t="shared" si="1"/>
        <v>147</v>
      </c>
      <c r="Q54" s="19"/>
      <c r="R54" s="38">
        <v>196</v>
      </c>
      <c r="S54" s="19"/>
      <c r="T54" s="39"/>
      <c r="U54" s="40"/>
      <c r="W54" s="37">
        <v>49</v>
      </c>
      <c r="X54" s="19"/>
      <c r="Y54" s="37">
        <v>98</v>
      </c>
      <c r="Z54" s="19">
        <v>199.9</v>
      </c>
      <c r="AA54" s="22">
        <f t="shared" si="2"/>
        <v>147</v>
      </c>
      <c r="AB54" s="19">
        <v>201.5</v>
      </c>
      <c r="AC54" s="38">
        <v>196</v>
      </c>
      <c r="AD54" s="19">
        <v>197.4</v>
      </c>
      <c r="AE54" s="39"/>
      <c r="AF54" s="40"/>
    </row>
    <row r="55" spans="1:32" ht="15.75" x14ac:dyDescent="0.25">
      <c r="A55" s="41"/>
      <c r="B55" s="23">
        <f>SUM(B6:B54)</f>
        <v>9764.6</v>
      </c>
      <c r="C55" s="23"/>
      <c r="D55" s="23">
        <f>SUM(D6:D54)</f>
        <v>9684.6999999999971</v>
      </c>
      <c r="E55" s="23"/>
      <c r="F55" s="23">
        <f>SUM(F6:F54)</f>
        <v>9872.9999999999982</v>
      </c>
      <c r="G55" s="23"/>
      <c r="H55" s="23">
        <f>SUM(H6:H54)</f>
        <v>9840.5000000000018</v>
      </c>
      <c r="I55" s="41"/>
      <c r="J55" s="41">
        <f>SUM(J6:J54)</f>
        <v>4817.2000000000007</v>
      </c>
      <c r="L55" s="41"/>
      <c r="M55" s="23">
        <f>SUM(M6:M54)</f>
        <v>9764.6</v>
      </c>
      <c r="N55" s="23"/>
      <c r="O55" s="23">
        <f>SUM(O6:O54)</f>
        <v>5952.9999999999991</v>
      </c>
      <c r="P55" s="23"/>
      <c r="Q55" s="23">
        <f>SUM(Q6:Q54)</f>
        <v>2034</v>
      </c>
      <c r="R55" s="23"/>
      <c r="S55" s="23">
        <f>SUM(S6:S54)</f>
        <v>0</v>
      </c>
      <c r="T55" s="41"/>
      <c r="U55" s="41">
        <f>SUM(U6:U54)</f>
        <v>0</v>
      </c>
      <c r="W55" s="41"/>
      <c r="X55" s="23">
        <f>SUM(X6:X54)</f>
        <v>0</v>
      </c>
      <c r="Y55" s="23"/>
      <c r="Z55" s="23">
        <f>SUM(Z6:Z54)</f>
        <v>3731.7000000000007</v>
      </c>
      <c r="AA55" s="23"/>
      <c r="AB55" s="23">
        <f>SUM(AB6:AB54)</f>
        <v>7839</v>
      </c>
      <c r="AC55" s="23"/>
      <c r="AD55" s="23">
        <f>SUM(AD6:AD54)</f>
        <v>9840.5000000000018</v>
      </c>
      <c r="AE55" s="41"/>
      <c r="AF55" s="41">
        <f>SUM(AF6:AF54)</f>
        <v>4817.2000000000007</v>
      </c>
    </row>
    <row r="56" spans="1:32" ht="15.75" x14ac:dyDescent="0.25">
      <c r="A56" s="42" t="s">
        <v>5</v>
      </c>
      <c r="B56" s="43">
        <f>COUNT(B6:B54,D6:D54,F6:F54,H6:H54,J6:J54)</f>
        <v>220</v>
      </c>
      <c r="C56" s="13" t="s">
        <v>6</v>
      </c>
      <c r="D56" s="44"/>
      <c r="E56" s="45">
        <f>B55+D55+F55+H55+J55</f>
        <v>43980</v>
      </c>
      <c r="F56" s="24" t="s">
        <v>7</v>
      </c>
      <c r="G56" s="1">
        <f>B56*2.2</f>
        <v>484.00000000000006</v>
      </c>
      <c r="H56" s="13" t="s">
        <v>8</v>
      </c>
      <c r="I56" s="44"/>
      <c r="J56" s="45">
        <f>E56-G56</f>
        <v>43496</v>
      </c>
      <c r="L56" s="42" t="s">
        <v>5</v>
      </c>
      <c r="M56" s="43">
        <f>COUNT(M6:M54,O6:O54,Q6:Q54,S6:S54,U6:U54)</f>
        <v>89</v>
      </c>
      <c r="N56" s="13" t="s">
        <v>6</v>
      </c>
      <c r="O56" s="44"/>
      <c r="P56" s="45">
        <f>M55+O55+Q55+S55+U55</f>
        <v>17751.599999999999</v>
      </c>
      <c r="Q56" s="24" t="s">
        <v>7</v>
      </c>
      <c r="R56" s="1">
        <f>M56*2.2</f>
        <v>195.8</v>
      </c>
      <c r="S56" s="13" t="s">
        <v>8</v>
      </c>
      <c r="T56" s="44"/>
      <c r="U56" s="45">
        <f>P56-R56</f>
        <v>17555.8</v>
      </c>
      <c r="W56" s="42" t="s">
        <v>5</v>
      </c>
      <c r="X56" s="43">
        <f>COUNT(X6:X54,Z6:Z54,AB6:AB54,AD6:AD54,AF6:AF54)</f>
        <v>131</v>
      </c>
      <c r="Y56" s="13" t="s">
        <v>6</v>
      </c>
      <c r="Z56" s="44"/>
      <c r="AA56" s="45">
        <f>X55+Z55+AB55+AD55+AF55</f>
        <v>26228.400000000005</v>
      </c>
      <c r="AB56" s="24" t="s">
        <v>7</v>
      </c>
      <c r="AC56" s="1">
        <f>X56*2.2</f>
        <v>288.20000000000005</v>
      </c>
      <c r="AD56" s="13" t="s">
        <v>8</v>
      </c>
      <c r="AE56" s="44"/>
      <c r="AF56" s="45">
        <f>AA56-AC56</f>
        <v>25940.200000000004</v>
      </c>
    </row>
    <row r="57" spans="1:32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  <c r="L57" s="42" t="s">
        <v>9</v>
      </c>
      <c r="M57" s="25"/>
      <c r="N57" s="46"/>
      <c r="O57" s="44"/>
      <c r="P57" s="47"/>
      <c r="Q57" s="25"/>
      <c r="R57" s="48"/>
      <c r="S57" s="46"/>
      <c r="T57" s="44"/>
      <c r="U57" s="49"/>
      <c r="W57" s="42" t="s">
        <v>9</v>
      </c>
      <c r="X57" s="25"/>
      <c r="Y57" s="46"/>
      <c r="Z57" s="44"/>
      <c r="AA57" s="47"/>
      <c r="AB57" s="25"/>
      <c r="AC57" s="48"/>
      <c r="AD57" s="46"/>
      <c r="AE57" s="44"/>
      <c r="AF57" s="49"/>
    </row>
    <row r="59" spans="1:32" x14ac:dyDescent="0.25">
      <c r="F59" s="112" t="s">
        <v>61</v>
      </c>
      <c r="G59" s="112">
        <v>2.2000000000000002</v>
      </c>
      <c r="N59" s="80"/>
      <c r="Q59" s="112" t="s">
        <v>61</v>
      </c>
      <c r="R59" s="112">
        <v>2.2000000000000002</v>
      </c>
      <c r="AB59" s="112" t="s">
        <v>61</v>
      </c>
      <c r="AC59" s="112">
        <v>2.2000000000000002</v>
      </c>
    </row>
    <row r="60" spans="1:32" x14ac:dyDescent="0.25">
      <c r="B60">
        <f>M56+X56</f>
        <v>220</v>
      </c>
      <c r="E60" s="80">
        <f>P56+AA56</f>
        <v>43980</v>
      </c>
      <c r="J60" s="80">
        <f>U56+AF56</f>
        <v>43496</v>
      </c>
    </row>
    <row r="62" spans="1:32" x14ac:dyDescent="0.25">
      <c r="Q62" s="80"/>
    </row>
  </sheetData>
  <protectedRanges>
    <protectedRange password="CCE1" sqref="C6:C54 G6:G54 E6:E54 I6:I29 N6:N54 R6:R54 P6:P54 T6:T29 Y6:Y54 AC6:AC54 AA6:AA54 AE6:AE29" name="Диапазон1_3_1_7_2_1_1_1_1_1_1_1"/>
  </protectedRanges>
  <mergeCells count="6">
    <mergeCell ref="A1:J1"/>
    <mergeCell ref="I4:J4"/>
    <mergeCell ref="L1:U1"/>
    <mergeCell ref="T4:U4"/>
    <mergeCell ref="W1:AF1"/>
    <mergeCell ref="AE4:AF4"/>
  </mergeCells>
  <pageMargins left="0.7" right="0.7" top="0.75" bottom="0.75" header="0.3" footer="0.3"/>
  <pageSetup paperSize="9" scale="82" orientation="portrait" verticalDpi="0" r:id="rId1"/>
  <rowBreaks count="1" manualBreakCount="1">
    <brk id="58" max="16383" man="1"/>
  </rowBreaks>
  <colBreaks count="2" manualBreakCount="2">
    <brk id="10" max="57" man="1"/>
    <brk id="21" max="57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1"/>
  <sheetViews>
    <sheetView topLeftCell="A31" zoomScale="90" zoomScaleNormal="90" workbookViewId="0">
      <selection activeCell="J33" sqref="J33"/>
    </sheetView>
  </sheetViews>
  <sheetFormatPr defaultRowHeight="15" x14ac:dyDescent="0.25"/>
  <cols>
    <col min="11" max="11" width="2.5703125" customWidth="1"/>
    <col min="22" max="22" width="2.42578125" customWidth="1"/>
  </cols>
  <sheetData>
    <row r="1" spans="1:32" ht="18.75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L1" s="204" t="s">
        <v>0</v>
      </c>
      <c r="M1" s="204"/>
      <c r="N1" s="204"/>
      <c r="O1" s="204"/>
      <c r="P1" s="204"/>
      <c r="Q1" s="204"/>
      <c r="R1" s="204"/>
      <c r="S1" s="204"/>
      <c r="T1" s="204"/>
      <c r="U1" s="204"/>
      <c r="W1" s="204" t="s">
        <v>0</v>
      </c>
      <c r="X1" s="204"/>
      <c r="Y1" s="204"/>
      <c r="Z1" s="204"/>
      <c r="AA1" s="204"/>
      <c r="AB1" s="204"/>
      <c r="AC1" s="204"/>
      <c r="AD1" s="204"/>
      <c r="AE1" s="204"/>
      <c r="AF1" s="204"/>
    </row>
    <row r="2" spans="1:32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  <c r="L2" s="13" t="s">
        <v>1</v>
      </c>
      <c r="M2" s="13"/>
      <c r="N2" s="13"/>
      <c r="O2" s="13"/>
      <c r="P2" s="13"/>
      <c r="Q2" s="13"/>
      <c r="R2" s="27"/>
      <c r="S2" s="13"/>
      <c r="T2" s="13"/>
      <c r="U2" s="13"/>
      <c r="W2" s="13" t="s">
        <v>1</v>
      </c>
      <c r="X2" s="13"/>
      <c r="Y2" s="13"/>
      <c r="Z2" s="13"/>
      <c r="AA2" s="13"/>
      <c r="AB2" s="13"/>
      <c r="AC2" s="27"/>
      <c r="AD2" s="13"/>
      <c r="AE2" s="13"/>
      <c r="AF2" s="13"/>
    </row>
    <row r="3" spans="1:32" ht="15.75" x14ac:dyDescent="0.25">
      <c r="A3" s="25" t="s">
        <v>2</v>
      </c>
      <c r="B3" s="27">
        <v>211</v>
      </c>
      <c r="C3" s="14"/>
      <c r="D3" s="15"/>
      <c r="E3" s="16"/>
      <c r="F3" s="16"/>
      <c r="G3" s="16"/>
      <c r="H3" s="16"/>
      <c r="I3" s="16" t="s">
        <v>33</v>
      </c>
      <c r="J3" s="16"/>
      <c r="L3" s="25" t="s">
        <v>2</v>
      </c>
      <c r="M3" s="27">
        <v>211</v>
      </c>
      <c r="N3" s="14"/>
      <c r="O3" s="15"/>
      <c r="P3" s="16"/>
      <c r="Q3" s="16"/>
      <c r="R3" s="16"/>
      <c r="S3" s="16"/>
      <c r="T3" s="16" t="s">
        <v>33</v>
      </c>
      <c r="U3" s="16"/>
      <c r="W3" s="25" t="s">
        <v>2</v>
      </c>
      <c r="X3" s="27">
        <v>211</v>
      </c>
      <c r="Y3" s="14"/>
      <c r="Z3" s="15"/>
      <c r="AA3" s="16"/>
      <c r="AB3" s="16"/>
      <c r="AC3" s="16"/>
      <c r="AD3" s="16"/>
      <c r="AE3" s="16" t="s">
        <v>33</v>
      </c>
      <c r="AF3" s="16"/>
    </row>
    <row r="4" spans="1:32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  <c r="L4" s="17"/>
      <c r="M4" s="17"/>
      <c r="N4" s="17"/>
      <c r="O4" s="17"/>
      <c r="P4" s="17"/>
      <c r="Q4" s="17"/>
      <c r="R4" s="17"/>
      <c r="S4" s="28"/>
      <c r="T4" s="205" t="s">
        <v>48</v>
      </c>
      <c r="U4" s="206"/>
      <c r="W4" s="17"/>
      <c r="X4" s="17"/>
      <c r="Y4" s="17"/>
      <c r="Z4" s="17"/>
      <c r="AA4" s="17"/>
      <c r="AB4" s="17"/>
      <c r="AC4" s="17"/>
      <c r="AD4" s="28"/>
      <c r="AE4" s="205" t="s">
        <v>50</v>
      </c>
      <c r="AF4" s="206"/>
    </row>
    <row r="5" spans="1:32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  <c r="L5" s="29" t="s">
        <v>3</v>
      </c>
      <c r="M5" s="18" t="s">
        <v>4</v>
      </c>
      <c r="N5" s="29" t="s">
        <v>3</v>
      </c>
      <c r="O5" s="18" t="s">
        <v>4</v>
      </c>
      <c r="P5" s="29" t="s">
        <v>3</v>
      </c>
      <c r="Q5" s="18" t="s">
        <v>4</v>
      </c>
      <c r="R5" s="29" t="s">
        <v>3</v>
      </c>
      <c r="S5" s="30" t="s">
        <v>4</v>
      </c>
      <c r="T5" s="31" t="s">
        <v>3</v>
      </c>
      <c r="U5" s="32" t="s">
        <v>4</v>
      </c>
      <c r="W5" s="29" t="s">
        <v>3</v>
      </c>
      <c r="X5" s="18" t="s">
        <v>4</v>
      </c>
      <c r="Y5" s="29" t="s">
        <v>3</v>
      </c>
      <c r="Z5" s="18" t="s">
        <v>4</v>
      </c>
      <c r="AA5" s="29" t="s">
        <v>3</v>
      </c>
      <c r="AB5" s="18" t="s">
        <v>4</v>
      </c>
      <c r="AC5" s="29" t="s">
        <v>3</v>
      </c>
      <c r="AD5" s="30" t="s">
        <v>4</v>
      </c>
      <c r="AE5" s="31" t="s">
        <v>3</v>
      </c>
      <c r="AF5" s="32" t="s">
        <v>4</v>
      </c>
    </row>
    <row r="6" spans="1:32" ht="15.75" x14ac:dyDescent="0.25">
      <c r="A6" s="22">
        <v>1</v>
      </c>
      <c r="B6" s="19">
        <v>197.3</v>
      </c>
      <c r="C6" s="22">
        <v>50</v>
      </c>
      <c r="D6" s="19">
        <v>200.5</v>
      </c>
      <c r="E6" s="22">
        <v>99</v>
      </c>
      <c r="F6" s="19">
        <v>200.4</v>
      </c>
      <c r="G6" s="33">
        <v>148</v>
      </c>
      <c r="H6" s="19">
        <v>202.5</v>
      </c>
      <c r="I6" s="34">
        <v>197</v>
      </c>
      <c r="J6" s="19">
        <v>198</v>
      </c>
      <c r="L6" s="22">
        <v>1</v>
      </c>
      <c r="M6" s="19">
        <v>197.3</v>
      </c>
      <c r="N6" s="22">
        <v>50</v>
      </c>
      <c r="O6" s="19">
        <v>200.5</v>
      </c>
      <c r="P6" s="22">
        <v>99</v>
      </c>
      <c r="Q6" s="19">
        <v>200.4</v>
      </c>
      <c r="R6" s="33">
        <v>148</v>
      </c>
      <c r="S6" s="19">
        <v>202.5</v>
      </c>
      <c r="T6" s="34">
        <v>197</v>
      </c>
      <c r="U6" s="19"/>
      <c r="W6" s="22">
        <v>1</v>
      </c>
      <c r="X6" s="19"/>
      <c r="Y6" s="22">
        <v>50</v>
      </c>
      <c r="Z6" s="19"/>
      <c r="AA6" s="22">
        <v>99</v>
      </c>
      <c r="AB6" s="19"/>
      <c r="AC6" s="33">
        <v>148</v>
      </c>
      <c r="AD6" s="19"/>
      <c r="AE6" s="34">
        <v>197</v>
      </c>
      <c r="AF6" s="19">
        <v>198</v>
      </c>
    </row>
    <row r="7" spans="1:32" ht="15.75" x14ac:dyDescent="0.25">
      <c r="A7" s="22">
        <v>2</v>
      </c>
      <c r="B7" s="19">
        <v>208.3</v>
      </c>
      <c r="C7" s="22">
        <v>51</v>
      </c>
      <c r="D7" s="19">
        <v>199</v>
      </c>
      <c r="E7" s="22">
        <v>100</v>
      </c>
      <c r="F7" s="19">
        <v>204.1</v>
      </c>
      <c r="G7" s="33">
        <v>149</v>
      </c>
      <c r="H7" s="19">
        <v>197.3</v>
      </c>
      <c r="I7" s="33">
        <v>198</v>
      </c>
      <c r="J7" s="19">
        <v>203.1</v>
      </c>
      <c r="L7" s="22">
        <v>2</v>
      </c>
      <c r="M7" s="19">
        <v>208.3</v>
      </c>
      <c r="N7" s="22">
        <v>51</v>
      </c>
      <c r="O7" s="19">
        <v>199</v>
      </c>
      <c r="P7" s="22">
        <v>100</v>
      </c>
      <c r="Q7" s="19">
        <v>204.1</v>
      </c>
      <c r="R7" s="33">
        <v>149</v>
      </c>
      <c r="S7" s="19">
        <v>197.3</v>
      </c>
      <c r="T7" s="33">
        <v>198</v>
      </c>
      <c r="U7" s="19"/>
      <c r="W7" s="22">
        <v>2</v>
      </c>
      <c r="X7" s="19"/>
      <c r="Y7" s="22">
        <v>51</v>
      </c>
      <c r="Z7" s="19"/>
      <c r="AA7" s="22">
        <v>100</v>
      </c>
      <c r="AB7" s="19"/>
      <c r="AC7" s="33">
        <v>149</v>
      </c>
      <c r="AD7" s="19"/>
      <c r="AE7" s="33">
        <v>198</v>
      </c>
      <c r="AF7" s="19">
        <v>203.1</v>
      </c>
    </row>
    <row r="8" spans="1:32" ht="15.75" x14ac:dyDescent="0.25">
      <c r="A8" s="22">
        <v>3</v>
      </c>
      <c r="B8" s="19">
        <v>202.9</v>
      </c>
      <c r="C8" s="22">
        <v>52</v>
      </c>
      <c r="D8" s="19">
        <v>199.7</v>
      </c>
      <c r="E8" s="22">
        <f t="shared" ref="E8:E54" si="0">+E7+1</f>
        <v>101</v>
      </c>
      <c r="F8" s="19">
        <v>201.6</v>
      </c>
      <c r="G8" s="33">
        <v>150</v>
      </c>
      <c r="H8" s="19">
        <v>197.1</v>
      </c>
      <c r="I8" s="33">
        <v>199</v>
      </c>
      <c r="J8" s="19">
        <v>195.4</v>
      </c>
      <c r="L8" s="22">
        <v>3</v>
      </c>
      <c r="M8" s="19">
        <v>202.9</v>
      </c>
      <c r="N8" s="22">
        <v>52</v>
      </c>
      <c r="O8" s="19">
        <v>199.7</v>
      </c>
      <c r="P8" s="22">
        <f t="shared" ref="P8:P54" si="1">+P7+1</f>
        <v>101</v>
      </c>
      <c r="Q8" s="19">
        <v>201.6</v>
      </c>
      <c r="R8" s="33">
        <v>150</v>
      </c>
      <c r="S8" s="19">
        <v>197.1</v>
      </c>
      <c r="T8" s="33">
        <v>199</v>
      </c>
      <c r="U8" s="19"/>
      <c r="W8" s="22">
        <v>3</v>
      </c>
      <c r="X8" s="19"/>
      <c r="Y8" s="22">
        <v>52</v>
      </c>
      <c r="Z8" s="19"/>
      <c r="AA8" s="22">
        <f t="shared" ref="AA8:AA54" si="2">+AA7+1</f>
        <v>101</v>
      </c>
      <c r="AB8" s="19"/>
      <c r="AC8" s="33">
        <v>150</v>
      </c>
      <c r="AD8" s="19"/>
      <c r="AE8" s="33">
        <v>199</v>
      </c>
      <c r="AF8" s="19">
        <v>195.4</v>
      </c>
    </row>
    <row r="9" spans="1:32" ht="15.75" x14ac:dyDescent="0.25">
      <c r="A9" s="22">
        <v>4</v>
      </c>
      <c r="B9" s="19">
        <v>198.6</v>
      </c>
      <c r="C9" s="22">
        <v>53</v>
      </c>
      <c r="D9" s="19">
        <v>201.3</v>
      </c>
      <c r="E9" s="22">
        <f t="shared" si="0"/>
        <v>102</v>
      </c>
      <c r="F9" s="19">
        <v>200.2</v>
      </c>
      <c r="G9" s="33">
        <v>151</v>
      </c>
      <c r="H9" s="19">
        <v>204.8</v>
      </c>
      <c r="I9" s="33">
        <v>200</v>
      </c>
      <c r="J9" s="19">
        <v>199.9</v>
      </c>
      <c r="L9" s="22">
        <v>4</v>
      </c>
      <c r="M9" s="19">
        <v>198.6</v>
      </c>
      <c r="N9" s="22">
        <v>53</v>
      </c>
      <c r="O9" s="19">
        <v>201.3</v>
      </c>
      <c r="P9" s="22">
        <f t="shared" si="1"/>
        <v>102</v>
      </c>
      <c r="Q9" s="19">
        <v>200.2</v>
      </c>
      <c r="R9" s="33">
        <v>151</v>
      </c>
      <c r="S9" s="19">
        <v>204.8</v>
      </c>
      <c r="T9" s="33">
        <v>200</v>
      </c>
      <c r="U9" s="19"/>
      <c r="W9" s="22">
        <v>4</v>
      </c>
      <c r="X9" s="19"/>
      <c r="Y9" s="22">
        <v>53</v>
      </c>
      <c r="Z9" s="19"/>
      <c r="AA9" s="22">
        <f t="shared" si="2"/>
        <v>102</v>
      </c>
      <c r="AB9" s="19"/>
      <c r="AC9" s="33">
        <v>151</v>
      </c>
      <c r="AD9" s="19"/>
      <c r="AE9" s="33">
        <v>200</v>
      </c>
      <c r="AF9" s="19">
        <v>199.9</v>
      </c>
    </row>
    <row r="10" spans="1:32" ht="15.75" x14ac:dyDescent="0.25">
      <c r="A10" s="22">
        <v>5</v>
      </c>
      <c r="B10" s="19">
        <v>205.5</v>
      </c>
      <c r="C10" s="22">
        <v>54</v>
      </c>
      <c r="D10" s="19">
        <v>194.5</v>
      </c>
      <c r="E10" s="22">
        <f t="shared" si="0"/>
        <v>103</v>
      </c>
      <c r="F10" s="19">
        <v>196.7</v>
      </c>
      <c r="G10" s="33">
        <v>152</v>
      </c>
      <c r="H10" s="19">
        <v>199.6</v>
      </c>
      <c r="I10" s="33">
        <v>201</v>
      </c>
      <c r="J10" s="19">
        <v>199.3</v>
      </c>
      <c r="L10" s="22">
        <v>5</v>
      </c>
      <c r="M10" s="19">
        <v>205.5</v>
      </c>
      <c r="N10" s="22">
        <v>54</v>
      </c>
      <c r="O10" s="19">
        <v>194.5</v>
      </c>
      <c r="P10" s="22">
        <f t="shared" si="1"/>
        <v>103</v>
      </c>
      <c r="Q10" s="19">
        <v>196.7</v>
      </c>
      <c r="R10" s="33">
        <v>152</v>
      </c>
      <c r="S10" s="19">
        <v>199.6</v>
      </c>
      <c r="T10" s="33">
        <v>201</v>
      </c>
      <c r="U10" s="19"/>
      <c r="W10" s="22">
        <v>5</v>
      </c>
      <c r="X10" s="19"/>
      <c r="Y10" s="22">
        <v>54</v>
      </c>
      <c r="Z10" s="19"/>
      <c r="AA10" s="22">
        <f t="shared" si="2"/>
        <v>103</v>
      </c>
      <c r="AB10" s="19"/>
      <c r="AC10" s="33">
        <v>152</v>
      </c>
      <c r="AD10" s="19"/>
      <c r="AE10" s="33">
        <v>201</v>
      </c>
      <c r="AF10" s="19">
        <v>199.3</v>
      </c>
    </row>
    <row r="11" spans="1:32" ht="15.75" x14ac:dyDescent="0.25">
      <c r="A11" s="22">
        <v>6</v>
      </c>
      <c r="B11" s="19">
        <v>197.2</v>
      </c>
      <c r="C11" s="22">
        <v>55</v>
      </c>
      <c r="D11" s="19">
        <v>197.1</v>
      </c>
      <c r="E11" s="22">
        <f t="shared" si="0"/>
        <v>104</v>
      </c>
      <c r="F11" s="19">
        <v>202.8</v>
      </c>
      <c r="G11" s="33">
        <v>153</v>
      </c>
      <c r="H11" s="19">
        <v>196.4</v>
      </c>
      <c r="I11" s="33">
        <v>202</v>
      </c>
      <c r="J11" s="19">
        <v>209.1</v>
      </c>
      <c r="L11" s="22">
        <v>6</v>
      </c>
      <c r="M11" s="19">
        <v>197.2</v>
      </c>
      <c r="N11" s="22">
        <v>55</v>
      </c>
      <c r="O11" s="19">
        <v>197.1</v>
      </c>
      <c r="P11" s="22">
        <f t="shared" si="1"/>
        <v>104</v>
      </c>
      <c r="Q11" s="19">
        <v>202.8</v>
      </c>
      <c r="R11" s="33">
        <v>153</v>
      </c>
      <c r="S11" s="19">
        <v>196.4</v>
      </c>
      <c r="T11" s="33">
        <v>202</v>
      </c>
      <c r="U11" s="19"/>
      <c r="W11" s="22">
        <v>6</v>
      </c>
      <c r="X11" s="19"/>
      <c r="Y11" s="22">
        <v>55</v>
      </c>
      <c r="Z11" s="19"/>
      <c r="AA11" s="22">
        <f t="shared" si="2"/>
        <v>104</v>
      </c>
      <c r="AB11" s="19"/>
      <c r="AC11" s="33">
        <v>153</v>
      </c>
      <c r="AD11" s="19"/>
      <c r="AE11" s="33">
        <v>202</v>
      </c>
      <c r="AF11" s="19">
        <v>209.1</v>
      </c>
    </row>
    <row r="12" spans="1:32" ht="15.75" x14ac:dyDescent="0.25">
      <c r="A12" s="22">
        <v>7</v>
      </c>
      <c r="B12" s="19">
        <v>204.6</v>
      </c>
      <c r="C12" s="22">
        <v>56</v>
      </c>
      <c r="D12" s="19">
        <v>195.4</v>
      </c>
      <c r="E12" s="22">
        <f t="shared" si="0"/>
        <v>105</v>
      </c>
      <c r="F12" s="19">
        <v>196.9</v>
      </c>
      <c r="G12" s="33">
        <v>154</v>
      </c>
      <c r="H12" s="19">
        <v>208.5</v>
      </c>
      <c r="I12" s="33">
        <v>203</v>
      </c>
      <c r="J12" s="19">
        <v>199.9</v>
      </c>
      <c r="L12" s="22">
        <v>7</v>
      </c>
      <c r="M12" s="19">
        <v>204.6</v>
      </c>
      <c r="N12" s="22">
        <v>56</v>
      </c>
      <c r="O12" s="19">
        <v>195.4</v>
      </c>
      <c r="P12" s="22">
        <f t="shared" si="1"/>
        <v>105</v>
      </c>
      <c r="Q12" s="19">
        <v>196.9</v>
      </c>
      <c r="R12" s="33">
        <v>154</v>
      </c>
      <c r="S12" s="19">
        <v>208.5</v>
      </c>
      <c r="T12" s="33">
        <v>203</v>
      </c>
      <c r="U12" s="19"/>
      <c r="W12" s="22">
        <v>7</v>
      </c>
      <c r="X12" s="19"/>
      <c r="Y12" s="22">
        <v>56</v>
      </c>
      <c r="Z12" s="19"/>
      <c r="AA12" s="22">
        <f t="shared" si="2"/>
        <v>105</v>
      </c>
      <c r="AB12" s="19"/>
      <c r="AC12" s="33">
        <v>154</v>
      </c>
      <c r="AD12" s="19"/>
      <c r="AE12" s="33">
        <v>203</v>
      </c>
      <c r="AF12" s="19">
        <v>199.9</v>
      </c>
    </row>
    <row r="13" spans="1:32" ht="15.75" x14ac:dyDescent="0.25">
      <c r="A13" s="22">
        <v>8</v>
      </c>
      <c r="B13" s="19">
        <v>195</v>
      </c>
      <c r="C13" s="22">
        <v>57</v>
      </c>
      <c r="D13" s="19">
        <v>200.6</v>
      </c>
      <c r="E13" s="22">
        <f t="shared" si="0"/>
        <v>106</v>
      </c>
      <c r="F13" s="19">
        <v>202.2</v>
      </c>
      <c r="G13" s="33">
        <v>155</v>
      </c>
      <c r="H13" s="19">
        <v>201.6</v>
      </c>
      <c r="I13" s="33">
        <v>204</v>
      </c>
      <c r="J13" s="19">
        <v>209.3</v>
      </c>
      <c r="L13" s="22">
        <v>8</v>
      </c>
      <c r="M13" s="19">
        <v>195</v>
      </c>
      <c r="N13" s="22">
        <v>57</v>
      </c>
      <c r="O13" s="19">
        <v>200.6</v>
      </c>
      <c r="P13" s="22">
        <f t="shared" si="1"/>
        <v>106</v>
      </c>
      <c r="Q13" s="19">
        <v>202.2</v>
      </c>
      <c r="R13" s="33">
        <v>155</v>
      </c>
      <c r="S13" s="19">
        <v>201.6</v>
      </c>
      <c r="T13" s="33">
        <v>204</v>
      </c>
      <c r="U13" s="19"/>
      <c r="W13" s="22">
        <v>8</v>
      </c>
      <c r="X13" s="19"/>
      <c r="Y13" s="22">
        <v>57</v>
      </c>
      <c r="Z13" s="19"/>
      <c r="AA13" s="22">
        <f t="shared" si="2"/>
        <v>106</v>
      </c>
      <c r="AB13" s="19"/>
      <c r="AC13" s="33">
        <v>155</v>
      </c>
      <c r="AD13" s="19"/>
      <c r="AE13" s="33">
        <v>204</v>
      </c>
      <c r="AF13" s="19">
        <v>209.3</v>
      </c>
    </row>
    <row r="14" spans="1:32" ht="15.75" x14ac:dyDescent="0.25">
      <c r="A14" s="22">
        <v>9</v>
      </c>
      <c r="B14" s="19">
        <v>199.8</v>
      </c>
      <c r="C14" s="22">
        <v>58</v>
      </c>
      <c r="D14" s="19">
        <v>210.4</v>
      </c>
      <c r="E14" s="22">
        <f t="shared" si="0"/>
        <v>107</v>
      </c>
      <c r="F14" s="19">
        <v>199.3</v>
      </c>
      <c r="G14" s="33">
        <v>156</v>
      </c>
      <c r="H14" s="19">
        <v>208</v>
      </c>
      <c r="I14" s="33">
        <v>205</v>
      </c>
      <c r="J14" s="19">
        <v>197.8</v>
      </c>
      <c r="L14" s="22">
        <v>9</v>
      </c>
      <c r="M14" s="19">
        <v>199.8</v>
      </c>
      <c r="N14" s="22">
        <v>58</v>
      </c>
      <c r="O14" s="19">
        <v>210.4</v>
      </c>
      <c r="P14" s="22">
        <f t="shared" si="1"/>
        <v>107</v>
      </c>
      <c r="Q14" s="19">
        <v>199.3</v>
      </c>
      <c r="R14" s="33">
        <v>156</v>
      </c>
      <c r="S14" s="19">
        <v>208</v>
      </c>
      <c r="T14" s="33">
        <v>205</v>
      </c>
      <c r="U14" s="19"/>
      <c r="W14" s="22">
        <v>9</v>
      </c>
      <c r="X14" s="19"/>
      <c r="Y14" s="22">
        <v>58</v>
      </c>
      <c r="Z14" s="19"/>
      <c r="AA14" s="22">
        <f t="shared" si="2"/>
        <v>107</v>
      </c>
      <c r="AB14" s="19"/>
      <c r="AC14" s="33">
        <v>156</v>
      </c>
      <c r="AD14" s="19"/>
      <c r="AE14" s="33">
        <v>205</v>
      </c>
      <c r="AF14" s="19">
        <v>197.8</v>
      </c>
    </row>
    <row r="15" spans="1:32" ht="15.75" x14ac:dyDescent="0.25">
      <c r="A15" s="22">
        <v>10</v>
      </c>
      <c r="B15" s="19">
        <v>201.1</v>
      </c>
      <c r="C15" s="22">
        <v>59</v>
      </c>
      <c r="D15" s="19">
        <v>199.3</v>
      </c>
      <c r="E15" s="22">
        <f t="shared" si="0"/>
        <v>108</v>
      </c>
      <c r="F15" s="19">
        <v>202.7</v>
      </c>
      <c r="G15" s="33">
        <v>157</v>
      </c>
      <c r="H15" s="19">
        <v>200.6</v>
      </c>
      <c r="I15" s="33">
        <v>206</v>
      </c>
      <c r="J15" s="19">
        <v>212.1</v>
      </c>
      <c r="L15" s="22">
        <v>10</v>
      </c>
      <c r="M15" s="19">
        <v>201.1</v>
      </c>
      <c r="N15" s="22">
        <v>59</v>
      </c>
      <c r="O15" s="19">
        <v>199.3</v>
      </c>
      <c r="P15" s="22">
        <f t="shared" si="1"/>
        <v>108</v>
      </c>
      <c r="Q15" s="19">
        <v>202.7</v>
      </c>
      <c r="R15" s="33">
        <v>157</v>
      </c>
      <c r="S15" s="19">
        <v>200.6</v>
      </c>
      <c r="T15" s="33">
        <v>206</v>
      </c>
      <c r="U15" s="19"/>
      <c r="W15" s="22">
        <v>10</v>
      </c>
      <c r="X15" s="19"/>
      <c r="Y15" s="22">
        <v>59</v>
      </c>
      <c r="Z15" s="19"/>
      <c r="AA15" s="22">
        <f t="shared" si="2"/>
        <v>108</v>
      </c>
      <c r="AB15" s="19"/>
      <c r="AC15" s="33">
        <v>157</v>
      </c>
      <c r="AD15" s="19"/>
      <c r="AE15" s="33">
        <v>206</v>
      </c>
      <c r="AF15" s="19">
        <v>212.1</v>
      </c>
    </row>
    <row r="16" spans="1:32" ht="15.75" x14ac:dyDescent="0.25">
      <c r="A16" s="22">
        <v>11</v>
      </c>
      <c r="B16" s="19">
        <v>206.1</v>
      </c>
      <c r="C16" s="22">
        <v>60</v>
      </c>
      <c r="D16" s="19">
        <v>201.4</v>
      </c>
      <c r="E16" s="22">
        <f t="shared" si="0"/>
        <v>109</v>
      </c>
      <c r="F16" s="19">
        <v>210.4</v>
      </c>
      <c r="G16" s="33">
        <v>158</v>
      </c>
      <c r="H16" s="19">
        <v>212.7</v>
      </c>
      <c r="I16" s="33">
        <v>207</v>
      </c>
      <c r="J16" s="19">
        <v>199.4</v>
      </c>
      <c r="L16" s="22">
        <v>11</v>
      </c>
      <c r="M16" s="19">
        <v>206.1</v>
      </c>
      <c r="N16" s="22">
        <v>60</v>
      </c>
      <c r="O16" s="19">
        <v>201.4</v>
      </c>
      <c r="P16" s="22">
        <f t="shared" si="1"/>
        <v>109</v>
      </c>
      <c r="Q16" s="19">
        <v>210.4</v>
      </c>
      <c r="R16" s="33">
        <v>158</v>
      </c>
      <c r="S16" s="19">
        <v>212.7</v>
      </c>
      <c r="T16" s="33">
        <v>207</v>
      </c>
      <c r="U16" s="19"/>
      <c r="W16" s="22">
        <v>11</v>
      </c>
      <c r="X16" s="19"/>
      <c r="Y16" s="22">
        <v>60</v>
      </c>
      <c r="Z16" s="19"/>
      <c r="AA16" s="22">
        <f t="shared" si="2"/>
        <v>109</v>
      </c>
      <c r="AB16" s="19"/>
      <c r="AC16" s="33">
        <v>158</v>
      </c>
      <c r="AD16" s="19"/>
      <c r="AE16" s="33">
        <v>207</v>
      </c>
      <c r="AF16" s="19">
        <v>199.4</v>
      </c>
    </row>
    <row r="17" spans="1:32" ht="15.75" x14ac:dyDescent="0.25">
      <c r="A17" s="22">
        <v>12</v>
      </c>
      <c r="B17" s="19">
        <v>203.2</v>
      </c>
      <c r="C17" s="22">
        <v>61</v>
      </c>
      <c r="D17" s="19">
        <v>203.3</v>
      </c>
      <c r="E17" s="22">
        <f t="shared" si="0"/>
        <v>110</v>
      </c>
      <c r="F17" s="19">
        <v>199.9</v>
      </c>
      <c r="G17" s="33">
        <v>159</v>
      </c>
      <c r="H17" s="19">
        <v>199</v>
      </c>
      <c r="I17" s="33">
        <v>208</v>
      </c>
      <c r="J17" s="19">
        <v>203.9</v>
      </c>
      <c r="L17" s="22">
        <v>12</v>
      </c>
      <c r="M17" s="19">
        <v>203.2</v>
      </c>
      <c r="N17" s="22">
        <v>61</v>
      </c>
      <c r="O17" s="19">
        <v>203.3</v>
      </c>
      <c r="P17" s="22">
        <f t="shared" si="1"/>
        <v>110</v>
      </c>
      <c r="Q17" s="19">
        <v>199.9</v>
      </c>
      <c r="R17" s="33">
        <v>159</v>
      </c>
      <c r="S17" s="19">
        <v>199</v>
      </c>
      <c r="T17" s="33">
        <v>208</v>
      </c>
      <c r="U17" s="19"/>
      <c r="W17" s="22">
        <v>12</v>
      </c>
      <c r="X17" s="19"/>
      <c r="Y17" s="22">
        <v>61</v>
      </c>
      <c r="Z17" s="19"/>
      <c r="AA17" s="22">
        <f t="shared" si="2"/>
        <v>110</v>
      </c>
      <c r="AB17" s="19"/>
      <c r="AC17" s="33">
        <v>159</v>
      </c>
      <c r="AD17" s="19"/>
      <c r="AE17" s="33">
        <v>208</v>
      </c>
      <c r="AF17" s="19">
        <v>203.9</v>
      </c>
    </row>
    <row r="18" spans="1:32" ht="15.75" x14ac:dyDescent="0.25">
      <c r="A18" s="22">
        <v>13</v>
      </c>
      <c r="B18" s="19">
        <v>207</v>
      </c>
      <c r="C18" s="22">
        <v>62</v>
      </c>
      <c r="D18" s="19">
        <v>200.3</v>
      </c>
      <c r="E18" s="22">
        <f t="shared" si="0"/>
        <v>111</v>
      </c>
      <c r="F18" s="19">
        <v>201.4</v>
      </c>
      <c r="G18" s="33">
        <v>160</v>
      </c>
      <c r="H18" s="19">
        <v>212.7</v>
      </c>
      <c r="I18" s="33">
        <v>209</v>
      </c>
      <c r="J18" s="19">
        <v>215.4</v>
      </c>
      <c r="L18" s="22">
        <v>13</v>
      </c>
      <c r="M18" s="19">
        <v>207</v>
      </c>
      <c r="N18" s="22">
        <v>62</v>
      </c>
      <c r="O18" s="19">
        <v>200.3</v>
      </c>
      <c r="P18" s="22">
        <f t="shared" si="1"/>
        <v>111</v>
      </c>
      <c r="Q18" s="19">
        <v>201.4</v>
      </c>
      <c r="R18" s="33">
        <v>160</v>
      </c>
      <c r="S18" s="19">
        <v>212.7</v>
      </c>
      <c r="T18" s="33">
        <v>209</v>
      </c>
      <c r="U18" s="19"/>
      <c r="W18" s="22">
        <v>13</v>
      </c>
      <c r="X18" s="19"/>
      <c r="Y18" s="22">
        <v>62</v>
      </c>
      <c r="Z18" s="19"/>
      <c r="AA18" s="22">
        <f t="shared" si="2"/>
        <v>111</v>
      </c>
      <c r="AB18" s="19"/>
      <c r="AC18" s="33">
        <v>160</v>
      </c>
      <c r="AD18" s="19"/>
      <c r="AE18" s="33">
        <v>209</v>
      </c>
      <c r="AF18" s="19">
        <v>215.4</v>
      </c>
    </row>
    <row r="19" spans="1:32" ht="15.75" x14ac:dyDescent="0.25">
      <c r="A19" s="22">
        <v>14</v>
      </c>
      <c r="B19" s="19">
        <v>198.7</v>
      </c>
      <c r="C19" s="22">
        <v>63</v>
      </c>
      <c r="D19" s="19">
        <v>206.1</v>
      </c>
      <c r="E19" s="22">
        <f t="shared" si="0"/>
        <v>112</v>
      </c>
      <c r="F19" s="19">
        <v>200</v>
      </c>
      <c r="G19" s="33">
        <v>161</v>
      </c>
      <c r="H19" s="19">
        <v>197</v>
      </c>
      <c r="I19" s="33">
        <v>210</v>
      </c>
      <c r="J19" s="19">
        <v>207.5</v>
      </c>
      <c r="L19" s="22">
        <v>14</v>
      </c>
      <c r="M19" s="19">
        <v>198.7</v>
      </c>
      <c r="N19" s="22">
        <v>63</v>
      </c>
      <c r="O19" s="19">
        <v>206.1</v>
      </c>
      <c r="P19" s="22">
        <f t="shared" si="1"/>
        <v>112</v>
      </c>
      <c r="Q19" s="19">
        <v>200</v>
      </c>
      <c r="R19" s="33">
        <v>161</v>
      </c>
      <c r="S19" s="19">
        <v>197</v>
      </c>
      <c r="T19" s="33">
        <v>210</v>
      </c>
      <c r="U19" s="19"/>
      <c r="W19" s="22">
        <v>14</v>
      </c>
      <c r="X19" s="19"/>
      <c r="Y19" s="22">
        <v>63</v>
      </c>
      <c r="Z19" s="19"/>
      <c r="AA19" s="22">
        <f t="shared" si="2"/>
        <v>112</v>
      </c>
      <c r="AB19" s="19"/>
      <c r="AC19" s="33">
        <v>161</v>
      </c>
      <c r="AD19" s="19"/>
      <c r="AE19" s="33">
        <v>210</v>
      </c>
      <c r="AF19" s="19">
        <v>207.5</v>
      </c>
    </row>
    <row r="20" spans="1:32" ht="15.75" x14ac:dyDescent="0.25">
      <c r="A20" s="22">
        <v>15</v>
      </c>
      <c r="B20" s="19">
        <v>206.7</v>
      </c>
      <c r="C20" s="22">
        <v>64</v>
      </c>
      <c r="D20" s="19">
        <v>201.5</v>
      </c>
      <c r="E20" s="22">
        <f t="shared" si="0"/>
        <v>113</v>
      </c>
      <c r="F20" s="19">
        <v>207.6</v>
      </c>
      <c r="G20" s="35">
        <v>162</v>
      </c>
      <c r="H20" s="19">
        <v>211.6</v>
      </c>
      <c r="I20" s="33">
        <v>211</v>
      </c>
      <c r="J20" s="19">
        <v>207.6</v>
      </c>
      <c r="L20" s="22">
        <v>15</v>
      </c>
      <c r="M20" s="19">
        <v>206.7</v>
      </c>
      <c r="N20" s="22">
        <v>64</v>
      </c>
      <c r="O20" s="19">
        <v>201.5</v>
      </c>
      <c r="P20" s="22">
        <f t="shared" si="1"/>
        <v>113</v>
      </c>
      <c r="Q20" s="19">
        <v>207.6</v>
      </c>
      <c r="R20" s="35">
        <v>162</v>
      </c>
      <c r="S20" s="19">
        <v>211.6</v>
      </c>
      <c r="T20" s="33">
        <v>211</v>
      </c>
      <c r="U20" s="19"/>
      <c r="W20" s="22">
        <v>15</v>
      </c>
      <c r="X20" s="19"/>
      <c r="Y20" s="22">
        <v>64</v>
      </c>
      <c r="Z20" s="19"/>
      <c r="AA20" s="22">
        <f t="shared" si="2"/>
        <v>113</v>
      </c>
      <c r="AB20" s="19"/>
      <c r="AC20" s="35">
        <v>162</v>
      </c>
      <c r="AD20" s="19"/>
      <c r="AE20" s="33">
        <v>211</v>
      </c>
      <c r="AF20" s="19">
        <v>207.6</v>
      </c>
    </row>
    <row r="21" spans="1:32" ht="15.75" x14ac:dyDescent="0.25">
      <c r="A21" s="22">
        <v>16</v>
      </c>
      <c r="B21" s="19">
        <v>198.2</v>
      </c>
      <c r="C21" s="22">
        <v>65</v>
      </c>
      <c r="D21" s="19">
        <v>207.4</v>
      </c>
      <c r="E21" s="22">
        <f t="shared" si="0"/>
        <v>114</v>
      </c>
      <c r="F21" s="19">
        <v>197.5</v>
      </c>
      <c r="G21" s="35">
        <v>163</v>
      </c>
      <c r="H21" s="19">
        <v>204.6</v>
      </c>
      <c r="I21" s="33">
        <v>212</v>
      </c>
      <c r="J21" s="19">
        <v>203.7</v>
      </c>
      <c r="L21" s="22">
        <v>16</v>
      </c>
      <c r="M21" s="19">
        <v>198.2</v>
      </c>
      <c r="N21" s="22">
        <v>65</v>
      </c>
      <c r="O21" s="19">
        <v>207.4</v>
      </c>
      <c r="P21" s="22">
        <f t="shared" si="1"/>
        <v>114</v>
      </c>
      <c r="Q21" s="19">
        <v>197.5</v>
      </c>
      <c r="R21" s="35">
        <v>163</v>
      </c>
      <c r="S21" s="19">
        <v>204.6</v>
      </c>
      <c r="T21" s="33">
        <v>212</v>
      </c>
      <c r="U21" s="19"/>
      <c r="W21" s="22">
        <v>16</v>
      </c>
      <c r="X21" s="19"/>
      <c r="Y21" s="22">
        <v>65</v>
      </c>
      <c r="Z21" s="19"/>
      <c r="AA21" s="22">
        <f t="shared" si="2"/>
        <v>114</v>
      </c>
      <c r="AB21" s="19"/>
      <c r="AC21" s="35">
        <v>163</v>
      </c>
      <c r="AD21" s="19"/>
      <c r="AE21" s="33">
        <v>212</v>
      </c>
      <c r="AF21" s="19">
        <v>203.7</v>
      </c>
    </row>
    <row r="22" spans="1:32" ht="15.75" x14ac:dyDescent="0.25">
      <c r="A22" s="22">
        <v>17</v>
      </c>
      <c r="B22" s="19">
        <v>205.1</v>
      </c>
      <c r="C22" s="22">
        <v>66</v>
      </c>
      <c r="D22" s="19">
        <v>206.2</v>
      </c>
      <c r="E22" s="22">
        <f t="shared" si="0"/>
        <v>115</v>
      </c>
      <c r="F22" s="19">
        <v>205</v>
      </c>
      <c r="G22" s="35">
        <v>164</v>
      </c>
      <c r="H22" s="19">
        <v>197.2</v>
      </c>
      <c r="I22" s="33">
        <v>213</v>
      </c>
      <c r="J22" s="19">
        <v>203.9</v>
      </c>
      <c r="L22" s="22">
        <v>17</v>
      </c>
      <c r="M22" s="19">
        <v>205.1</v>
      </c>
      <c r="N22" s="22">
        <v>66</v>
      </c>
      <c r="O22" s="19">
        <v>206.2</v>
      </c>
      <c r="P22" s="22">
        <f t="shared" si="1"/>
        <v>115</v>
      </c>
      <c r="Q22" s="19">
        <v>205</v>
      </c>
      <c r="R22" s="35">
        <v>164</v>
      </c>
      <c r="S22" s="19">
        <v>197.2</v>
      </c>
      <c r="T22" s="33">
        <v>213</v>
      </c>
      <c r="U22" s="19"/>
      <c r="W22" s="22">
        <v>17</v>
      </c>
      <c r="X22" s="19"/>
      <c r="Y22" s="22">
        <v>66</v>
      </c>
      <c r="Z22" s="19"/>
      <c r="AA22" s="22">
        <f t="shared" si="2"/>
        <v>115</v>
      </c>
      <c r="AB22" s="19"/>
      <c r="AC22" s="35">
        <v>164</v>
      </c>
      <c r="AD22" s="19"/>
      <c r="AE22" s="33">
        <v>213</v>
      </c>
      <c r="AF22" s="19">
        <v>203.9</v>
      </c>
    </row>
    <row r="23" spans="1:32" ht="15.75" x14ac:dyDescent="0.25">
      <c r="A23" s="22">
        <v>18</v>
      </c>
      <c r="B23" s="19">
        <v>201.3</v>
      </c>
      <c r="C23" s="22">
        <v>67</v>
      </c>
      <c r="D23" s="19">
        <v>193.3</v>
      </c>
      <c r="E23" s="22">
        <f t="shared" si="0"/>
        <v>116</v>
      </c>
      <c r="F23" s="19">
        <v>202.8</v>
      </c>
      <c r="G23" s="35">
        <v>165</v>
      </c>
      <c r="H23" s="19">
        <v>210.8</v>
      </c>
      <c r="I23" s="33">
        <v>214</v>
      </c>
      <c r="J23" s="19">
        <v>204.9</v>
      </c>
      <c r="L23" s="22">
        <v>18</v>
      </c>
      <c r="M23" s="19">
        <v>201.3</v>
      </c>
      <c r="N23" s="22">
        <v>67</v>
      </c>
      <c r="O23" s="19">
        <v>193.3</v>
      </c>
      <c r="P23" s="22">
        <f t="shared" si="1"/>
        <v>116</v>
      </c>
      <c r="Q23" s="19">
        <v>202.8</v>
      </c>
      <c r="R23" s="35">
        <v>165</v>
      </c>
      <c r="S23" s="19">
        <v>210.8</v>
      </c>
      <c r="T23" s="33">
        <v>214</v>
      </c>
      <c r="U23" s="19"/>
      <c r="W23" s="22">
        <v>18</v>
      </c>
      <c r="X23" s="19"/>
      <c r="Y23" s="22">
        <v>67</v>
      </c>
      <c r="Z23" s="19"/>
      <c r="AA23" s="22">
        <f t="shared" si="2"/>
        <v>116</v>
      </c>
      <c r="AB23" s="19"/>
      <c r="AC23" s="35">
        <v>165</v>
      </c>
      <c r="AD23" s="19"/>
      <c r="AE23" s="33">
        <v>214</v>
      </c>
      <c r="AF23" s="19">
        <v>204.9</v>
      </c>
    </row>
    <row r="24" spans="1:32" ht="15.75" x14ac:dyDescent="0.25">
      <c r="A24" s="22">
        <v>19</v>
      </c>
      <c r="B24" s="19">
        <v>205.4</v>
      </c>
      <c r="C24" s="22">
        <v>68</v>
      </c>
      <c r="D24" s="19">
        <v>206.8</v>
      </c>
      <c r="E24" s="22">
        <f t="shared" si="0"/>
        <v>117</v>
      </c>
      <c r="F24" s="19">
        <v>198</v>
      </c>
      <c r="G24" s="35">
        <v>166</v>
      </c>
      <c r="H24" s="19">
        <v>197.8</v>
      </c>
      <c r="I24" s="33">
        <v>215</v>
      </c>
      <c r="J24" s="19">
        <v>197</v>
      </c>
      <c r="L24" s="22">
        <v>19</v>
      </c>
      <c r="M24" s="19">
        <v>205.4</v>
      </c>
      <c r="N24" s="22">
        <v>68</v>
      </c>
      <c r="O24" s="19">
        <v>206.8</v>
      </c>
      <c r="P24" s="22">
        <f t="shared" si="1"/>
        <v>117</v>
      </c>
      <c r="Q24" s="19">
        <v>198</v>
      </c>
      <c r="R24" s="35">
        <v>166</v>
      </c>
      <c r="S24" s="19">
        <v>197.8</v>
      </c>
      <c r="T24" s="33">
        <v>215</v>
      </c>
      <c r="U24" s="19"/>
      <c r="W24" s="22">
        <v>19</v>
      </c>
      <c r="X24" s="19"/>
      <c r="Y24" s="22">
        <v>68</v>
      </c>
      <c r="Z24" s="19"/>
      <c r="AA24" s="22">
        <f t="shared" si="2"/>
        <v>117</v>
      </c>
      <c r="AB24" s="19"/>
      <c r="AC24" s="35">
        <v>166</v>
      </c>
      <c r="AD24" s="19"/>
      <c r="AE24" s="33">
        <v>215</v>
      </c>
      <c r="AF24" s="19">
        <v>197</v>
      </c>
    </row>
    <row r="25" spans="1:32" ht="15.75" x14ac:dyDescent="0.25">
      <c r="A25" s="22">
        <v>20</v>
      </c>
      <c r="B25" s="19">
        <v>200.8</v>
      </c>
      <c r="C25" s="22">
        <v>69</v>
      </c>
      <c r="D25" s="19">
        <v>196.9</v>
      </c>
      <c r="E25" s="22">
        <f t="shared" si="0"/>
        <v>118</v>
      </c>
      <c r="F25" s="19">
        <v>208.2</v>
      </c>
      <c r="G25" s="35">
        <v>167</v>
      </c>
      <c r="H25" s="19">
        <v>209.8</v>
      </c>
      <c r="I25" s="33">
        <v>216</v>
      </c>
      <c r="J25" s="19">
        <v>199.7</v>
      </c>
      <c r="L25" s="22">
        <v>20</v>
      </c>
      <c r="M25" s="19">
        <v>200.8</v>
      </c>
      <c r="N25" s="22">
        <v>69</v>
      </c>
      <c r="O25" s="19">
        <v>196.9</v>
      </c>
      <c r="P25" s="22">
        <f t="shared" si="1"/>
        <v>118</v>
      </c>
      <c r="Q25" s="19">
        <v>208.2</v>
      </c>
      <c r="R25" s="35">
        <v>167</v>
      </c>
      <c r="S25" s="19">
        <v>209.8</v>
      </c>
      <c r="T25" s="33">
        <v>216</v>
      </c>
      <c r="U25" s="19"/>
      <c r="W25" s="22">
        <v>20</v>
      </c>
      <c r="X25" s="19"/>
      <c r="Y25" s="22">
        <v>69</v>
      </c>
      <c r="Z25" s="19"/>
      <c r="AA25" s="22">
        <f t="shared" si="2"/>
        <v>118</v>
      </c>
      <c r="AB25" s="19"/>
      <c r="AC25" s="35">
        <v>167</v>
      </c>
      <c r="AD25" s="19"/>
      <c r="AE25" s="33">
        <v>216</v>
      </c>
      <c r="AF25" s="19">
        <v>199.7</v>
      </c>
    </row>
    <row r="26" spans="1:32" ht="15.75" x14ac:dyDescent="0.25">
      <c r="A26" s="22">
        <v>21</v>
      </c>
      <c r="B26" s="19">
        <v>209</v>
      </c>
      <c r="C26" s="22">
        <v>70</v>
      </c>
      <c r="D26" s="19">
        <v>196</v>
      </c>
      <c r="E26" s="22">
        <f t="shared" si="0"/>
        <v>119</v>
      </c>
      <c r="F26" s="19">
        <v>198.7</v>
      </c>
      <c r="G26" s="35">
        <v>168</v>
      </c>
      <c r="H26" s="19">
        <v>220.4</v>
      </c>
      <c r="I26" s="33">
        <v>217</v>
      </c>
      <c r="J26" s="19">
        <v>196.8</v>
      </c>
      <c r="L26" s="22">
        <v>21</v>
      </c>
      <c r="M26" s="19">
        <v>209</v>
      </c>
      <c r="N26" s="22">
        <v>70</v>
      </c>
      <c r="O26" s="19">
        <v>196</v>
      </c>
      <c r="P26" s="22">
        <f t="shared" si="1"/>
        <v>119</v>
      </c>
      <c r="Q26" s="19">
        <v>198.7</v>
      </c>
      <c r="R26" s="35">
        <v>168</v>
      </c>
      <c r="S26" s="19">
        <v>220.4</v>
      </c>
      <c r="T26" s="33">
        <v>217</v>
      </c>
      <c r="U26" s="19"/>
      <c r="W26" s="22">
        <v>21</v>
      </c>
      <c r="X26" s="19"/>
      <c r="Y26" s="22">
        <v>70</v>
      </c>
      <c r="Z26" s="19"/>
      <c r="AA26" s="22">
        <f t="shared" si="2"/>
        <v>119</v>
      </c>
      <c r="AB26" s="19"/>
      <c r="AC26" s="35">
        <v>168</v>
      </c>
      <c r="AD26" s="19"/>
      <c r="AE26" s="33">
        <v>217</v>
      </c>
      <c r="AF26" s="19">
        <v>196.8</v>
      </c>
    </row>
    <row r="27" spans="1:32" ht="15.75" x14ac:dyDescent="0.25">
      <c r="A27" s="22">
        <v>22</v>
      </c>
      <c r="B27" s="19">
        <v>209.4</v>
      </c>
      <c r="C27" s="22">
        <v>71</v>
      </c>
      <c r="D27" s="19">
        <v>196.7</v>
      </c>
      <c r="E27" s="22">
        <f t="shared" si="0"/>
        <v>120</v>
      </c>
      <c r="F27" s="19">
        <v>207.1</v>
      </c>
      <c r="G27" s="35">
        <v>169</v>
      </c>
      <c r="H27" s="19">
        <v>207.4</v>
      </c>
      <c r="I27" s="33">
        <v>218</v>
      </c>
      <c r="J27" s="19">
        <v>199.8</v>
      </c>
      <c r="L27" s="22">
        <v>22</v>
      </c>
      <c r="M27" s="19">
        <v>209.4</v>
      </c>
      <c r="N27" s="22">
        <v>71</v>
      </c>
      <c r="O27" s="19">
        <v>196.7</v>
      </c>
      <c r="P27" s="22">
        <f t="shared" si="1"/>
        <v>120</v>
      </c>
      <c r="Q27" s="19">
        <v>207.1</v>
      </c>
      <c r="R27" s="35">
        <v>169</v>
      </c>
      <c r="S27" s="19">
        <v>207.4</v>
      </c>
      <c r="T27" s="33">
        <v>218</v>
      </c>
      <c r="U27" s="19"/>
      <c r="W27" s="22">
        <v>22</v>
      </c>
      <c r="X27" s="19"/>
      <c r="Y27" s="22">
        <v>71</v>
      </c>
      <c r="Z27" s="19"/>
      <c r="AA27" s="22">
        <f t="shared" si="2"/>
        <v>120</v>
      </c>
      <c r="AB27" s="19"/>
      <c r="AC27" s="35">
        <v>169</v>
      </c>
      <c r="AD27" s="19"/>
      <c r="AE27" s="33">
        <v>218</v>
      </c>
      <c r="AF27" s="19">
        <v>199.8</v>
      </c>
    </row>
    <row r="28" spans="1:32" ht="15.75" x14ac:dyDescent="0.25">
      <c r="A28" s="22">
        <v>23</v>
      </c>
      <c r="B28" s="19">
        <v>196.1</v>
      </c>
      <c r="C28" s="22">
        <v>72</v>
      </c>
      <c r="D28" s="19">
        <v>194.5</v>
      </c>
      <c r="E28" s="22">
        <f t="shared" si="0"/>
        <v>121</v>
      </c>
      <c r="F28" s="19">
        <v>204.7</v>
      </c>
      <c r="G28" s="35">
        <v>170</v>
      </c>
      <c r="H28" s="19">
        <v>198.1</v>
      </c>
      <c r="I28" s="33">
        <v>219</v>
      </c>
      <c r="J28" s="19">
        <v>197</v>
      </c>
      <c r="L28" s="22">
        <v>23</v>
      </c>
      <c r="M28" s="19">
        <v>196.1</v>
      </c>
      <c r="N28" s="22">
        <v>72</v>
      </c>
      <c r="O28" s="19">
        <v>194.5</v>
      </c>
      <c r="P28" s="22">
        <f t="shared" si="1"/>
        <v>121</v>
      </c>
      <c r="Q28" s="19">
        <v>204.7</v>
      </c>
      <c r="R28" s="35">
        <v>170</v>
      </c>
      <c r="S28" s="19">
        <v>198.1</v>
      </c>
      <c r="T28" s="33">
        <v>219</v>
      </c>
      <c r="U28" s="19"/>
      <c r="W28" s="22">
        <v>23</v>
      </c>
      <c r="X28" s="19"/>
      <c r="Y28" s="22">
        <v>72</v>
      </c>
      <c r="Z28" s="19"/>
      <c r="AA28" s="22">
        <f t="shared" si="2"/>
        <v>121</v>
      </c>
      <c r="AB28" s="19"/>
      <c r="AC28" s="35">
        <v>170</v>
      </c>
      <c r="AD28" s="19"/>
      <c r="AE28" s="33">
        <v>219</v>
      </c>
      <c r="AF28" s="19">
        <v>197</v>
      </c>
    </row>
    <row r="29" spans="1:32" ht="15.75" x14ac:dyDescent="0.25">
      <c r="A29" s="22">
        <v>24</v>
      </c>
      <c r="B29" s="19">
        <v>203.3</v>
      </c>
      <c r="C29" s="22">
        <v>73</v>
      </c>
      <c r="D29" s="19">
        <v>201.9</v>
      </c>
      <c r="E29" s="22">
        <f t="shared" si="0"/>
        <v>122</v>
      </c>
      <c r="F29" s="19">
        <v>207.1</v>
      </c>
      <c r="G29" s="35">
        <v>171</v>
      </c>
      <c r="H29" s="19">
        <v>201</v>
      </c>
      <c r="I29" s="33">
        <v>220</v>
      </c>
      <c r="J29" s="19">
        <v>202.5</v>
      </c>
      <c r="L29" s="22">
        <v>24</v>
      </c>
      <c r="M29" s="19">
        <v>203.3</v>
      </c>
      <c r="N29" s="22">
        <v>73</v>
      </c>
      <c r="O29" s="19">
        <v>201.9</v>
      </c>
      <c r="P29" s="22">
        <f t="shared" si="1"/>
        <v>122</v>
      </c>
      <c r="Q29" s="19">
        <v>207.1</v>
      </c>
      <c r="R29" s="35">
        <v>171</v>
      </c>
      <c r="S29" s="19"/>
      <c r="T29" s="33">
        <v>220</v>
      </c>
      <c r="U29" s="19"/>
      <c r="W29" s="22">
        <v>24</v>
      </c>
      <c r="X29" s="19"/>
      <c r="Y29" s="22">
        <v>73</v>
      </c>
      <c r="Z29" s="19"/>
      <c r="AA29" s="22">
        <f t="shared" si="2"/>
        <v>122</v>
      </c>
      <c r="AB29" s="19"/>
      <c r="AC29" s="35">
        <v>171</v>
      </c>
      <c r="AD29" s="19">
        <v>201</v>
      </c>
      <c r="AE29" s="33">
        <v>220</v>
      </c>
      <c r="AF29" s="19">
        <v>202.5</v>
      </c>
    </row>
    <row r="30" spans="1:32" ht="15.75" x14ac:dyDescent="0.25">
      <c r="A30" s="22">
        <v>25</v>
      </c>
      <c r="B30" s="19">
        <v>201.5</v>
      </c>
      <c r="C30" s="22">
        <v>74</v>
      </c>
      <c r="D30" s="19">
        <v>201.5</v>
      </c>
      <c r="E30" s="22">
        <f t="shared" si="0"/>
        <v>123</v>
      </c>
      <c r="F30" s="19">
        <v>200</v>
      </c>
      <c r="G30" s="35">
        <v>172</v>
      </c>
      <c r="H30" s="19">
        <v>199.2</v>
      </c>
      <c r="I30" s="20"/>
      <c r="J30" s="36"/>
      <c r="L30" s="22">
        <v>25</v>
      </c>
      <c r="M30" s="19">
        <v>201.5</v>
      </c>
      <c r="N30" s="22">
        <v>74</v>
      </c>
      <c r="O30" s="19">
        <v>201.5</v>
      </c>
      <c r="P30" s="22">
        <f t="shared" si="1"/>
        <v>123</v>
      </c>
      <c r="Q30" s="19">
        <v>200</v>
      </c>
      <c r="R30" s="35">
        <v>172</v>
      </c>
      <c r="S30" s="19"/>
      <c r="T30" s="20"/>
      <c r="U30" s="36"/>
      <c r="W30" s="22">
        <v>25</v>
      </c>
      <c r="X30" s="19"/>
      <c r="Y30" s="22">
        <v>74</v>
      </c>
      <c r="Z30" s="19"/>
      <c r="AA30" s="22">
        <f t="shared" si="2"/>
        <v>123</v>
      </c>
      <c r="AB30" s="19"/>
      <c r="AC30" s="35">
        <v>172</v>
      </c>
      <c r="AD30" s="19">
        <v>199.2</v>
      </c>
      <c r="AE30" s="20"/>
      <c r="AF30" s="36"/>
    </row>
    <row r="31" spans="1:32" ht="15.75" x14ac:dyDescent="0.25">
      <c r="A31" s="22">
        <v>26</v>
      </c>
      <c r="B31" s="19">
        <v>211.3</v>
      </c>
      <c r="C31" s="22">
        <v>75</v>
      </c>
      <c r="D31" s="19">
        <v>200</v>
      </c>
      <c r="E31" s="22">
        <f t="shared" si="0"/>
        <v>124</v>
      </c>
      <c r="F31" s="19">
        <v>200.4</v>
      </c>
      <c r="G31" s="35">
        <v>173</v>
      </c>
      <c r="H31" s="19">
        <v>211</v>
      </c>
      <c r="I31" s="20"/>
      <c r="J31" s="36"/>
      <c r="L31" s="22">
        <v>26</v>
      </c>
      <c r="M31" s="19">
        <v>211.3</v>
      </c>
      <c r="N31" s="22">
        <v>75</v>
      </c>
      <c r="O31" s="19">
        <v>200</v>
      </c>
      <c r="P31" s="22">
        <f t="shared" si="1"/>
        <v>124</v>
      </c>
      <c r="Q31" s="19">
        <v>200.4</v>
      </c>
      <c r="R31" s="35">
        <v>173</v>
      </c>
      <c r="S31" s="19"/>
      <c r="T31" s="20"/>
      <c r="U31" s="36"/>
      <c r="W31" s="22">
        <v>26</v>
      </c>
      <c r="X31" s="19"/>
      <c r="Y31" s="22">
        <v>75</v>
      </c>
      <c r="Z31" s="19"/>
      <c r="AA31" s="22">
        <f t="shared" si="2"/>
        <v>124</v>
      </c>
      <c r="AB31" s="19"/>
      <c r="AC31" s="35">
        <v>173</v>
      </c>
      <c r="AD31" s="19">
        <v>211</v>
      </c>
      <c r="AE31" s="20"/>
      <c r="AF31" s="36"/>
    </row>
    <row r="32" spans="1:32" ht="15.75" x14ac:dyDescent="0.25">
      <c r="A32" s="22">
        <v>27</v>
      </c>
      <c r="B32" s="19">
        <v>197.3</v>
      </c>
      <c r="C32" s="22">
        <v>76</v>
      </c>
      <c r="D32" s="19">
        <v>198.8</v>
      </c>
      <c r="E32" s="22">
        <f t="shared" si="0"/>
        <v>125</v>
      </c>
      <c r="F32" s="19">
        <v>207.3</v>
      </c>
      <c r="G32" s="33">
        <v>174</v>
      </c>
      <c r="H32" s="19">
        <v>195.6</v>
      </c>
      <c r="I32" s="21"/>
      <c r="J32" s="36"/>
      <c r="L32" s="22">
        <v>27</v>
      </c>
      <c r="M32" s="19">
        <v>197.3</v>
      </c>
      <c r="N32" s="22">
        <v>76</v>
      </c>
      <c r="O32" s="19">
        <v>198.8</v>
      </c>
      <c r="P32" s="22">
        <f t="shared" si="1"/>
        <v>125</v>
      </c>
      <c r="Q32" s="19">
        <v>207.3</v>
      </c>
      <c r="R32" s="33">
        <v>174</v>
      </c>
      <c r="S32" s="19"/>
      <c r="T32" s="21"/>
      <c r="U32" s="36"/>
      <c r="W32" s="22">
        <v>27</v>
      </c>
      <c r="X32" s="19"/>
      <c r="Y32" s="22">
        <v>76</v>
      </c>
      <c r="Z32" s="19"/>
      <c r="AA32" s="22">
        <f t="shared" si="2"/>
        <v>125</v>
      </c>
      <c r="AB32" s="19"/>
      <c r="AC32" s="33">
        <v>174</v>
      </c>
      <c r="AD32" s="19">
        <v>195.6</v>
      </c>
      <c r="AE32" s="21"/>
      <c r="AF32" s="36"/>
    </row>
    <row r="33" spans="1:32" ht="15.75" x14ac:dyDescent="0.25">
      <c r="A33" s="22">
        <v>28</v>
      </c>
      <c r="B33" s="19">
        <v>213.4</v>
      </c>
      <c r="C33" s="22">
        <v>77</v>
      </c>
      <c r="D33" s="19">
        <v>200.9</v>
      </c>
      <c r="E33" s="22">
        <f t="shared" si="0"/>
        <v>126</v>
      </c>
      <c r="F33" s="19">
        <v>203.8</v>
      </c>
      <c r="G33" s="33">
        <v>175</v>
      </c>
      <c r="H33" s="19">
        <v>197.6</v>
      </c>
      <c r="I33" s="20"/>
      <c r="J33" s="36"/>
      <c r="L33" s="22">
        <v>28</v>
      </c>
      <c r="M33" s="19">
        <v>213.4</v>
      </c>
      <c r="N33" s="22">
        <v>77</v>
      </c>
      <c r="O33" s="19">
        <v>200.9</v>
      </c>
      <c r="P33" s="22">
        <f t="shared" si="1"/>
        <v>126</v>
      </c>
      <c r="Q33" s="19">
        <v>203.8</v>
      </c>
      <c r="R33" s="33">
        <v>175</v>
      </c>
      <c r="S33" s="19"/>
      <c r="T33" s="20"/>
      <c r="U33" s="36"/>
      <c r="W33" s="22">
        <v>28</v>
      </c>
      <c r="X33" s="19"/>
      <c r="Y33" s="22">
        <v>77</v>
      </c>
      <c r="Z33" s="19"/>
      <c r="AA33" s="22">
        <f t="shared" si="2"/>
        <v>126</v>
      </c>
      <c r="AB33" s="19"/>
      <c r="AC33" s="33">
        <v>175</v>
      </c>
      <c r="AD33" s="19">
        <v>197.6</v>
      </c>
      <c r="AE33" s="20"/>
      <c r="AF33" s="36"/>
    </row>
    <row r="34" spans="1:32" ht="15.75" x14ac:dyDescent="0.25">
      <c r="A34" s="22">
        <v>29</v>
      </c>
      <c r="B34" s="19">
        <v>200.3</v>
      </c>
      <c r="C34" s="22">
        <v>78</v>
      </c>
      <c r="D34" s="19">
        <v>199.1</v>
      </c>
      <c r="E34" s="22">
        <f t="shared" si="0"/>
        <v>127</v>
      </c>
      <c r="F34" s="19">
        <v>200.2</v>
      </c>
      <c r="G34" s="33">
        <v>176</v>
      </c>
      <c r="H34" s="19">
        <v>202.5</v>
      </c>
      <c r="I34" s="20"/>
      <c r="J34" s="36"/>
      <c r="L34" s="22">
        <v>29</v>
      </c>
      <c r="M34" s="19">
        <v>200.3</v>
      </c>
      <c r="N34" s="22">
        <v>78</v>
      </c>
      <c r="O34" s="19">
        <v>199.1</v>
      </c>
      <c r="P34" s="22">
        <f t="shared" si="1"/>
        <v>127</v>
      </c>
      <c r="Q34" s="19">
        <v>200.2</v>
      </c>
      <c r="R34" s="33">
        <v>176</v>
      </c>
      <c r="S34" s="19"/>
      <c r="T34" s="20"/>
      <c r="U34" s="36"/>
      <c r="W34" s="22">
        <v>29</v>
      </c>
      <c r="X34" s="19"/>
      <c r="Y34" s="22">
        <v>78</v>
      </c>
      <c r="Z34" s="19"/>
      <c r="AA34" s="22">
        <f t="shared" si="2"/>
        <v>127</v>
      </c>
      <c r="AB34" s="19"/>
      <c r="AC34" s="33">
        <v>176</v>
      </c>
      <c r="AD34" s="19">
        <v>202.5</v>
      </c>
      <c r="AE34" s="20"/>
      <c r="AF34" s="36"/>
    </row>
    <row r="35" spans="1:32" ht="15.75" x14ac:dyDescent="0.25">
      <c r="A35" s="22">
        <v>30</v>
      </c>
      <c r="B35" s="19">
        <v>207.8</v>
      </c>
      <c r="C35" s="22">
        <v>79</v>
      </c>
      <c r="D35" s="19">
        <v>200</v>
      </c>
      <c r="E35" s="22">
        <f t="shared" si="0"/>
        <v>128</v>
      </c>
      <c r="F35" s="19">
        <v>205.9</v>
      </c>
      <c r="G35" s="33">
        <v>177</v>
      </c>
      <c r="H35" s="19">
        <v>208.8</v>
      </c>
      <c r="I35" s="21"/>
      <c r="J35" s="36"/>
      <c r="L35" s="22">
        <v>30</v>
      </c>
      <c r="M35" s="19">
        <v>207.8</v>
      </c>
      <c r="N35" s="22">
        <v>79</v>
      </c>
      <c r="O35" s="19">
        <v>200</v>
      </c>
      <c r="P35" s="22">
        <f t="shared" si="1"/>
        <v>128</v>
      </c>
      <c r="Q35" s="19">
        <v>205.9</v>
      </c>
      <c r="R35" s="33">
        <v>177</v>
      </c>
      <c r="S35" s="19"/>
      <c r="T35" s="21"/>
      <c r="U35" s="36"/>
      <c r="W35" s="22">
        <v>30</v>
      </c>
      <c r="X35" s="19"/>
      <c r="Y35" s="22">
        <v>79</v>
      </c>
      <c r="Z35" s="19"/>
      <c r="AA35" s="22">
        <f t="shared" si="2"/>
        <v>128</v>
      </c>
      <c r="AB35" s="19"/>
      <c r="AC35" s="33">
        <v>177</v>
      </c>
      <c r="AD35" s="19">
        <v>208.8</v>
      </c>
      <c r="AE35" s="21"/>
      <c r="AF35" s="36"/>
    </row>
    <row r="36" spans="1:32" ht="15.75" x14ac:dyDescent="0.25">
      <c r="A36" s="22">
        <v>31</v>
      </c>
      <c r="B36" s="19">
        <v>200.9</v>
      </c>
      <c r="C36" s="22">
        <v>80</v>
      </c>
      <c r="D36" s="19">
        <v>196.9</v>
      </c>
      <c r="E36" s="22">
        <f t="shared" si="0"/>
        <v>129</v>
      </c>
      <c r="F36" s="19">
        <v>197.1</v>
      </c>
      <c r="G36" s="33">
        <v>178</v>
      </c>
      <c r="H36" s="19">
        <v>195.1</v>
      </c>
      <c r="I36" s="20"/>
      <c r="J36" s="36"/>
      <c r="L36" s="22">
        <v>31</v>
      </c>
      <c r="M36" s="19">
        <v>200.9</v>
      </c>
      <c r="N36" s="22">
        <v>80</v>
      </c>
      <c r="O36" s="19">
        <v>196.9</v>
      </c>
      <c r="P36" s="22">
        <f t="shared" si="1"/>
        <v>129</v>
      </c>
      <c r="Q36" s="19">
        <v>197.1</v>
      </c>
      <c r="R36" s="33">
        <v>178</v>
      </c>
      <c r="S36" s="19"/>
      <c r="T36" s="20"/>
      <c r="U36" s="36"/>
      <c r="W36" s="22">
        <v>31</v>
      </c>
      <c r="X36" s="19"/>
      <c r="Y36" s="22">
        <v>80</v>
      </c>
      <c r="Z36" s="19"/>
      <c r="AA36" s="22">
        <f t="shared" si="2"/>
        <v>129</v>
      </c>
      <c r="AB36" s="19"/>
      <c r="AC36" s="33">
        <v>178</v>
      </c>
      <c r="AD36" s="19">
        <v>195.1</v>
      </c>
      <c r="AE36" s="20"/>
      <c r="AF36" s="36"/>
    </row>
    <row r="37" spans="1:32" ht="15.75" x14ac:dyDescent="0.25">
      <c r="A37" s="22">
        <v>32</v>
      </c>
      <c r="B37" s="19">
        <v>201.9</v>
      </c>
      <c r="C37" s="22">
        <v>81</v>
      </c>
      <c r="D37" s="19">
        <v>202.6</v>
      </c>
      <c r="E37" s="22">
        <f t="shared" si="0"/>
        <v>130</v>
      </c>
      <c r="F37" s="19">
        <v>193.8</v>
      </c>
      <c r="G37" s="33">
        <v>179</v>
      </c>
      <c r="H37" s="19">
        <v>202.7</v>
      </c>
      <c r="I37" s="20"/>
      <c r="J37" s="36"/>
      <c r="L37" s="22">
        <v>32</v>
      </c>
      <c r="M37" s="19">
        <v>201.9</v>
      </c>
      <c r="N37" s="22">
        <v>81</v>
      </c>
      <c r="O37" s="19">
        <v>202.6</v>
      </c>
      <c r="P37" s="22">
        <f t="shared" si="1"/>
        <v>130</v>
      </c>
      <c r="Q37" s="19">
        <v>193.8</v>
      </c>
      <c r="R37" s="33">
        <v>179</v>
      </c>
      <c r="S37" s="19"/>
      <c r="T37" s="20"/>
      <c r="U37" s="36"/>
      <c r="W37" s="22">
        <v>32</v>
      </c>
      <c r="X37" s="19"/>
      <c r="Y37" s="22">
        <v>81</v>
      </c>
      <c r="Z37" s="19"/>
      <c r="AA37" s="22">
        <f t="shared" si="2"/>
        <v>130</v>
      </c>
      <c r="AB37" s="19"/>
      <c r="AC37" s="33">
        <v>179</v>
      </c>
      <c r="AD37" s="19">
        <v>202.7</v>
      </c>
      <c r="AE37" s="20"/>
      <c r="AF37" s="36"/>
    </row>
    <row r="38" spans="1:32" ht="15.75" x14ac:dyDescent="0.25">
      <c r="A38" s="22">
        <v>33</v>
      </c>
      <c r="B38" s="19">
        <v>196.1</v>
      </c>
      <c r="C38" s="22">
        <v>82</v>
      </c>
      <c r="D38" s="19">
        <v>206.7</v>
      </c>
      <c r="E38" s="22">
        <f t="shared" si="0"/>
        <v>131</v>
      </c>
      <c r="F38" s="19">
        <v>199</v>
      </c>
      <c r="G38" s="33">
        <v>180</v>
      </c>
      <c r="H38" s="19">
        <v>198.9</v>
      </c>
      <c r="I38" s="21"/>
      <c r="J38" s="36"/>
      <c r="L38" s="22">
        <v>33</v>
      </c>
      <c r="M38" s="19">
        <v>196.1</v>
      </c>
      <c r="N38" s="22">
        <v>82</v>
      </c>
      <c r="O38" s="19">
        <v>206.7</v>
      </c>
      <c r="P38" s="22">
        <f t="shared" si="1"/>
        <v>131</v>
      </c>
      <c r="Q38" s="19">
        <v>199</v>
      </c>
      <c r="R38" s="33">
        <v>180</v>
      </c>
      <c r="S38" s="19"/>
      <c r="T38" s="21"/>
      <c r="U38" s="36"/>
      <c r="W38" s="22">
        <v>33</v>
      </c>
      <c r="X38" s="19"/>
      <c r="Y38" s="22">
        <v>82</v>
      </c>
      <c r="Z38" s="19"/>
      <c r="AA38" s="22">
        <f t="shared" si="2"/>
        <v>131</v>
      </c>
      <c r="AB38" s="19"/>
      <c r="AC38" s="33">
        <v>180</v>
      </c>
      <c r="AD38" s="19">
        <v>198.9</v>
      </c>
      <c r="AE38" s="21"/>
      <c r="AF38" s="36"/>
    </row>
    <row r="39" spans="1:32" ht="15.75" x14ac:dyDescent="0.25">
      <c r="A39" s="22">
        <v>34</v>
      </c>
      <c r="B39" s="19">
        <v>196.6</v>
      </c>
      <c r="C39" s="22">
        <v>83</v>
      </c>
      <c r="D39" s="19">
        <v>194.7</v>
      </c>
      <c r="E39" s="22">
        <f t="shared" si="0"/>
        <v>132</v>
      </c>
      <c r="F39" s="19">
        <v>202.8</v>
      </c>
      <c r="G39" s="33">
        <v>181</v>
      </c>
      <c r="H39" s="19">
        <v>204.8</v>
      </c>
      <c r="I39" s="21"/>
      <c r="J39" s="36"/>
      <c r="L39" s="22">
        <v>34</v>
      </c>
      <c r="M39" s="19">
        <v>196.6</v>
      </c>
      <c r="N39" s="22">
        <v>83</v>
      </c>
      <c r="O39" s="19">
        <v>194.7</v>
      </c>
      <c r="P39" s="22">
        <f t="shared" si="1"/>
        <v>132</v>
      </c>
      <c r="Q39" s="19">
        <v>202.8</v>
      </c>
      <c r="R39" s="33">
        <v>181</v>
      </c>
      <c r="S39" s="19"/>
      <c r="T39" s="21"/>
      <c r="U39" s="36"/>
      <c r="W39" s="22">
        <v>34</v>
      </c>
      <c r="X39" s="19"/>
      <c r="Y39" s="22">
        <v>83</v>
      </c>
      <c r="Z39" s="19"/>
      <c r="AA39" s="22">
        <f t="shared" si="2"/>
        <v>132</v>
      </c>
      <c r="AB39" s="19"/>
      <c r="AC39" s="33">
        <v>181</v>
      </c>
      <c r="AD39" s="19">
        <v>204.8</v>
      </c>
      <c r="AE39" s="21"/>
      <c r="AF39" s="36"/>
    </row>
    <row r="40" spans="1:32" ht="15.75" x14ac:dyDescent="0.25">
      <c r="A40" s="22">
        <v>35</v>
      </c>
      <c r="B40" s="19">
        <v>196.5</v>
      </c>
      <c r="C40" s="22">
        <v>84</v>
      </c>
      <c r="D40" s="19">
        <v>204.1</v>
      </c>
      <c r="E40" s="22">
        <f t="shared" si="0"/>
        <v>133</v>
      </c>
      <c r="F40" s="19">
        <v>197</v>
      </c>
      <c r="G40" s="33">
        <v>182</v>
      </c>
      <c r="H40" s="19">
        <v>195.2</v>
      </c>
      <c r="I40" s="20"/>
      <c r="J40" s="36"/>
      <c r="L40" s="22">
        <v>35</v>
      </c>
      <c r="M40" s="19">
        <v>196.5</v>
      </c>
      <c r="N40" s="22">
        <v>84</v>
      </c>
      <c r="O40" s="19">
        <v>204.1</v>
      </c>
      <c r="P40" s="22">
        <f t="shared" si="1"/>
        <v>133</v>
      </c>
      <c r="Q40" s="19">
        <v>197</v>
      </c>
      <c r="R40" s="33">
        <v>182</v>
      </c>
      <c r="S40" s="19"/>
      <c r="T40" s="20"/>
      <c r="U40" s="36"/>
      <c r="W40" s="22">
        <v>35</v>
      </c>
      <c r="X40" s="19"/>
      <c r="Y40" s="22">
        <v>84</v>
      </c>
      <c r="Z40" s="19"/>
      <c r="AA40" s="22">
        <f t="shared" si="2"/>
        <v>133</v>
      </c>
      <c r="AB40" s="19"/>
      <c r="AC40" s="33">
        <v>182</v>
      </c>
      <c r="AD40" s="19">
        <v>195.2</v>
      </c>
      <c r="AE40" s="20"/>
      <c r="AF40" s="36"/>
    </row>
    <row r="41" spans="1:32" ht="15.75" x14ac:dyDescent="0.25">
      <c r="A41" s="22">
        <v>36</v>
      </c>
      <c r="B41" s="19">
        <v>198.2</v>
      </c>
      <c r="C41" s="22">
        <v>85</v>
      </c>
      <c r="D41" s="19">
        <v>195.1</v>
      </c>
      <c r="E41" s="22">
        <f t="shared" si="0"/>
        <v>134</v>
      </c>
      <c r="F41" s="19">
        <v>199.1</v>
      </c>
      <c r="G41" s="33">
        <v>183</v>
      </c>
      <c r="H41" s="19">
        <v>204.9</v>
      </c>
      <c r="I41" s="20"/>
      <c r="J41" s="36"/>
      <c r="L41" s="22">
        <v>36</v>
      </c>
      <c r="M41" s="19">
        <v>198.2</v>
      </c>
      <c r="N41" s="22">
        <v>85</v>
      </c>
      <c r="O41" s="19">
        <v>195.1</v>
      </c>
      <c r="P41" s="22">
        <f t="shared" si="1"/>
        <v>134</v>
      </c>
      <c r="Q41" s="19">
        <v>199.1</v>
      </c>
      <c r="R41" s="33">
        <v>183</v>
      </c>
      <c r="S41" s="19"/>
      <c r="T41" s="20"/>
      <c r="U41" s="36"/>
      <c r="W41" s="22">
        <v>36</v>
      </c>
      <c r="X41" s="19"/>
      <c r="Y41" s="22">
        <v>85</v>
      </c>
      <c r="Z41" s="19"/>
      <c r="AA41" s="22">
        <f t="shared" si="2"/>
        <v>134</v>
      </c>
      <c r="AB41" s="19"/>
      <c r="AC41" s="33">
        <v>183</v>
      </c>
      <c r="AD41" s="19">
        <v>204.9</v>
      </c>
      <c r="AE41" s="20"/>
      <c r="AF41" s="36"/>
    </row>
    <row r="42" spans="1:32" ht="15.75" x14ac:dyDescent="0.25">
      <c r="A42" s="22">
        <v>37</v>
      </c>
      <c r="B42" s="19">
        <v>197.3</v>
      </c>
      <c r="C42" s="22">
        <v>86</v>
      </c>
      <c r="D42" s="19">
        <v>198</v>
      </c>
      <c r="E42" s="22">
        <f t="shared" si="0"/>
        <v>135</v>
      </c>
      <c r="F42" s="19">
        <v>203.1</v>
      </c>
      <c r="G42" s="33">
        <v>184</v>
      </c>
      <c r="H42" s="19">
        <v>199.2</v>
      </c>
      <c r="I42" s="21"/>
      <c r="J42" s="36"/>
      <c r="L42" s="22">
        <v>37</v>
      </c>
      <c r="M42" s="19">
        <v>197.3</v>
      </c>
      <c r="N42" s="22">
        <v>86</v>
      </c>
      <c r="O42" s="19">
        <v>198</v>
      </c>
      <c r="P42" s="22">
        <f t="shared" si="1"/>
        <v>135</v>
      </c>
      <c r="Q42" s="19">
        <v>203.1</v>
      </c>
      <c r="R42" s="33">
        <v>184</v>
      </c>
      <c r="S42" s="19"/>
      <c r="T42" s="21"/>
      <c r="U42" s="36"/>
      <c r="W42" s="22">
        <v>37</v>
      </c>
      <c r="X42" s="19"/>
      <c r="Y42" s="22">
        <v>86</v>
      </c>
      <c r="Z42" s="19"/>
      <c r="AA42" s="22">
        <f t="shared" si="2"/>
        <v>135</v>
      </c>
      <c r="AB42" s="19"/>
      <c r="AC42" s="33">
        <v>184</v>
      </c>
      <c r="AD42" s="19">
        <v>199.2</v>
      </c>
      <c r="AE42" s="21"/>
      <c r="AF42" s="36"/>
    </row>
    <row r="43" spans="1:32" ht="15.75" x14ac:dyDescent="0.25">
      <c r="A43" s="22">
        <v>38</v>
      </c>
      <c r="B43" s="19">
        <v>199.8</v>
      </c>
      <c r="C43" s="22">
        <v>87</v>
      </c>
      <c r="D43" s="19">
        <v>200</v>
      </c>
      <c r="E43" s="22">
        <f t="shared" si="0"/>
        <v>136</v>
      </c>
      <c r="F43" s="19">
        <v>205.7</v>
      </c>
      <c r="G43" s="33">
        <v>185</v>
      </c>
      <c r="H43" s="19">
        <v>209.3</v>
      </c>
      <c r="I43" s="20"/>
      <c r="J43" s="36"/>
      <c r="L43" s="22">
        <v>38</v>
      </c>
      <c r="M43" s="19">
        <v>199.8</v>
      </c>
      <c r="N43" s="22">
        <v>87</v>
      </c>
      <c r="O43" s="19">
        <v>200</v>
      </c>
      <c r="P43" s="22">
        <f t="shared" si="1"/>
        <v>136</v>
      </c>
      <c r="Q43" s="19">
        <v>205.7</v>
      </c>
      <c r="R43" s="33">
        <v>185</v>
      </c>
      <c r="S43" s="19"/>
      <c r="T43" s="20"/>
      <c r="U43" s="36"/>
      <c r="W43" s="22">
        <v>38</v>
      </c>
      <c r="X43" s="19"/>
      <c r="Y43" s="22">
        <v>87</v>
      </c>
      <c r="Z43" s="19"/>
      <c r="AA43" s="22">
        <f t="shared" si="2"/>
        <v>136</v>
      </c>
      <c r="AB43" s="19"/>
      <c r="AC43" s="33">
        <v>185</v>
      </c>
      <c r="AD43" s="19">
        <v>209.3</v>
      </c>
      <c r="AE43" s="20"/>
      <c r="AF43" s="36"/>
    </row>
    <row r="44" spans="1:32" ht="15.75" x14ac:dyDescent="0.25">
      <c r="A44" s="22">
        <v>39</v>
      </c>
      <c r="B44" s="19">
        <v>196.6</v>
      </c>
      <c r="C44" s="22">
        <v>88</v>
      </c>
      <c r="D44" s="19">
        <v>207.2</v>
      </c>
      <c r="E44" s="22">
        <f t="shared" si="0"/>
        <v>137</v>
      </c>
      <c r="F44" s="19">
        <v>201.5</v>
      </c>
      <c r="G44" s="33">
        <v>186</v>
      </c>
      <c r="H44" s="19">
        <v>194.3</v>
      </c>
      <c r="I44" s="20"/>
      <c r="J44" s="36"/>
      <c r="L44" s="22">
        <v>39</v>
      </c>
      <c r="M44" s="19">
        <v>196.6</v>
      </c>
      <c r="N44" s="22">
        <v>88</v>
      </c>
      <c r="O44" s="19">
        <v>207.2</v>
      </c>
      <c r="P44" s="22">
        <f t="shared" si="1"/>
        <v>137</v>
      </c>
      <c r="Q44" s="19">
        <v>201.5</v>
      </c>
      <c r="R44" s="33">
        <v>186</v>
      </c>
      <c r="S44" s="19"/>
      <c r="T44" s="20"/>
      <c r="U44" s="36"/>
      <c r="W44" s="22">
        <v>39</v>
      </c>
      <c r="X44" s="19"/>
      <c r="Y44" s="22">
        <v>88</v>
      </c>
      <c r="Z44" s="19"/>
      <c r="AA44" s="22">
        <f t="shared" si="2"/>
        <v>137</v>
      </c>
      <c r="AB44" s="19"/>
      <c r="AC44" s="33">
        <v>186</v>
      </c>
      <c r="AD44" s="19">
        <v>194.3</v>
      </c>
      <c r="AE44" s="20"/>
      <c r="AF44" s="36"/>
    </row>
    <row r="45" spans="1:32" ht="15.75" x14ac:dyDescent="0.25">
      <c r="A45" s="22">
        <v>40</v>
      </c>
      <c r="B45" s="19">
        <v>196</v>
      </c>
      <c r="C45" s="22">
        <v>89</v>
      </c>
      <c r="D45" s="19">
        <v>206.1</v>
      </c>
      <c r="E45" s="22">
        <f t="shared" si="0"/>
        <v>138</v>
      </c>
      <c r="F45" s="19">
        <v>195.7</v>
      </c>
      <c r="G45" s="33">
        <v>187</v>
      </c>
      <c r="H45" s="19">
        <v>207.4</v>
      </c>
      <c r="I45" s="21"/>
      <c r="J45" s="36"/>
      <c r="L45" s="22">
        <v>40</v>
      </c>
      <c r="M45" s="19">
        <v>196</v>
      </c>
      <c r="N45" s="22">
        <v>89</v>
      </c>
      <c r="O45" s="19">
        <v>206.1</v>
      </c>
      <c r="P45" s="22">
        <f t="shared" si="1"/>
        <v>138</v>
      </c>
      <c r="Q45" s="19">
        <v>195.7</v>
      </c>
      <c r="R45" s="33">
        <v>187</v>
      </c>
      <c r="S45" s="19"/>
      <c r="T45" s="21"/>
      <c r="U45" s="36"/>
      <c r="W45" s="22">
        <v>40</v>
      </c>
      <c r="X45" s="19"/>
      <c r="Y45" s="22">
        <v>89</v>
      </c>
      <c r="Z45" s="19"/>
      <c r="AA45" s="22">
        <f t="shared" si="2"/>
        <v>138</v>
      </c>
      <c r="AB45" s="19"/>
      <c r="AC45" s="33">
        <v>187</v>
      </c>
      <c r="AD45" s="19">
        <v>207.4</v>
      </c>
      <c r="AE45" s="21"/>
      <c r="AF45" s="36"/>
    </row>
    <row r="46" spans="1:32" ht="15.75" x14ac:dyDescent="0.25">
      <c r="A46" s="22">
        <v>41</v>
      </c>
      <c r="B46" s="19">
        <v>192.7</v>
      </c>
      <c r="C46" s="22">
        <v>90</v>
      </c>
      <c r="D46" s="19">
        <v>198.7</v>
      </c>
      <c r="E46" s="22">
        <f t="shared" si="0"/>
        <v>139</v>
      </c>
      <c r="F46" s="19">
        <v>199.9</v>
      </c>
      <c r="G46" s="33">
        <v>188</v>
      </c>
      <c r="H46" s="19">
        <v>205.1</v>
      </c>
      <c r="I46" s="20"/>
      <c r="J46" s="36"/>
      <c r="L46" s="22">
        <v>41</v>
      </c>
      <c r="M46" s="19">
        <v>192.7</v>
      </c>
      <c r="N46" s="22">
        <v>90</v>
      </c>
      <c r="O46" s="19">
        <v>198.7</v>
      </c>
      <c r="P46" s="22">
        <f t="shared" si="1"/>
        <v>139</v>
      </c>
      <c r="Q46" s="19">
        <v>199.9</v>
      </c>
      <c r="R46" s="33">
        <v>188</v>
      </c>
      <c r="S46" s="19"/>
      <c r="T46" s="20"/>
      <c r="U46" s="36"/>
      <c r="W46" s="22">
        <v>41</v>
      </c>
      <c r="X46" s="19"/>
      <c r="Y46" s="22">
        <v>90</v>
      </c>
      <c r="Z46" s="19"/>
      <c r="AA46" s="22">
        <f t="shared" si="2"/>
        <v>139</v>
      </c>
      <c r="AB46" s="19"/>
      <c r="AC46" s="33">
        <v>188</v>
      </c>
      <c r="AD46" s="19">
        <v>205.1</v>
      </c>
      <c r="AE46" s="20"/>
      <c r="AF46" s="36"/>
    </row>
    <row r="47" spans="1:32" ht="15.75" x14ac:dyDescent="0.25">
      <c r="A47" s="22">
        <v>42</v>
      </c>
      <c r="B47" s="19">
        <v>198.7</v>
      </c>
      <c r="C47" s="22">
        <v>91</v>
      </c>
      <c r="D47" s="19">
        <v>202</v>
      </c>
      <c r="E47" s="22">
        <f t="shared" si="0"/>
        <v>140</v>
      </c>
      <c r="F47" s="19">
        <v>202.1</v>
      </c>
      <c r="G47" s="33">
        <v>189</v>
      </c>
      <c r="H47" s="19">
        <v>201.2</v>
      </c>
      <c r="I47" s="20"/>
      <c r="J47" s="36"/>
      <c r="L47" s="22">
        <v>42</v>
      </c>
      <c r="M47" s="19">
        <v>198.7</v>
      </c>
      <c r="N47" s="22">
        <v>91</v>
      </c>
      <c r="O47" s="19">
        <v>202</v>
      </c>
      <c r="P47" s="22">
        <f t="shared" si="1"/>
        <v>140</v>
      </c>
      <c r="Q47" s="19">
        <v>202.1</v>
      </c>
      <c r="R47" s="33">
        <v>189</v>
      </c>
      <c r="S47" s="19"/>
      <c r="T47" s="20"/>
      <c r="U47" s="36"/>
      <c r="W47" s="22">
        <v>42</v>
      </c>
      <c r="X47" s="19"/>
      <c r="Y47" s="22">
        <v>91</v>
      </c>
      <c r="Z47" s="19"/>
      <c r="AA47" s="22">
        <f t="shared" si="2"/>
        <v>140</v>
      </c>
      <c r="AB47" s="19"/>
      <c r="AC47" s="33">
        <v>189</v>
      </c>
      <c r="AD47" s="19">
        <v>201.2</v>
      </c>
      <c r="AE47" s="20"/>
      <c r="AF47" s="36"/>
    </row>
    <row r="48" spans="1:32" ht="15.75" x14ac:dyDescent="0.25">
      <c r="A48" s="22">
        <v>43</v>
      </c>
      <c r="B48" s="19">
        <v>199.7</v>
      </c>
      <c r="C48" s="22">
        <v>92</v>
      </c>
      <c r="D48" s="19">
        <v>195.9</v>
      </c>
      <c r="E48" s="22">
        <f t="shared" si="0"/>
        <v>141</v>
      </c>
      <c r="F48" s="19">
        <v>204.4</v>
      </c>
      <c r="G48" s="33">
        <v>190</v>
      </c>
      <c r="H48" s="19">
        <v>207.7</v>
      </c>
      <c r="I48" s="21"/>
      <c r="J48" s="36"/>
      <c r="L48" s="22">
        <v>43</v>
      </c>
      <c r="M48" s="19">
        <v>199.7</v>
      </c>
      <c r="N48" s="22">
        <v>92</v>
      </c>
      <c r="O48" s="19">
        <v>195.9</v>
      </c>
      <c r="P48" s="22">
        <f t="shared" si="1"/>
        <v>141</v>
      </c>
      <c r="Q48" s="19">
        <v>204.4</v>
      </c>
      <c r="R48" s="33">
        <v>190</v>
      </c>
      <c r="S48" s="19"/>
      <c r="T48" s="21"/>
      <c r="U48" s="36"/>
      <c r="W48" s="22">
        <v>43</v>
      </c>
      <c r="X48" s="19"/>
      <c r="Y48" s="22">
        <v>92</v>
      </c>
      <c r="Z48" s="19"/>
      <c r="AA48" s="22">
        <f t="shared" si="2"/>
        <v>141</v>
      </c>
      <c r="AB48" s="19"/>
      <c r="AC48" s="33">
        <v>190</v>
      </c>
      <c r="AD48" s="19">
        <v>207.7</v>
      </c>
      <c r="AE48" s="21"/>
      <c r="AF48" s="36"/>
    </row>
    <row r="49" spans="1:32" ht="15.75" x14ac:dyDescent="0.25">
      <c r="A49" s="22">
        <v>44</v>
      </c>
      <c r="B49" s="19">
        <v>198.8</v>
      </c>
      <c r="C49" s="22">
        <v>93</v>
      </c>
      <c r="D49" s="19">
        <v>205.9</v>
      </c>
      <c r="E49" s="22">
        <f t="shared" si="0"/>
        <v>142</v>
      </c>
      <c r="F49" s="19">
        <v>196.5</v>
      </c>
      <c r="G49" s="33">
        <v>191</v>
      </c>
      <c r="H49" s="19">
        <v>198</v>
      </c>
      <c r="I49" s="21"/>
      <c r="J49" s="36"/>
      <c r="L49" s="22">
        <v>44</v>
      </c>
      <c r="M49" s="19">
        <v>198.8</v>
      </c>
      <c r="N49" s="22">
        <v>93</v>
      </c>
      <c r="O49" s="19">
        <v>205.9</v>
      </c>
      <c r="P49" s="22">
        <f t="shared" si="1"/>
        <v>142</v>
      </c>
      <c r="Q49" s="19">
        <v>196.5</v>
      </c>
      <c r="R49" s="33">
        <v>191</v>
      </c>
      <c r="S49" s="19"/>
      <c r="T49" s="21"/>
      <c r="U49" s="36"/>
      <c r="W49" s="22">
        <v>44</v>
      </c>
      <c r="X49" s="19"/>
      <c r="Y49" s="22">
        <v>93</v>
      </c>
      <c r="Z49" s="19"/>
      <c r="AA49" s="22">
        <f t="shared" si="2"/>
        <v>142</v>
      </c>
      <c r="AB49" s="19"/>
      <c r="AC49" s="33">
        <v>191</v>
      </c>
      <c r="AD49" s="19">
        <v>198</v>
      </c>
      <c r="AE49" s="21"/>
      <c r="AF49" s="36"/>
    </row>
    <row r="50" spans="1:32" ht="15.75" x14ac:dyDescent="0.25">
      <c r="A50" s="22">
        <v>45</v>
      </c>
      <c r="B50" s="19">
        <v>196.9</v>
      </c>
      <c r="C50" s="22">
        <v>94</v>
      </c>
      <c r="D50" s="19">
        <v>197.5</v>
      </c>
      <c r="E50" s="22">
        <f t="shared" si="0"/>
        <v>143</v>
      </c>
      <c r="F50" s="19">
        <v>203.6</v>
      </c>
      <c r="G50" s="33">
        <v>192</v>
      </c>
      <c r="H50" s="19">
        <v>206.8</v>
      </c>
      <c r="I50" s="20"/>
      <c r="J50" s="36"/>
      <c r="L50" s="22">
        <v>45</v>
      </c>
      <c r="M50" s="19">
        <v>196.9</v>
      </c>
      <c r="N50" s="22">
        <v>94</v>
      </c>
      <c r="O50" s="19">
        <v>197.5</v>
      </c>
      <c r="P50" s="22">
        <f t="shared" si="1"/>
        <v>143</v>
      </c>
      <c r="Q50" s="19">
        <v>203.6</v>
      </c>
      <c r="R50" s="33">
        <v>192</v>
      </c>
      <c r="S50" s="19"/>
      <c r="T50" s="20"/>
      <c r="U50" s="36"/>
      <c r="W50" s="22">
        <v>45</v>
      </c>
      <c r="X50" s="19"/>
      <c r="Y50" s="22">
        <v>94</v>
      </c>
      <c r="Z50" s="19"/>
      <c r="AA50" s="22">
        <f t="shared" si="2"/>
        <v>143</v>
      </c>
      <c r="AB50" s="19"/>
      <c r="AC50" s="33">
        <v>192</v>
      </c>
      <c r="AD50" s="19">
        <v>206.8</v>
      </c>
      <c r="AE50" s="20"/>
      <c r="AF50" s="36"/>
    </row>
    <row r="51" spans="1:32" ht="15.75" x14ac:dyDescent="0.25">
      <c r="A51" s="22">
        <v>46</v>
      </c>
      <c r="B51" s="19">
        <v>197.1</v>
      </c>
      <c r="C51" s="22">
        <v>95</v>
      </c>
      <c r="D51" s="19">
        <v>202.2</v>
      </c>
      <c r="E51" s="22">
        <f t="shared" si="0"/>
        <v>144</v>
      </c>
      <c r="F51" s="19">
        <v>200.3</v>
      </c>
      <c r="G51" s="33">
        <v>193</v>
      </c>
      <c r="H51" s="19">
        <v>200.5</v>
      </c>
      <c r="I51" s="20"/>
      <c r="J51" s="36"/>
      <c r="L51" s="22">
        <v>46</v>
      </c>
      <c r="M51" s="19">
        <v>197.1</v>
      </c>
      <c r="N51" s="22">
        <v>95</v>
      </c>
      <c r="O51" s="19">
        <v>202.2</v>
      </c>
      <c r="P51" s="22">
        <f t="shared" si="1"/>
        <v>144</v>
      </c>
      <c r="Q51" s="19">
        <v>200.3</v>
      </c>
      <c r="R51" s="33">
        <v>193</v>
      </c>
      <c r="S51" s="19"/>
      <c r="T51" s="20"/>
      <c r="U51" s="36"/>
      <c r="W51" s="22">
        <v>46</v>
      </c>
      <c r="X51" s="19"/>
      <c r="Y51" s="22">
        <v>95</v>
      </c>
      <c r="Z51" s="19"/>
      <c r="AA51" s="22">
        <f t="shared" si="2"/>
        <v>144</v>
      </c>
      <c r="AB51" s="19"/>
      <c r="AC51" s="33">
        <v>193</v>
      </c>
      <c r="AD51" s="19">
        <v>200.5</v>
      </c>
      <c r="AE51" s="20"/>
      <c r="AF51" s="36"/>
    </row>
    <row r="52" spans="1:32" ht="15.75" x14ac:dyDescent="0.25">
      <c r="A52" s="22">
        <v>47</v>
      </c>
      <c r="B52" s="19">
        <v>201.1</v>
      </c>
      <c r="C52" s="22">
        <v>96</v>
      </c>
      <c r="D52" s="19">
        <v>207.2</v>
      </c>
      <c r="E52" s="22">
        <f t="shared" si="0"/>
        <v>145</v>
      </c>
      <c r="F52" s="19">
        <v>207.5</v>
      </c>
      <c r="G52" s="33">
        <v>194</v>
      </c>
      <c r="H52" s="19">
        <v>199.6</v>
      </c>
      <c r="I52" s="21"/>
      <c r="J52" s="36"/>
      <c r="L52" s="22">
        <v>47</v>
      </c>
      <c r="M52" s="19">
        <v>201.1</v>
      </c>
      <c r="N52" s="22">
        <v>96</v>
      </c>
      <c r="O52" s="19">
        <v>207.2</v>
      </c>
      <c r="P52" s="22">
        <f t="shared" si="1"/>
        <v>145</v>
      </c>
      <c r="Q52" s="19">
        <v>207.5</v>
      </c>
      <c r="R52" s="33">
        <v>194</v>
      </c>
      <c r="S52" s="19"/>
      <c r="T52" s="21"/>
      <c r="U52" s="36"/>
      <c r="W52" s="22">
        <v>47</v>
      </c>
      <c r="X52" s="19"/>
      <c r="Y52" s="22">
        <v>96</v>
      </c>
      <c r="Z52" s="19"/>
      <c r="AA52" s="22">
        <f t="shared" si="2"/>
        <v>145</v>
      </c>
      <c r="AB52" s="19"/>
      <c r="AC52" s="33">
        <v>194</v>
      </c>
      <c r="AD52" s="19">
        <v>199.6</v>
      </c>
      <c r="AE52" s="21"/>
      <c r="AF52" s="36"/>
    </row>
    <row r="53" spans="1:32" ht="15.75" x14ac:dyDescent="0.25">
      <c r="A53" s="22">
        <v>48</v>
      </c>
      <c r="B53" s="19">
        <v>195.9</v>
      </c>
      <c r="C53" s="22">
        <v>97</v>
      </c>
      <c r="D53" s="19">
        <v>196.7</v>
      </c>
      <c r="E53" s="22">
        <f t="shared" si="0"/>
        <v>146</v>
      </c>
      <c r="F53" s="19">
        <v>197.7</v>
      </c>
      <c r="G53" s="33">
        <v>195</v>
      </c>
      <c r="H53" s="19">
        <v>196.7</v>
      </c>
      <c r="I53" s="20"/>
      <c r="J53" s="36"/>
      <c r="L53" s="22">
        <v>48</v>
      </c>
      <c r="M53" s="19">
        <v>195.9</v>
      </c>
      <c r="N53" s="22">
        <v>97</v>
      </c>
      <c r="O53" s="19">
        <v>196.7</v>
      </c>
      <c r="P53" s="22">
        <f t="shared" si="1"/>
        <v>146</v>
      </c>
      <c r="Q53" s="19">
        <v>197.7</v>
      </c>
      <c r="R53" s="33">
        <v>195</v>
      </c>
      <c r="S53" s="19"/>
      <c r="T53" s="20"/>
      <c r="U53" s="36"/>
      <c r="W53" s="22">
        <v>48</v>
      </c>
      <c r="X53" s="19"/>
      <c r="Y53" s="22">
        <v>97</v>
      </c>
      <c r="Z53" s="19"/>
      <c r="AA53" s="22">
        <f t="shared" si="2"/>
        <v>146</v>
      </c>
      <c r="AB53" s="19"/>
      <c r="AC53" s="33">
        <v>195</v>
      </c>
      <c r="AD53" s="19">
        <v>196.7</v>
      </c>
      <c r="AE53" s="20"/>
      <c r="AF53" s="36"/>
    </row>
    <row r="54" spans="1:32" ht="15.75" x14ac:dyDescent="0.25">
      <c r="A54" s="37">
        <v>49</v>
      </c>
      <c r="B54" s="19">
        <v>199</v>
      </c>
      <c r="C54" s="37">
        <v>98</v>
      </c>
      <c r="D54" s="19">
        <v>208.7</v>
      </c>
      <c r="E54" s="22">
        <f t="shared" si="0"/>
        <v>147</v>
      </c>
      <c r="F54" s="19">
        <v>203.4</v>
      </c>
      <c r="G54" s="38">
        <v>196</v>
      </c>
      <c r="H54" s="19">
        <v>207.6</v>
      </c>
      <c r="I54" s="39"/>
      <c r="J54" s="40"/>
      <c r="L54" s="37">
        <v>49</v>
      </c>
      <c r="M54" s="19">
        <v>199</v>
      </c>
      <c r="N54" s="37">
        <v>98</v>
      </c>
      <c r="O54" s="19">
        <v>208.7</v>
      </c>
      <c r="P54" s="22">
        <f t="shared" si="1"/>
        <v>147</v>
      </c>
      <c r="Q54" s="19">
        <v>203.4</v>
      </c>
      <c r="R54" s="38">
        <v>196</v>
      </c>
      <c r="S54" s="19"/>
      <c r="T54" s="39"/>
      <c r="U54" s="40"/>
      <c r="W54" s="37">
        <v>49</v>
      </c>
      <c r="X54" s="19"/>
      <c r="Y54" s="37">
        <v>98</v>
      </c>
      <c r="Z54" s="19"/>
      <c r="AA54" s="22">
        <f t="shared" si="2"/>
        <v>147</v>
      </c>
      <c r="AB54" s="19"/>
      <c r="AC54" s="38">
        <v>196</v>
      </c>
      <c r="AD54" s="19">
        <v>207.6</v>
      </c>
      <c r="AE54" s="39"/>
      <c r="AF54" s="40"/>
    </row>
    <row r="55" spans="1:32" ht="15.75" x14ac:dyDescent="0.25">
      <c r="A55" s="41"/>
      <c r="B55" s="23">
        <f>SUM(B6:B54)</f>
        <v>9852.0000000000018</v>
      </c>
      <c r="C55" s="23"/>
      <c r="D55" s="23">
        <f>SUM(D6:D54)</f>
        <v>9836.6000000000022</v>
      </c>
      <c r="E55" s="23"/>
      <c r="F55" s="23">
        <f>SUM(F6:F54)</f>
        <v>9883.1000000000022</v>
      </c>
      <c r="G55" s="23"/>
      <c r="H55" s="23">
        <f>SUM(H6:H54)</f>
        <v>9946.2000000000025</v>
      </c>
      <c r="I55" s="41"/>
      <c r="J55" s="41">
        <f>SUM(J6:J54)</f>
        <v>4863</v>
      </c>
      <c r="L55" s="41"/>
      <c r="M55" s="23">
        <f>SUM(M6:M54)</f>
        <v>9852.0000000000018</v>
      </c>
      <c r="N55" s="23"/>
      <c r="O55" s="23">
        <f>SUM(O6:O54)</f>
        <v>9836.6000000000022</v>
      </c>
      <c r="P55" s="23"/>
      <c r="Q55" s="23">
        <f>SUM(Q6:Q54)</f>
        <v>9883.1000000000022</v>
      </c>
      <c r="R55" s="23"/>
      <c r="S55" s="23">
        <f>SUM(S6:S54)</f>
        <v>4695.5</v>
      </c>
      <c r="T55" s="41"/>
      <c r="U55" s="41">
        <f>SUM(U6:U54)</f>
        <v>0</v>
      </c>
      <c r="W55" s="41"/>
      <c r="X55" s="23">
        <f>SUM(X6:X54)</f>
        <v>0</v>
      </c>
      <c r="Y55" s="23"/>
      <c r="Z55" s="23">
        <f>SUM(Z6:Z54)</f>
        <v>0</v>
      </c>
      <c r="AA55" s="23"/>
      <c r="AB55" s="23">
        <f>SUM(AB6:AB54)</f>
        <v>0</v>
      </c>
      <c r="AC55" s="23"/>
      <c r="AD55" s="23">
        <f>SUM(AD6:AD54)</f>
        <v>5250.7000000000007</v>
      </c>
      <c r="AE55" s="41"/>
      <c r="AF55" s="41">
        <f>SUM(AF6:AF54)</f>
        <v>4863</v>
      </c>
    </row>
    <row r="56" spans="1:32" ht="15.75" x14ac:dyDescent="0.25">
      <c r="A56" s="42" t="s">
        <v>5</v>
      </c>
      <c r="B56" s="43">
        <f>COUNT(B6:B54,D6:D54,F6:F54,H6:H54,J6:J54)</f>
        <v>220</v>
      </c>
      <c r="C56" s="13" t="s">
        <v>6</v>
      </c>
      <c r="D56" s="44"/>
      <c r="E56" s="45">
        <f>B55+D55+F55+H55+J55</f>
        <v>44380.900000000009</v>
      </c>
      <c r="F56" s="24" t="s">
        <v>7</v>
      </c>
      <c r="G56" s="1">
        <f>B56*2.2</f>
        <v>484.00000000000006</v>
      </c>
      <c r="H56" s="13" t="s">
        <v>8</v>
      </c>
      <c r="I56" s="44"/>
      <c r="J56" s="45">
        <f>E56-G56</f>
        <v>43896.900000000009</v>
      </c>
      <c r="L56" s="42" t="s">
        <v>5</v>
      </c>
      <c r="M56" s="43">
        <f>COUNT(M6:M54,O6:O54,Q6:Q54,S6:S54,U6:U54)</f>
        <v>170</v>
      </c>
      <c r="N56" s="13" t="s">
        <v>6</v>
      </c>
      <c r="O56" s="44"/>
      <c r="P56" s="45">
        <f>M55+O55+Q55+S55+U55</f>
        <v>34267.200000000012</v>
      </c>
      <c r="Q56" s="24" t="s">
        <v>7</v>
      </c>
      <c r="R56" s="1">
        <f>M56*2.2</f>
        <v>374.00000000000006</v>
      </c>
      <c r="S56" s="13" t="s">
        <v>8</v>
      </c>
      <c r="T56" s="44"/>
      <c r="U56" s="45">
        <f>P56-R56</f>
        <v>33893.200000000012</v>
      </c>
      <c r="W56" s="42" t="s">
        <v>5</v>
      </c>
      <c r="X56" s="43">
        <f>COUNT(X6:X54,Z6:Z54,AB6:AB54,AD6:AD54,AF6:AF54)</f>
        <v>50</v>
      </c>
      <c r="Y56" s="13" t="s">
        <v>6</v>
      </c>
      <c r="Z56" s="44"/>
      <c r="AA56" s="45">
        <f>X55+Z55+AB55+AD55+AF55</f>
        <v>10113.700000000001</v>
      </c>
      <c r="AB56" s="24" t="s">
        <v>7</v>
      </c>
      <c r="AC56" s="1">
        <f>X56*2.2</f>
        <v>110.00000000000001</v>
      </c>
      <c r="AD56" s="13" t="s">
        <v>8</v>
      </c>
      <c r="AE56" s="44"/>
      <c r="AF56" s="45">
        <f>AA56-AC56</f>
        <v>10003.700000000001</v>
      </c>
    </row>
    <row r="57" spans="1:32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  <c r="L57" s="42" t="s">
        <v>9</v>
      </c>
      <c r="M57" s="25"/>
      <c r="N57" s="46"/>
      <c r="O57" s="44"/>
      <c r="P57" s="47"/>
      <c r="Q57" s="25"/>
      <c r="R57" s="48"/>
      <c r="S57" s="46"/>
      <c r="T57" s="44"/>
      <c r="U57" s="49"/>
      <c r="W57" s="42" t="s">
        <v>9</v>
      </c>
      <c r="X57" s="25"/>
      <c r="Y57" s="46"/>
      <c r="Z57" s="44"/>
      <c r="AA57" s="47"/>
      <c r="AB57" s="25"/>
      <c r="AC57" s="48"/>
      <c r="AD57" s="46"/>
      <c r="AE57" s="44"/>
      <c r="AF57" s="49"/>
    </row>
    <row r="59" spans="1:32" x14ac:dyDescent="0.25">
      <c r="F59" s="112" t="s">
        <v>61</v>
      </c>
      <c r="G59" s="112">
        <v>2.2000000000000002</v>
      </c>
      <c r="Q59" s="112" t="s">
        <v>61</v>
      </c>
      <c r="R59" s="112">
        <v>2.2000000000000002</v>
      </c>
      <c r="AB59" s="112" t="s">
        <v>61</v>
      </c>
      <c r="AC59" s="112">
        <v>2.2000000000000002</v>
      </c>
    </row>
    <row r="61" spans="1:32" x14ac:dyDescent="0.25">
      <c r="B61">
        <f>M56+X56</f>
        <v>220</v>
      </c>
      <c r="E61" s="80">
        <f>P56+AA56</f>
        <v>44380.900000000009</v>
      </c>
      <c r="J61" s="80">
        <f>U56+AF56</f>
        <v>43896.900000000009</v>
      </c>
    </row>
  </sheetData>
  <protectedRanges>
    <protectedRange password="CCE1" sqref="C6:C54 G6:G54 E6:E54 I6:I29 N6:N54 R6:R54 P6:P54 T6:T29 Y6:Y54 AC6:AC54 AA6:AA54 AE6:AE29" name="Диапазон1_3_1_7_2_1_1_1_1_1_1_1"/>
  </protectedRanges>
  <mergeCells count="6">
    <mergeCell ref="A1:J1"/>
    <mergeCell ref="I4:J4"/>
    <mergeCell ref="L1:U1"/>
    <mergeCell ref="T4:U4"/>
    <mergeCell ref="W1:AF1"/>
    <mergeCell ref="AE4:AF4"/>
  </mergeCells>
  <pageMargins left="0.7" right="0.7" top="0.75" bottom="0.75" header="0.3" footer="0.3"/>
  <pageSetup paperSize="9" scale="82" orientation="portrait" verticalDpi="0" r:id="rId1"/>
  <rowBreaks count="1" manualBreakCount="1">
    <brk id="58" max="16383" man="1"/>
  </rowBreaks>
  <colBreaks count="2" manualBreakCount="2">
    <brk id="10" max="57" man="1"/>
    <brk id="21" max="57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1"/>
  <sheetViews>
    <sheetView topLeftCell="C1" zoomScale="90" zoomScaleNormal="90" workbookViewId="0">
      <selection activeCell="J33" sqref="J33"/>
    </sheetView>
  </sheetViews>
  <sheetFormatPr defaultRowHeight="15" x14ac:dyDescent="0.25"/>
  <cols>
    <col min="11" max="11" width="1.85546875" customWidth="1"/>
    <col min="22" max="22" width="1.42578125" customWidth="1"/>
  </cols>
  <sheetData>
    <row r="1" spans="1:32" ht="18.75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L1" s="204" t="s">
        <v>0</v>
      </c>
      <c r="M1" s="204"/>
      <c r="N1" s="204"/>
      <c r="O1" s="204"/>
      <c r="P1" s="204"/>
      <c r="Q1" s="204"/>
      <c r="R1" s="204"/>
      <c r="S1" s="204"/>
      <c r="T1" s="204"/>
      <c r="U1" s="204"/>
      <c r="W1" s="204" t="s">
        <v>0</v>
      </c>
      <c r="X1" s="204"/>
      <c r="Y1" s="204"/>
      <c r="Z1" s="204"/>
      <c r="AA1" s="204"/>
      <c r="AB1" s="204"/>
      <c r="AC1" s="204"/>
      <c r="AD1" s="204"/>
      <c r="AE1" s="204"/>
      <c r="AF1" s="204"/>
    </row>
    <row r="2" spans="1:32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  <c r="L2" s="13" t="s">
        <v>1</v>
      </c>
      <c r="M2" s="13"/>
      <c r="N2" s="13"/>
      <c r="O2" s="13"/>
      <c r="P2" s="13"/>
      <c r="Q2" s="13"/>
      <c r="R2" s="27"/>
      <c r="S2" s="13"/>
      <c r="T2" s="13"/>
      <c r="U2" s="13"/>
      <c r="W2" s="13" t="s">
        <v>1</v>
      </c>
      <c r="X2" s="13"/>
      <c r="Y2" s="13"/>
      <c r="Z2" s="13"/>
      <c r="AA2" s="13"/>
      <c r="AB2" s="13"/>
      <c r="AC2" s="27"/>
      <c r="AD2" s="13"/>
      <c r="AE2" s="13"/>
      <c r="AF2" s="13"/>
    </row>
    <row r="3" spans="1:32" ht="15.75" x14ac:dyDescent="0.25">
      <c r="A3" s="25" t="s">
        <v>2</v>
      </c>
      <c r="B3" s="27">
        <v>210</v>
      </c>
      <c r="C3" s="14"/>
      <c r="D3" s="15"/>
      <c r="E3" s="16"/>
      <c r="F3" s="16"/>
      <c r="G3" s="16"/>
      <c r="H3" s="16"/>
      <c r="I3" s="16" t="s">
        <v>33</v>
      </c>
      <c r="J3" s="16"/>
      <c r="L3" s="25" t="s">
        <v>2</v>
      </c>
      <c r="M3" s="27">
        <v>210</v>
      </c>
      <c r="N3" s="14"/>
      <c r="O3" s="15"/>
      <c r="P3" s="16"/>
      <c r="Q3" s="16"/>
      <c r="R3" s="16"/>
      <c r="S3" s="16"/>
      <c r="T3" s="16" t="s">
        <v>33</v>
      </c>
      <c r="U3" s="16"/>
      <c r="W3" s="25" t="s">
        <v>2</v>
      </c>
      <c r="X3" s="27">
        <v>210</v>
      </c>
      <c r="Y3" s="14"/>
      <c r="Z3" s="15"/>
      <c r="AA3" s="16"/>
      <c r="AB3" s="16"/>
      <c r="AC3" s="16"/>
      <c r="AD3" s="16"/>
      <c r="AE3" s="16" t="s">
        <v>33</v>
      </c>
      <c r="AF3" s="16"/>
    </row>
    <row r="4" spans="1:32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  <c r="L4" s="17"/>
      <c r="M4" s="17"/>
      <c r="N4" s="17"/>
      <c r="O4" s="17"/>
      <c r="P4" s="17"/>
      <c r="Q4" s="17"/>
      <c r="R4" s="17"/>
      <c r="S4" s="28"/>
      <c r="T4" s="205" t="s">
        <v>48</v>
      </c>
      <c r="U4" s="206"/>
      <c r="W4" s="17"/>
      <c r="X4" s="17"/>
      <c r="Y4" s="17"/>
      <c r="Z4" s="17"/>
      <c r="AA4" s="17"/>
      <c r="AB4" s="17"/>
      <c r="AC4" s="17"/>
      <c r="AD4" s="28"/>
      <c r="AE4" s="205" t="s">
        <v>50</v>
      </c>
      <c r="AF4" s="206"/>
    </row>
    <row r="5" spans="1:32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  <c r="L5" s="29" t="s">
        <v>3</v>
      </c>
      <c r="M5" s="18" t="s">
        <v>4</v>
      </c>
      <c r="N5" s="29" t="s">
        <v>3</v>
      </c>
      <c r="O5" s="18" t="s">
        <v>4</v>
      </c>
      <c r="P5" s="29" t="s">
        <v>3</v>
      </c>
      <c r="Q5" s="18" t="s">
        <v>4</v>
      </c>
      <c r="R5" s="29" t="s">
        <v>3</v>
      </c>
      <c r="S5" s="30" t="s">
        <v>4</v>
      </c>
      <c r="T5" s="31" t="s">
        <v>3</v>
      </c>
      <c r="U5" s="32" t="s">
        <v>4</v>
      </c>
      <c r="W5" s="29" t="s">
        <v>3</v>
      </c>
      <c r="X5" s="18" t="s">
        <v>4</v>
      </c>
      <c r="Y5" s="29" t="s">
        <v>3</v>
      </c>
      <c r="Z5" s="18" t="s">
        <v>4</v>
      </c>
      <c r="AA5" s="29" t="s">
        <v>3</v>
      </c>
      <c r="AB5" s="18" t="s">
        <v>4</v>
      </c>
      <c r="AC5" s="29" t="s">
        <v>3</v>
      </c>
      <c r="AD5" s="30" t="s">
        <v>4</v>
      </c>
      <c r="AE5" s="31" t="s">
        <v>3</v>
      </c>
      <c r="AF5" s="32" t="s">
        <v>4</v>
      </c>
    </row>
    <row r="6" spans="1:32" ht="15.75" x14ac:dyDescent="0.25">
      <c r="A6" s="22">
        <v>1</v>
      </c>
      <c r="B6" s="19">
        <v>207</v>
      </c>
      <c r="C6" s="22">
        <v>50</v>
      </c>
      <c r="D6" s="19">
        <v>194.5</v>
      </c>
      <c r="E6" s="22">
        <v>99</v>
      </c>
      <c r="F6" s="19">
        <v>199.6</v>
      </c>
      <c r="G6" s="33">
        <v>148</v>
      </c>
      <c r="H6" s="19">
        <v>205.1</v>
      </c>
      <c r="I6" s="34">
        <v>197</v>
      </c>
      <c r="J6" s="19">
        <v>193.9</v>
      </c>
      <c r="L6" s="22">
        <v>1</v>
      </c>
      <c r="M6" s="19">
        <v>207</v>
      </c>
      <c r="N6" s="22">
        <v>50</v>
      </c>
      <c r="O6" s="19">
        <v>194.5</v>
      </c>
      <c r="P6" s="22">
        <v>99</v>
      </c>
      <c r="Q6" s="19">
        <v>199.6</v>
      </c>
      <c r="R6" s="33">
        <v>148</v>
      </c>
      <c r="S6" s="19"/>
      <c r="T6" s="34">
        <v>197</v>
      </c>
      <c r="U6" s="19"/>
      <c r="W6" s="22">
        <v>1</v>
      </c>
      <c r="X6" s="19"/>
      <c r="Y6" s="22">
        <v>50</v>
      </c>
      <c r="Z6" s="19"/>
      <c r="AA6" s="22">
        <v>99</v>
      </c>
      <c r="AB6" s="19"/>
      <c r="AC6" s="33">
        <v>148</v>
      </c>
      <c r="AD6" s="19">
        <v>205.1</v>
      </c>
      <c r="AE6" s="34">
        <v>197</v>
      </c>
      <c r="AF6" s="19">
        <v>193.9</v>
      </c>
    </row>
    <row r="7" spans="1:32" ht="15.75" x14ac:dyDescent="0.25">
      <c r="A7" s="22">
        <v>2</v>
      </c>
      <c r="B7" s="19">
        <v>201.1</v>
      </c>
      <c r="C7" s="22">
        <v>51</v>
      </c>
      <c r="D7" s="19">
        <v>196.6</v>
      </c>
      <c r="E7" s="22">
        <v>100</v>
      </c>
      <c r="F7" s="19">
        <v>199.9</v>
      </c>
      <c r="G7" s="33">
        <v>149</v>
      </c>
      <c r="H7" s="19">
        <v>199</v>
      </c>
      <c r="I7" s="33">
        <v>198</v>
      </c>
      <c r="J7" s="19">
        <v>191.5</v>
      </c>
      <c r="L7" s="22">
        <v>2</v>
      </c>
      <c r="M7" s="19">
        <v>201.1</v>
      </c>
      <c r="N7" s="22">
        <v>51</v>
      </c>
      <c r="O7" s="19">
        <v>196.6</v>
      </c>
      <c r="P7" s="22">
        <v>100</v>
      </c>
      <c r="Q7" s="19">
        <v>199.9</v>
      </c>
      <c r="R7" s="33">
        <v>149</v>
      </c>
      <c r="S7" s="19"/>
      <c r="T7" s="33">
        <v>198</v>
      </c>
      <c r="U7" s="19"/>
      <c r="W7" s="22">
        <v>2</v>
      </c>
      <c r="X7" s="19"/>
      <c r="Y7" s="22">
        <v>51</v>
      </c>
      <c r="Z7" s="19"/>
      <c r="AA7" s="22">
        <v>100</v>
      </c>
      <c r="AB7" s="19"/>
      <c r="AC7" s="33">
        <v>149</v>
      </c>
      <c r="AD7" s="19">
        <v>199</v>
      </c>
      <c r="AE7" s="33">
        <v>198</v>
      </c>
      <c r="AF7" s="19">
        <v>191.5</v>
      </c>
    </row>
    <row r="8" spans="1:32" ht="15.75" x14ac:dyDescent="0.25">
      <c r="A8" s="22">
        <v>3</v>
      </c>
      <c r="B8" s="19">
        <v>211.2</v>
      </c>
      <c r="C8" s="22">
        <v>52</v>
      </c>
      <c r="D8" s="19">
        <v>201.8</v>
      </c>
      <c r="E8" s="22">
        <f t="shared" ref="E8:E54" si="0">+E7+1</f>
        <v>101</v>
      </c>
      <c r="F8" s="19">
        <v>199.5</v>
      </c>
      <c r="G8" s="33">
        <v>150</v>
      </c>
      <c r="H8" s="19">
        <v>205.9</v>
      </c>
      <c r="I8" s="33">
        <v>199</v>
      </c>
      <c r="J8" s="19">
        <v>209.1</v>
      </c>
      <c r="L8" s="22">
        <v>3</v>
      </c>
      <c r="M8" s="19">
        <v>211.2</v>
      </c>
      <c r="N8" s="22">
        <v>52</v>
      </c>
      <c r="O8" s="19">
        <v>201.8</v>
      </c>
      <c r="P8" s="22">
        <f t="shared" ref="P8:P54" si="1">+P7+1</f>
        <v>101</v>
      </c>
      <c r="Q8" s="19">
        <v>199.5</v>
      </c>
      <c r="R8" s="33">
        <v>150</v>
      </c>
      <c r="S8" s="19"/>
      <c r="T8" s="33">
        <v>199</v>
      </c>
      <c r="U8" s="19"/>
      <c r="W8" s="22">
        <v>3</v>
      </c>
      <c r="X8" s="19"/>
      <c r="Y8" s="22">
        <v>52</v>
      </c>
      <c r="Z8" s="19"/>
      <c r="AA8" s="22">
        <f t="shared" ref="AA8:AA54" si="2">+AA7+1</f>
        <v>101</v>
      </c>
      <c r="AB8" s="19"/>
      <c r="AC8" s="33">
        <v>150</v>
      </c>
      <c r="AD8" s="19">
        <v>205.9</v>
      </c>
      <c r="AE8" s="33">
        <v>199</v>
      </c>
      <c r="AF8" s="19">
        <v>209.1</v>
      </c>
    </row>
    <row r="9" spans="1:32" ht="15.75" x14ac:dyDescent="0.25">
      <c r="A9" s="22">
        <v>4</v>
      </c>
      <c r="B9" s="19">
        <v>200.8</v>
      </c>
      <c r="C9" s="22">
        <v>53</v>
      </c>
      <c r="D9" s="19">
        <v>198.4</v>
      </c>
      <c r="E9" s="22">
        <f t="shared" si="0"/>
        <v>102</v>
      </c>
      <c r="F9" s="19">
        <v>192.9</v>
      </c>
      <c r="G9" s="33">
        <v>151</v>
      </c>
      <c r="H9" s="19">
        <v>204.5</v>
      </c>
      <c r="I9" s="33">
        <v>200</v>
      </c>
      <c r="J9" s="19">
        <v>199.3</v>
      </c>
      <c r="L9" s="22">
        <v>4</v>
      </c>
      <c r="M9" s="19">
        <v>200.8</v>
      </c>
      <c r="N9" s="22">
        <v>53</v>
      </c>
      <c r="O9" s="19">
        <v>198.4</v>
      </c>
      <c r="P9" s="22">
        <f t="shared" si="1"/>
        <v>102</v>
      </c>
      <c r="Q9" s="19">
        <v>192.9</v>
      </c>
      <c r="R9" s="33">
        <v>151</v>
      </c>
      <c r="S9" s="19"/>
      <c r="T9" s="33">
        <v>200</v>
      </c>
      <c r="U9" s="19"/>
      <c r="W9" s="22">
        <v>4</v>
      </c>
      <c r="X9" s="19"/>
      <c r="Y9" s="22">
        <v>53</v>
      </c>
      <c r="Z9" s="19"/>
      <c r="AA9" s="22">
        <f t="shared" si="2"/>
        <v>102</v>
      </c>
      <c r="AB9" s="19"/>
      <c r="AC9" s="33">
        <v>151</v>
      </c>
      <c r="AD9" s="19">
        <v>204.5</v>
      </c>
      <c r="AE9" s="33">
        <v>200</v>
      </c>
      <c r="AF9" s="19">
        <v>199.3</v>
      </c>
    </row>
    <row r="10" spans="1:32" ht="15.75" x14ac:dyDescent="0.25">
      <c r="A10" s="22">
        <v>5</v>
      </c>
      <c r="B10" s="19">
        <v>207.4</v>
      </c>
      <c r="C10" s="22">
        <v>54</v>
      </c>
      <c r="D10" s="19">
        <v>202</v>
      </c>
      <c r="E10" s="22">
        <f t="shared" si="0"/>
        <v>103</v>
      </c>
      <c r="F10" s="19">
        <v>199.7</v>
      </c>
      <c r="G10" s="33">
        <v>152</v>
      </c>
      <c r="H10" s="19">
        <v>200.9</v>
      </c>
      <c r="I10" s="33">
        <v>201</v>
      </c>
      <c r="J10" s="19">
        <v>206.3</v>
      </c>
      <c r="L10" s="22">
        <v>5</v>
      </c>
      <c r="M10" s="19">
        <v>207.4</v>
      </c>
      <c r="N10" s="22">
        <v>54</v>
      </c>
      <c r="O10" s="19">
        <v>202</v>
      </c>
      <c r="P10" s="22">
        <f t="shared" si="1"/>
        <v>103</v>
      </c>
      <c r="Q10" s="19">
        <v>199.7</v>
      </c>
      <c r="R10" s="33">
        <v>152</v>
      </c>
      <c r="S10" s="19"/>
      <c r="T10" s="33">
        <v>201</v>
      </c>
      <c r="U10" s="19"/>
      <c r="W10" s="22">
        <v>5</v>
      </c>
      <c r="X10" s="19"/>
      <c r="Y10" s="22">
        <v>54</v>
      </c>
      <c r="Z10" s="19"/>
      <c r="AA10" s="22">
        <f t="shared" si="2"/>
        <v>103</v>
      </c>
      <c r="AB10" s="19"/>
      <c r="AC10" s="33">
        <v>152</v>
      </c>
      <c r="AD10" s="19">
        <v>200.9</v>
      </c>
      <c r="AE10" s="33">
        <v>201</v>
      </c>
      <c r="AF10" s="19">
        <v>206.3</v>
      </c>
    </row>
    <row r="11" spans="1:32" ht="15.75" x14ac:dyDescent="0.25">
      <c r="A11" s="22">
        <v>6</v>
      </c>
      <c r="B11" s="19">
        <v>198.9</v>
      </c>
      <c r="C11" s="22">
        <v>55</v>
      </c>
      <c r="D11" s="19">
        <v>192.8</v>
      </c>
      <c r="E11" s="22">
        <f t="shared" si="0"/>
        <v>104</v>
      </c>
      <c r="F11" s="19">
        <v>200.1</v>
      </c>
      <c r="G11" s="33">
        <v>153</v>
      </c>
      <c r="H11" s="19">
        <v>205.8</v>
      </c>
      <c r="I11" s="33">
        <v>202</v>
      </c>
      <c r="J11" s="19">
        <v>196.8</v>
      </c>
      <c r="L11" s="22">
        <v>6</v>
      </c>
      <c r="M11" s="19">
        <v>198.9</v>
      </c>
      <c r="N11" s="22">
        <v>55</v>
      </c>
      <c r="O11" s="19">
        <v>192.8</v>
      </c>
      <c r="P11" s="22">
        <f t="shared" si="1"/>
        <v>104</v>
      </c>
      <c r="Q11" s="19">
        <v>200.1</v>
      </c>
      <c r="R11" s="33">
        <v>153</v>
      </c>
      <c r="S11" s="19"/>
      <c r="T11" s="33">
        <v>202</v>
      </c>
      <c r="U11" s="19"/>
      <c r="W11" s="22">
        <v>6</v>
      </c>
      <c r="X11" s="19"/>
      <c r="Y11" s="22">
        <v>55</v>
      </c>
      <c r="Z11" s="19"/>
      <c r="AA11" s="22">
        <f t="shared" si="2"/>
        <v>104</v>
      </c>
      <c r="AB11" s="19"/>
      <c r="AC11" s="33">
        <v>153</v>
      </c>
      <c r="AD11" s="19">
        <v>205.8</v>
      </c>
      <c r="AE11" s="33">
        <v>202</v>
      </c>
      <c r="AF11" s="19">
        <v>196.8</v>
      </c>
    </row>
    <row r="12" spans="1:32" ht="15.75" x14ac:dyDescent="0.25">
      <c r="A12" s="22">
        <v>7</v>
      </c>
      <c r="B12" s="19">
        <v>210.2</v>
      </c>
      <c r="C12" s="22">
        <v>56</v>
      </c>
      <c r="D12" s="19">
        <v>198.1</v>
      </c>
      <c r="E12" s="22">
        <f t="shared" si="0"/>
        <v>105</v>
      </c>
      <c r="F12" s="19">
        <v>193.7</v>
      </c>
      <c r="G12" s="33">
        <v>154</v>
      </c>
      <c r="H12" s="19">
        <v>202.5</v>
      </c>
      <c r="I12" s="33">
        <v>203</v>
      </c>
      <c r="J12" s="19">
        <v>208.5</v>
      </c>
      <c r="L12" s="22">
        <v>7</v>
      </c>
      <c r="M12" s="19">
        <v>210.2</v>
      </c>
      <c r="N12" s="22">
        <v>56</v>
      </c>
      <c r="O12" s="19">
        <v>198.1</v>
      </c>
      <c r="P12" s="22">
        <f t="shared" si="1"/>
        <v>105</v>
      </c>
      <c r="Q12" s="19">
        <v>193.7</v>
      </c>
      <c r="R12" s="33">
        <v>154</v>
      </c>
      <c r="S12" s="19"/>
      <c r="T12" s="33">
        <v>203</v>
      </c>
      <c r="U12" s="19"/>
      <c r="W12" s="22">
        <v>7</v>
      </c>
      <c r="X12" s="19"/>
      <c r="Y12" s="22">
        <v>56</v>
      </c>
      <c r="Z12" s="19"/>
      <c r="AA12" s="22">
        <f t="shared" si="2"/>
        <v>105</v>
      </c>
      <c r="AB12" s="19"/>
      <c r="AC12" s="33">
        <v>154</v>
      </c>
      <c r="AD12" s="19">
        <v>202.5</v>
      </c>
      <c r="AE12" s="33">
        <v>203</v>
      </c>
      <c r="AF12" s="19">
        <v>208.5</v>
      </c>
    </row>
    <row r="13" spans="1:32" ht="15.75" x14ac:dyDescent="0.25">
      <c r="A13" s="22">
        <v>8</v>
      </c>
      <c r="B13" s="19">
        <v>207.1</v>
      </c>
      <c r="C13" s="22">
        <v>57</v>
      </c>
      <c r="D13" s="19">
        <v>197.2</v>
      </c>
      <c r="E13" s="22">
        <f t="shared" si="0"/>
        <v>106</v>
      </c>
      <c r="F13" s="19">
        <v>198.3</v>
      </c>
      <c r="G13" s="33">
        <v>155</v>
      </c>
      <c r="H13" s="19">
        <v>205</v>
      </c>
      <c r="I13" s="33">
        <v>204</v>
      </c>
      <c r="J13" s="19">
        <v>195.9</v>
      </c>
      <c r="L13" s="22">
        <v>8</v>
      </c>
      <c r="M13" s="19">
        <v>207.1</v>
      </c>
      <c r="N13" s="22">
        <v>57</v>
      </c>
      <c r="O13" s="19">
        <v>197.2</v>
      </c>
      <c r="P13" s="22">
        <f t="shared" si="1"/>
        <v>106</v>
      </c>
      <c r="Q13" s="19">
        <v>198.3</v>
      </c>
      <c r="R13" s="33">
        <v>155</v>
      </c>
      <c r="S13" s="19"/>
      <c r="T13" s="33">
        <v>204</v>
      </c>
      <c r="U13" s="19"/>
      <c r="W13" s="22">
        <v>8</v>
      </c>
      <c r="X13" s="19"/>
      <c r="Y13" s="22">
        <v>57</v>
      </c>
      <c r="Z13" s="19"/>
      <c r="AA13" s="22">
        <f t="shared" si="2"/>
        <v>106</v>
      </c>
      <c r="AB13" s="19"/>
      <c r="AC13" s="33">
        <v>155</v>
      </c>
      <c r="AD13" s="19">
        <v>205</v>
      </c>
      <c r="AE13" s="33">
        <v>204</v>
      </c>
      <c r="AF13" s="19">
        <v>195.9</v>
      </c>
    </row>
    <row r="14" spans="1:32" ht="15.75" x14ac:dyDescent="0.25">
      <c r="A14" s="22">
        <v>9</v>
      </c>
      <c r="B14" s="19">
        <v>199.9</v>
      </c>
      <c r="C14" s="22">
        <v>58</v>
      </c>
      <c r="D14" s="19">
        <v>192.2</v>
      </c>
      <c r="E14" s="22">
        <f t="shared" si="0"/>
        <v>107</v>
      </c>
      <c r="F14" s="19">
        <v>195.1</v>
      </c>
      <c r="G14" s="33">
        <v>156</v>
      </c>
      <c r="H14" s="19">
        <v>207</v>
      </c>
      <c r="I14" s="33">
        <v>205</v>
      </c>
      <c r="J14" s="19">
        <v>203.9</v>
      </c>
      <c r="L14" s="22">
        <v>9</v>
      </c>
      <c r="M14" s="19">
        <v>199.9</v>
      </c>
      <c r="N14" s="22">
        <v>58</v>
      </c>
      <c r="O14" s="19">
        <v>192.2</v>
      </c>
      <c r="P14" s="22">
        <f t="shared" si="1"/>
        <v>107</v>
      </c>
      <c r="Q14" s="19">
        <v>195.1</v>
      </c>
      <c r="R14" s="33">
        <v>156</v>
      </c>
      <c r="S14" s="19"/>
      <c r="T14" s="33">
        <v>205</v>
      </c>
      <c r="U14" s="19"/>
      <c r="W14" s="22">
        <v>9</v>
      </c>
      <c r="X14" s="19"/>
      <c r="Y14" s="22">
        <v>58</v>
      </c>
      <c r="Z14" s="19"/>
      <c r="AA14" s="22">
        <f t="shared" si="2"/>
        <v>107</v>
      </c>
      <c r="AB14" s="19"/>
      <c r="AC14" s="33">
        <v>156</v>
      </c>
      <c r="AD14" s="19">
        <v>207</v>
      </c>
      <c r="AE14" s="33">
        <v>205</v>
      </c>
      <c r="AF14" s="19">
        <v>203.9</v>
      </c>
    </row>
    <row r="15" spans="1:32" ht="15.75" x14ac:dyDescent="0.25">
      <c r="A15" s="22">
        <v>10</v>
      </c>
      <c r="B15" s="19">
        <v>208.8</v>
      </c>
      <c r="C15" s="22">
        <v>59</v>
      </c>
      <c r="D15" s="19">
        <v>200.4</v>
      </c>
      <c r="E15" s="22">
        <f t="shared" si="0"/>
        <v>108</v>
      </c>
      <c r="F15" s="19">
        <v>197.3</v>
      </c>
      <c r="G15" s="33">
        <v>157</v>
      </c>
      <c r="H15" s="19">
        <v>203.6</v>
      </c>
      <c r="I15" s="33">
        <v>206</v>
      </c>
      <c r="J15" s="19">
        <v>192.1</v>
      </c>
      <c r="L15" s="22">
        <v>10</v>
      </c>
      <c r="M15" s="19">
        <v>208.8</v>
      </c>
      <c r="N15" s="22">
        <v>59</v>
      </c>
      <c r="O15" s="19">
        <v>200.4</v>
      </c>
      <c r="P15" s="22">
        <f t="shared" si="1"/>
        <v>108</v>
      </c>
      <c r="Q15" s="19">
        <v>197.3</v>
      </c>
      <c r="R15" s="33">
        <v>157</v>
      </c>
      <c r="S15" s="19"/>
      <c r="T15" s="33">
        <v>206</v>
      </c>
      <c r="U15" s="19"/>
      <c r="W15" s="22">
        <v>10</v>
      </c>
      <c r="X15" s="19"/>
      <c r="Y15" s="22">
        <v>59</v>
      </c>
      <c r="Z15" s="19"/>
      <c r="AA15" s="22">
        <f t="shared" si="2"/>
        <v>108</v>
      </c>
      <c r="AB15" s="19"/>
      <c r="AC15" s="33">
        <v>157</v>
      </c>
      <c r="AD15" s="19">
        <v>203.6</v>
      </c>
      <c r="AE15" s="33">
        <v>206</v>
      </c>
      <c r="AF15" s="19">
        <v>192.1</v>
      </c>
    </row>
    <row r="16" spans="1:32" ht="15.75" x14ac:dyDescent="0.25">
      <c r="A16" s="22">
        <v>11</v>
      </c>
      <c r="B16" s="19">
        <v>202.3</v>
      </c>
      <c r="C16" s="22">
        <v>60</v>
      </c>
      <c r="D16" s="19">
        <v>200.3</v>
      </c>
      <c r="E16" s="22">
        <f t="shared" si="0"/>
        <v>109</v>
      </c>
      <c r="F16" s="19">
        <v>197.1</v>
      </c>
      <c r="G16" s="33">
        <v>158</v>
      </c>
      <c r="H16" s="19">
        <v>200</v>
      </c>
      <c r="I16" s="33">
        <v>207</v>
      </c>
      <c r="J16" s="19">
        <v>202.1</v>
      </c>
      <c r="L16" s="22">
        <v>11</v>
      </c>
      <c r="M16" s="19">
        <v>202.3</v>
      </c>
      <c r="N16" s="22">
        <v>60</v>
      </c>
      <c r="O16" s="19">
        <v>200.3</v>
      </c>
      <c r="P16" s="22">
        <f t="shared" si="1"/>
        <v>109</v>
      </c>
      <c r="Q16" s="19">
        <v>197.1</v>
      </c>
      <c r="R16" s="33">
        <v>158</v>
      </c>
      <c r="S16" s="19"/>
      <c r="T16" s="33">
        <v>207</v>
      </c>
      <c r="U16" s="19"/>
      <c r="W16" s="22">
        <v>11</v>
      </c>
      <c r="X16" s="19"/>
      <c r="Y16" s="22">
        <v>60</v>
      </c>
      <c r="Z16" s="19"/>
      <c r="AA16" s="22">
        <f t="shared" si="2"/>
        <v>109</v>
      </c>
      <c r="AB16" s="19"/>
      <c r="AC16" s="33">
        <v>158</v>
      </c>
      <c r="AD16" s="19">
        <v>200</v>
      </c>
      <c r="AE16" s="33">
        <v>207</v>
      </c>
      <c r="AF16" s="19">
        <v>202.1</v>
      </c>
    </row>
    <row r="17" spans="1:32" ht="15.75" x14ac:dyDescent="0.25">
      <c r="A17" s="22">
        <v>12</v>
      </c>
      <c r="B17" s="19">
        <v>206.2</v>
      </c>
      <c r="C17" s="22">
        <v>61</v>
      </c>
      <c r="D17" s="19">
        <v>196.1</v>
      </c>
      <c r="E17" s="22">
        <f t="shared" si="0"/>
        <v>110</v>
      </c>
      <c r="F17" s="19">
        <v>201.4</v>
      </c>
      <c r="G17" s="33">
        <v>159</v>
      </c>
      <c r="H17" s="19">
        <v>219</v>
      </c>
      <c r="I17" s="33">
        <v>208</v>
      </c>
      <c r="J17" s="19">
        <v>201.1</v>
      </c>
      <c r="L17" s="22">
        <v>12</v>
      </c>
      <c r="M17" s="19">
        <v>206.2</v>
      </c>
      <c r="N17" s="22">
        <v>61</v>
      </c>
      <c r="O17" s="19">
        <v>196.1</v>
      </c>
      <c r="P17" s="22">
        <f t="shared" si="1"/>
        <v>110</v>
      </c>
      <c r="Q17" s="19"/>
      <c r="R17" s="33">
        <v>159</v>
      </c>
      <c r="S17" s="19"/>
      <c r="T17" s="33">
        <v>208</v>
      </c>
      <c r="U17" s="19"/>
      <c r="W17" s="22">
        <v>12</v>
      </c>
      <c r="X17" s="19"/>
      <c r="Y17" s="22">
        <v>61</v>
      </c>
      <c r="Z17" s="19"/>
      <c r="AA17" s="22">
        <f t="shared" si="2"/>
        <v>110</v>
      </c>
      <c r="AB17" s="19">
        <v>201.4</v>
      </c>
      <c r="AC17" s="33">
        <v>159</v>
      </c>
      <c r="AD17" s="19">
        <v>219</v>
      </c>
      <c r="AE17" s="33">
        <v>208</v>
      </c>
      <c r="AF17" s="19">
        <v>201.1</v>
      </c>
    </row>
    <row r="18" spans="1:32" ht="15.75" x14ac:dyDescent="0.25">
      <c r="A18" s="22">
        <v>13</v>
      </c>
      <c r="B18" s="19">
        <v>202.8</v>
      </c>
      <c r="C18" s="22">
        <v>62</v>
      </c>
      <c r="D18" s="19">
        <v>200.7</v>
      </c>
      <c r="E18" s="22">
        <f t="shared" si="0"/>
        <v>111</v>
      </c>
      <c r="F18" s="19">
        <v>200.7</v>
      </c>
      <c r="G18" s="33">
        <v>160</v>
      </c>
      <c r="H18" s="19">
        <v>213.9</v>
      </c>
      <c r="I18" s="33">
        <v>209</v>
      </c>
      <c r="J18" s="19">
        <v>196.4</v>
      </c>
      <c r="L18" s="22">
        <v>13</v>
      </c>
      <c r="M18" s="19">
        <v>202.8</v>
      </c>
      <c r="N18" s="22">
        <v>62</v>
      </c>
      <c r="O18" s="19">
        <v>200.7</v>
      </c>
      <c r="P18" s="22">
        <f t="shared" si="1"/>
        <v>111</v>
      </c>
      <c r="Q18" s="19"/>
      <c r="R18" s="33">
        <v>160</v>
      </c>
      <c r="S18" s="19"/>
      <c r="T18" s="33">
        <v>209</v>
      </c>
      <c r="U18" s="19"/>
      <c r="W18" s="22">
        <v>13</v>
      </c>
      <c r="X18" s="19"/>
      <c r="Y18" s="22">
        <v>62</v>
      </c>
      <c r="Z18" s="19"/>
      <c r="AA18" s="22">
        <f t="shared" si="2"/>
        <v>111</v>
      </c>
      <c r="AB18" s="19">
        <v>200.7</v>
      </c>
      <c r="AC18" s="33">
        <v>160</v>
      </c>
      <c r="AD18" s="19">
        <v>213.9</v>
      </c>
      <c r="AE18" s="33">
        <v>209</v>
      </c>
      <c r="AF18" s="19">
        <v>196.4</v>
      </c>
    </row>
    <row r="19" spans="1:32" ht="15.75" x14ac:dyDescent="0.25">
      <c r="A19" s="22">
        <v>14</v>
      </c>
      <c r="B19" s="19">
        <v>209.1</v>
      </c>
      <c r="C19" s="22">
        <v>63</v>
      </c>
      <c r="D19" s="19">
        <v>200.1</v>
      </c>
      <c r="E19" s="22">
        <f t="shared" si="0"/>
        <v>112</v>
      </c>
      <c r="F19" s="19">
        <v>205.3</v>
      </c>
      <c r="G19" s="33">
        <v>161</v>
      </c>
      <c r="H19" s="19">
        <v>196.7</v>
      </c>
      <c r="I19" s="33">
        <v>210</v>
      </c>
      <c r="J19" s="19">
        <v>201.7</v>
      </c>
      <c r="L19" s="22">
        <v>14</v>
      </c>
      <c r="M19" s="19">
        <v>209.1</v>
      </c>
      <c r="N19" s="22">
        <v>63</v>
      </c>
      <c r="O19" s="19">
        <v>200.1</v>
      </c>
      <c r="P19" s="22">
        <f t="shared" si="1"/>
        <v>112</v>
      </c>
      <c r="Q19" s="19"/>
      <c r="R19" s="33">
        <v>161</v>
      </c>
      <c r="S19" s="19"/>
      <c r="T19" s="33">
        <v>210</v>
      </c>
      <c r="U19" s="19"/>
      <c r="W19" s="22">
        <v>14</v>
      </c>
      <c r="X19" s="19"/>
      <c r="Y19" s="22">
        <v>63</v>
      </c>
      <c r="Z19" s="19"/>
      <c r="AA19" s="22">
        <f t="shared" si="2"/>
        <v>112</v>
      </c>
      <c r="AB19" s="19">
        <v>205.3</v>
      </c>
      <c r="AC19" s="33">
        <v>161</v>
      </c>
      <c r="AD19" s="19">
        <v>196.7</v>
      </c>
      <c r="AE19" s="33">
        <v>210</v>
      </c>
      <c r="AF19" s="19">
        <v>201.7</v>
      </c>
    </row>
    <row r="20" spans="1:32" ht="15.75" x14ac:dyDescent="0.25">
      <c r="A20" s="22">
        <v>15</v>
      </c>
      <c r="B20" s="19">
        <v>199</v>
      </c>
      <c r="C20" s="22">
        <v>64</v>
      </c>
      <c r="D20" s="19">
        <v>206.9</v>
      </c>
      <c r="E20" s="22">
        <f t="shared" si="0"/>
        <v>113</v>
      </c>
      <c r="F20" s="19">
        <v>203.2</v>
      </c>
      <c r="G20" s="35">
        <v>162</v>
      </c>
      <c r="H20" s="19">
        <v>200.4</v>
      </c>
      <c r="I20" s="33">
        <v>211</v>
      </c>
      <c r="J20" s="19">
        <v>199.6</v>
      </c>
      <c r="L20" s="22">
        <v>15</v>
      </c>
      <c r="M20" s="19">
        <v>199</v>
      </c>
      <c r="N20" s="22">
        <v>64</v>
      </c>
      <c r="O20" s="19">
        <v>206.9</v>
      </c>
      <c r="P20" s="22">
        <f t="shared" si="1"/>
        <v>113</v>
      </c>
      <c r="Q20" s="19"/>
      <c r="R20" s="35">
        <v>162</v>
      </c>
      <c r="S20" s="19"/>
      <c r="T20" s="33">
        <v>211</v>
      </c>
      <c r="U20" s="19"/>
      <c r="W20" s="22">
        <v>15</v>
      </c>
      <c r="X20" s="19"/>
      <c r="Y20" s="22">
        <v>64</v>
      </c>
      <c r="Z20" s="19"/>
      <c r="AA20" s="22">
        <f t="shared" si="2"/>
        <v>113</v>
      </c>
      <c r="AB20" s="19">
        <v>203.2</v>
      </c>
      <c r="AC20" s="35">
        <v>162</v>
      </c>
      <c r="AD20" s="19">
        <v>200.4</v>
      </c>
      <c r="AE20" s="33">
        <v>211</v>
      </c>
      <c r="AF20" s="19">
        <v>199.6</v>
      </c>
    </row>
    <row r="21" spans="1:32" ht="15.75" x14ac:dyDescent="0.25">
      <c r="A21" s="22">
        <v>16</v>
      </c>
      <c r="B21" s="19">
        <v>205.9</v>
      </c>
      <c r="C21" s="22">
        <v>65</v>
      </c>
      <c r="D21" s="19">
        <v>200.2</v>
      </c>
      <c r="E21" s="22">
        <f t="shared" si="0"/>
        <v>114</v>
      </c>
      <c r="F21" s="19">
        <v>204</v>
      </c>
      <c r="G21" s="35">
        <v>163</v>
      </c>
      <c r="H21" s="19">
        <v>193.3</v>
      </c>
      <c r="I21" s="33">
        <v>212</v>
      </c>
      <c r="J21" s="19">
        <v>200.7</v>
      </c>
      <c r="L21" s="22">
        <v>16</v>
      </c>
      <c r="M21" s="19">
        <v>205.9</v>
      </c>
      <c r="N21" s="22">
        <v>65</v>
      </c>
      <c r="O21" s="19">
        <v>200.2</v>
      </c>
      <c r="P21" s="22">
        <f t="shared" si="1"/>
        <v>114</v>
      </c>
      <c r="Q21" s="19"/>
      <c r="R21" s="35">
        <v>163</v>
      </c>
      <c r="S21" s="19"/>
      <c r="T21" s="33">
        <v>212</v>
      </c>
      <c r="U21" s="19"/>
      <c r="W21" s="22">
        <v>16</v>
      </c>
      <c r="X21" s="19"/>
      <c r="Y21" s="22">
        <v>65</v>
      </c>
      <c r="Z21" s="19"/>
      <c r="AA21" s="22">
        <f t="shared" si="2"/>
        <v>114</v>
      </c>
      <c r="AB21" s="19">
        <v>204</v>
      </c>
      <c r="AC21" s="35">
        <v>163</v>
      </c>
      <c r="AD21" s="19">
        <v>193.3</v>
      </c>
      <c r="AE21" s="33">
        <v>212</v>
      </c>
      <c r="AF21" s="19">
        <v>200.7</v>
      </c>
    </row>
    <row r="22" spans="1:32" ht="15.75" x14ac:dyDescent="0.25">
      <c r="A22" s="22">
        <v>17</v>
      </c>
      <c r="B22" s="19">
        <v>206.3</v>
      </c>
      <c r="C22" s="22">
        <v>66</v>
      </c>
      <c r="D22" s="19">
        <v>197.1</v>
      </c>
      <c r="E22" s="22">
        <f t="shared" si="0"/>
        <v>115</v>
      </c>
      <c r="F22" s="19">
        <v>204.6</v>
      </c>
      <c r="G22" s="35">
        <v>164</v>
      </c>
      <c r="H22" s="19">
        <v>194.8</v>
      </c>
      <c r="I22" s="33">
        <v>213</v>
      </c>
      <c r="J22" s="19">
        <v>203</v>
      </c>
      <c r="L22" s="22">
        <v>17</v>
      </c>
      <c r="M22" s="19">
        <v>206.3</v>
      </c>
      <c r="N22" s="22">
        <v>66</v>
      </c>
      <c r="O22" s="19">
        <v>197.1</v>
      </c>
      <c r="P22" s="22">
        <f t="shared" si="1"/>
        <v>115</v>
      </c>
      <c r="Q22" s="19"/>
      <c r="R22" s="35">
        <v>164</v>
      </c>
      <c r="S22" s="19"/>
      <c r="T22" s="33">
        <v>213</v>
      </c>
      <c r="U22" s="19"/>
      <c r="W22" s="22">
        <v>17</v>
      </c>
      <c r="X22" s="19"/>
      <c r="Y22" s="22">
        <v>66</v>
      </c>
      <c r="Z22" s="19"/>
      <c r="AA22" s="22">
        <f t="shared" si="2"/>
        <v>115</v>
      </c>
      <c r="AB22" s="19">
        <v>204.6</v>
      </c>
      <c r="AC22" s="35">
        <v>164</v>
      </c>
      <c r="AD22" s="19">
        <v>194.8</v>
      </c>
      <c r="AE22" s="33">
        <v>213</v>
      </c>
      <c r="AF22" s="19">
        <v>203</v>
      </c>
    </row>
    <row r="23" spans="1:32" ht="15.75" x14ac:dyDescent="0.25">
      <c r="A23" s="22">
        <v>18</v>
      </c>
      <c r="B23" s="19">
        <v>207.4</v>
      </c>
      <c r="C23" s="22">
        <v>67</v>
      </c>
      <c r="D23" s="19">
        <v>203.1</v>
      </c>
      <c r="E23" s="22">
        <f t="shared" si="0"/>
        <v>116</v>
      </c>
      <c r="F23" s="19">
        <v>203.6</v>
      </c>
      <c r="G23" s="35">
        <v>165</v>
      </c>
      <c r="H23" s="19">
        <v>200.4</v>
      </c>
      <c r="I23" s="33">
        <v>214</v>
      </c>
      <c r="J23" s="19">
        <v>197.8</v>
      </c>
      <c r="L23" s="22">
        <v>18</v>
      </c>
      <c r="M23" s="19">
        <v>207.4</v>
      </c>
      <c r="N23" s="22">
        <v>67</v>
      </c>
      <c r="O23" s="19">
        <v>203.1</v>
      </c>
      <c r="P23" s="22">
        <f t="shared" si="1"/>
        <v>116</v>
      </c>
      <c r="Q23" s="19"/>
      <c r="R23" s="35">
        <v>165</v>
      </c>
      <c r="S23" s="19"/>
      <c r="T23" s="33">
        <v>214</v>
      </c>
      <c r="U23" s="19"/>
      <c r="W23" s="22">
        <v>18</v>
      </c>
      <c r="X23" s="19"/>
      <c r="Y23" s="22">
        <v>67</v>
      </c>
      <c r="Z23" s="19"/>
      <c r="AA23" s="22">
        <f t="shared" si="2"/>
        <v>116</v>
      </c>
      <c r="AB23" s="19">
        <v>203.6</v>
      </c>
      <c r="AC23" s="35">
        <v>165</v>
      </c>
      <c r="AD23" s="19">
        <v>200.4</v>
      </c>
      <c r="AE23" s="33">
        <v>214</v>
      </c>
      <c r="AF23" s="19">
        <v>197.8</v>
      </c>
    </row>
    <row r="24" spans="1:32" ht="15.75" x14ac:dyDescent="0.25">
      <c r="A24" s="22">
        <v>19</v>
      </c>
      <c r="B24" s="19">
        <v>204.7</v>
      </c>
      <c r="C24" s="22">
        <v>68</v>
      </c>
      <c r="D24" s="19">
        <v>205.1</v>
      </c>
      <c r="E24" s="22">
        <f t="shared" si="0"/>
        <v>117</v>
      </c>
      <c r="F24" s="19">
        <v>203.6</v>
      </c>
      <c r="G24" s="35">
        <v>166</v>
      </c>
      <c r="H24" s="19">
        <v>200.8</v>
      </c>
      <c r="I24" s="33">
        <v>215</v>
      </c>
      <c r="J24" s="19">
        <v>202.2</v>
      </c>
      <c r="L24" s="22">
        <v>19</v>
      </c>
      <c r="M24" s="19">
        <v>204.7</v>
      </c>
      <c r="N24" s="22">
        <v>68</v>
      </c>
      <c r="O24" s="19">
        <v>205.1</v>
      </c>
      <c r="P24" s="22">
        <f t="shared" si="1"/>
        <v>117</v>
      </c>
      <c r="Q24" s="19"/>
      <c r="R24" s="35">
        <v>166</v>
      </c>
      <c r="S24" s="19"/>
      <c r="T24" s="33">
        <v>215</v>
      </c>
      <c r="U24" s="19"/>
      <c r="W24" s="22">
        <v>19</v>
      </c>
      <c r="X24" s="19"/>
      <c r="Y24" s="22">
        <v>68</v>
      </c>
      <c r="Z24" s="19"/>
      <c r="AA24" s="22">
        <f t="shared" si="2"/>
        <v>117</v>
      </c>
      <c r="AB24" s="19">
        <v>203.6</v>
      </c>
      <c r="AC24" s="35">
        <v>166</v>
      </c>
      <c r="AD24" s="19">
        <v>200.8</v>
      </c>
      <c r="AE24" s="33">
        <v>215</v>
      </c>
      <c r="AF24" s="19">
        <v>202.2</v>
      </c>
    </row>
    <row r="25" spans="1:32" ht="15.75" x14ac:dyDescent="0.25">
      <c r="A25" s="22">
        <v>20</v>
      </c>
      <c r="B25" s="19">
        <v>201.7</v>
      </c>
      <c r="C25" s="22">
        <v>69</v>
      </c>
      <c r="D25" s="19">
        <v>194.8</v>
      </c>
      <c r="E25" s="22">
        <f t="shared" si="0"/>
        <v>118</v>
      </c>
      <c r="F25" s="19">
        <v>202</v>
      </c>
      <c r="G25" s="35">
        <v>167</v>
      </c>
      <c r="H25" s="19">
        <v>199.8</v>
      </c>
      <c r="I25" s="33">
        <v>216</v>
      </c>
      <c r="J25" s="19">
        <v>199.3</v>
      </c>
      <c r="L25" s="22">
        <v>20</v>
      </c>
      <c r="M25" s="19">
        <v>201.7</v>
      </c>
      <c r="N25" s="22">
        <v>69</v>
      </c>
      <c r="O25" s="19">
        <v>194.8</v>
      </c>
      <c r="P25" s="22">
        <f t="shared" si="1"/>
        <v>118</v>
      </c>
      <c r="Q25" s="19"/>
      <c r="R25" s="35">
        <v>167</v>
      </c>
      <c r="S25" s="19"/>
      <c r="T25" s="33">
        <v>216</v>
      </c>
      <c r="U25" s="19"/>
      <c r="W25" s="22">
        <v>20</v>
      </c>
      <c r="X25" s="19"/>
      <c r="Y25" s="22">
        <v>69</v>
      </c>
      <c r="Z25" s="19"/>
      <c r="AA25" s="22">
        <f t="shared" si="2"/>
        <v>118</v>
      </c>
      <c r="AB25" s="19">
        <v>202</v>
      </c>
      <c r="AC25" s="35">
        <v>167</v>
      </c>
      <c r="AD25" s="19">
        <v>199.8</v>
      </c>
      <c r="AE25" s="33">
        <v>216</v>
      </c>
      <c r="AF25" s="19">
        <v>199.3</v>
      </c>
    </row>
    <row r="26" spans="1:32" ht="15.75" x14ac:dyDescent="0.25">
      <c r="A26" s="22">
        <v>21</v>
      </c>
      <c r="B26" s="19">
        <v>200.1</v>
      </c>
      <c r="C26" s="22">
        <v>70</v>
      </c>
      <c r="D26" s="19">
        <v>196.8</v>
      </c>
      <c r="E26" s="22">
        <f t="shared" si="0"/>
        <v>119</v>
      </c>
      <c r="F26" s="19">
        <v>201.9</v>
      </c>
      <c r="G26" s="35">
        <v>168</v>
      </c>
      <c r="H26" s="19">
        <v>197.3</v>
      </c>
      <c r="I26" s="33">
        <v>217</v>
      </c>
      <c r="J26" s="19">
        <v>203.8</v>
      </c>
      <c r="L26" s="22">
        <v>21</v>
      </c>
      <c r="M26" s="19">
        <v>200.1</v>
      </c>
      <c r="N26" s="22">
        <v>70</v>
      </c>
      <c r="O26" s="19">
        <v>196.8</v>
      </c>
      <c r="P26" s="22">
        <f t="shared" si="1"/>
        <v>119</v>
      </c>
      <c r="Q26" s="19"/>
      <c r="R26" s="35">
        <v>168</v>
      </c>
      <c r="S26" s="19"/>
      <c r="T26" s="33">
        <v>217</v>
      </c>
      <c r="U26" s="19"/>
      <c r="W26" s="22">
        <v>21</v>
      </c>
      <c r="X26" s="19"/>
      <c r="Y26" s="22">
        <v>70</v>
      </c>
      <c r="Z26" s="19"/>
      <c r="AA26" s="22">
        <f t="shared" si="2"/>
        <v>119</v>
      </c>
      <c r="AB26" s="19">
        <v>201.9</v>
      </c>
      <c r="AC26" s="35">
        <v>168</v>
      </c>
      <c r="AD26" s="19">
        <v>197.3</v>
      </c>
      <c r="AE26" s="33">
        <v>217</v>
      </c>
      <c r="AF26" s="19">
        <v>203.8</v>
      </c>
    </row>
    <row r="27" spans="1:32" ht="15.75" x14ac:dyDescent="0.25">
      <c r="A27" s="22">
        <v>22</v>
      </c>
      <c r="B27" s="19">
        <v>197.9</v>
      </c>
      <c r="C27" s="22">
        <v>71</v>
      </c>
      <c r="D27" s="19">
        <v>201.2</v>
      </c>
      <c r="E27" s="22">
        <f t="shared" si="0"/>
        <v>120</v>
      </c>
      <c r="F27" s="19">
        <v>198</v>
      </c>
      <c r="G27" s="35">
        <v>169</v>
      </c>
      <c r="H27" s="19">
        <v>199.1</v>
      </c>
      <c r="I27" s="33">
        <v>218</v>
      </c>
      <c r="J27" s="19">
        <v>198.6</v>
      </c>
      <c r="L27" s="22">
        <v>22</v>
      </c>
      <c r="M27" s="19">
        <v>197.9</v>
      </c>
      <c r="N27" s="22">
        <v>71</v>
      </c>
      <c r="O27" s="19">
        <v>201.2</v>
      </c>
      <c r="P27" s="22">
        <f t="shared" si="1"/>
        <v>120</v>
      </c>
      <c r="Q27" s="19"/>
      <c r="R27" s="35">
        <v>169</v>
      </c>
      <c r="S27" s="19"/>
      <c r="T27" s="33">
        <v>218</v>
      </c>
      <c r="U27" s="19"/>
      <c r="W27" s="22">
        <v>22</v>
      </c>
      <c r="X27" s="19"/>
      <c r="Y27" s="22">
        <v>71</v>
      </c>
      <c r="Z27" s="19"/>
      <c r="AA27" s="22">
        <f t="shared" si="2"/>
        <v>120</v>
      </c>
      <c r="AB27" s="19">
        <v>198</v>
      </c>
      <c r="AC27" s="35">
        <v>169</v>
      </c>
      <c r="AD27" s="19">
        <v>199.1</v>
      </c>
      <c r="AE27" s="33">
        <v>218</v>
      </c>
      <c r="AF27" s="19">
        <v>198.6</v>
      </c>
    </row>
    <row r="28" spans="1:32" ht="15.75" x14ac:dyDescent="0.25">
      <c r="A28" s="22">
        <v>23</v>
      </c>
      <c r="B28" s="19">
        <v>196.9</v>
      </c>
      <c r="C28" s="22">
        <v>72</v>
      </c>
      <c r="D28" s="19">
        <v>204.8</v>
      </c>
      <c r="E28" s="22">
        <f t="shared" si="0"/>
        <v>121</v>
      </c>
      <c r="F28" s="19">
        <v>199.3</v>
      </c>
      <c r="G28" s="35">
        <v>170</v>
      </c>
      <c r="H28" s="19">
        <v>200.5</v>
      </c>
      <c r="I28" s="33">
        <v>219</v>
      </c>
      <c r="J28" s="19">
        <v>207.9</v>
      </c>
      <c r="L28" s="22">
        <v>23</v>
      </c>
      <c r="M28" s="19">
        <v>196.9</v>
      </c>
      <c r="N28" s="22">
        <v>72</v>
      </c>
      <c r="O28" s="19">
        <v>204.8</v>
      </c>
      <c r="P28" s="22">
        <f t="shared" si="1"/>
        <v>121</v>
      </c>
      <c r="Q28" s="19"/>
      <c r="R28" s="35">
        <v>170</v>
      </c>
      <c r="S28" s="19"/>
      <c r="T28" s="33">
        <v>219</v>
      </c>
      <c r="U28" s="19"/>
      <c r="W28" s="22">
        <v>23</v>
      </c>
      <c r="X28" s="19"/>
      <c r="Y28" s="22">
        <v>72</v>
      </c>
      <c r="Z28" s="19"/>
      <c r="AA28" s="22">
        <f t="shared" si="2"/>
        <v>121</v>
      </c>
      <c r="AB28" s="19">
        <v>199.3</v>
      </c>
      <c r="AC28" s="35">
        <v>170</v>
      </c>
      <c r="AD28" s="19">
        <v>200.5</v>
      </c>
      <c r="AE28" s="33">
        <v>219</v>
      </c>
      <c r="AF28" s="19">
        <v>207.9</v>
      </c>
    </row>
    <row r="29" spans="1:32" ht="15.75" x14ac:dyDescent="0.25">
      <c r="A29" s="22">
        <v>24</v>
      </c>
      <c r="B29" s="19">
        <v>197.7</v>
      </c>
      <c r="C29" s="22">
        <v>73</v>
      </c>
      <c r="D29" s="19">
        <v>200.9</v>
      </c>
      <c r="E29" s="22">
        <f t="shared" si="0"/>
        <v>122</v>
      </c>
      <c r="F29" s="19">
        <v>192.1</v>
      </c>
      <c r="G29" s="35">
        <v>171</v>
      </c>
      <c r="H29" s="19">
        <v>191</v>
      </c>
      <c r="I29" s="33">
        <v>220</v>
      </c>
      <c r="J29" s="122">
        <v>204.9</v>
      </c>
      <c r="L29" s="22">
        <v>24</v>
      </c>
      <c r="M29" s="19">
        <v>197.7</v>
      </c>
      <c r="N29" s="22">
        <v>73</v>
      </c>
      <c r="O29" s="19">
        <v>200.9</v>
      </c>
      <c r="P29" s="22">
        <f t="shared" si="1"/>
        <v>122</v>
      </c>
      <c r="Q29" s="19"/>
      <c r="R29" s="35">
        <v>171</v>
      </c>
      <c r="S29" s="19"/>
      <c r="T29" s="33">
        <v>220</v>
      </c>
      <c r="U29" s="122"/>
      <c r="W29" s="22">
        <v>24</v>
      </c>
      <c r="X29" s="19"/>
      <c r="Y29" s="22">
        <v>73</v>
      </c>
      <c r="Z29" s="19"/>
      <c r="AA29" s="22">
        <f t="shared" si="2"/>
        <v>122</v>
      </c>
      <c r="AB29" s="19">
        <v>192.1</v>
      </c>
      <c r="AC29" s="35">
        <v>171</v>
      </c>
      <c r="AD29" s="19">
        <v>191</v>
      </c>
      <c r="AE29" s="33">
        <v>220</v>
      </c>
      <c r="AF29" s="122">
        <v>204.9</v>
      </c>
    </row>
    <row r="30" spans="1:32" ht="15.75" x14ac:dyDescent="0.25">
      <c r="A30" s="22">
        <v>25</v>
      </c>
      <c r="B30" s="19">
        <v>223.1</v>
      </c>
      <c r="C30" s="22">
        <v>74</v>
      </c>
      <c r="D30" s="19">
        <v>199.8</v>
      </c>
      <c r="E30" s="22">
        <f t="shared" si="0"/>
        <v>123</v>
      </c>
      <c r="F30" s="19">
        <v>200</v>
      </c>
      <c r="G30" s="35">
        <v>172</v>
      </c>
      <c r="H30" s="19">
        <v>201.6</v>
      </c>
      <c r="I30" s="20"/>
      <c r="J30" s="36"/>
      <c r="L30" s="22">
        <v>25</v>
      </c>
      <c r="M30" s="19">
        <v>223.1</v>
      </c>
      <c r="N30" s="22">
        <v>74</v>
      </c>
      <c r="O30" s="19">
        <v>199.8</v>
      </c>
      <c r="P30" s="22">
        <f t="shared" si="1"/>
        <v>123</v>
      </c>
      <c r="Q30" s="19"/>
      <c r="R30" s="35">
        <v>172</v>
      </c>
      <c r="S30" s="19"/>
      <c r="T30" s="20"/>
      <c r="U30" s="36"/>
      <c r="W30" s="22">
        <v>25</v>
      </c>
      <c r="X30" s="19"/>
      <c r="Y30" s="22">
        <v>74</v>
      </c>
      <c r="Z30" s="19"/>
      <c r="AA30" s="22">
        <f t="shared" si="2"/>
        <v>123</v>
      </c>
      <c r="AB30" s="19">
        <v>200</v>
      </c>
      <c r="AC30" s="35">
        <v>172</v>
      </c>
      <c r="AD30" s="19">
        <v>201.6</v>
      </c>
      <c r="AE30" s="20"/>
      <c r="AF30" s="36"/>
    </row>
    <row r="31" spans="1:32" ht="15.75" x14ac:dyDescent="0.25">
      <c r="A31" s="22">
        <v>26</v>
      </c>
      <c r="B31" s="19">
        <v>199</v>
      </c>
      <c r="C31" s="22">
        <v>75</v>
      </c>
      <c r="D31" s="19">
        <v>189.8</v>
      </c>
      <c r="E31" s="22">
        <f t="shared" si="0"/>
        <v>124</v>
      </c>
      <c r="F31" s="19">
        <v>199.9</v>
      </c>
      <c r="G31" s="35">
        <v>173</v>
      </c>
      <c r="H31" s="19">
        <v>199.6</v>
      </c>
      <c r="I31" s="20"/>
      <c r="J31" s="36"/>
      <c r="L31" s="22">
        <v>26</v>
      </c>
      <c r="M31" s="19">
        <v>199</v>
      </c>
      <c r="N31" s="22">
        <v>75</v>
      </c>
      <c r="O31" s="19">
        <v>189.8</v>
      </c>
      <c r="P31" s="22">
        <f t="shared" si="1"/>
        <v>124</v>
      </c>
      <c r="Q31" s="19"/>
      <c r="R31" s="35">
        <v>173</v>
      </c>
      <c r="S31" s="19"/>
      <c r="T31" s="20"/>
      <c r="U31" s="36"/>
      <c r="W31" s="22">
        <v>26</v>
      </c>
      <c r="X31" s="19"/>
      <c r="Y31" s="22">
        <v>75</v>
      </c>
      <c r="Z31" s="19"/>
      <c r="AA31" s="22">
        <f t="shared" si="2"/>
        <v>124</v>
      </c>
      <c r="AB31" s="19">
        <v>199.9</v>
      </c>
      <c r="AC31" s="35">
        <v>173</v>
      </c>
      <c r="AD31" s="19">
        <v>199.6</v>
      </c>
      <c r="AE31" s="20"/>
      <c r="AF31" s="36"/>
    </row>
    <row r="32" spans="1:32" ht="15.75" x14ac:dyDescent="0.25">
      <c r="A32" s="22">
        <v>27</v>
      </c>
      <c r="B32" s="19">
        <v>198.4</v>
      </c>
      <c r="C32" s="22">
        <v>76</v>
      </c>
      <c r="D32" s="19">
        <v>195.2</v>
      </c>
      <c r="E32" s="22">
        <f t="shared" si="0"/>
        <v>125</v>
      </c>
      <c r="F32" s="19">
        <v>199.4</v>
      </c>
      <c r="G32" s="33">
        <v>174</v>
      </c>
      <c r="H32" s="19">
        <v>196.7</v>
      </c>
      <c r="I32" s="21"/>
      <c r="J32" s="36"/>
      <c r="L32" s="22">
        <v>27</v>
      </c>
      <c r="M32" s="19">
        <v>198.4</v>
      </c>
      <c r="N32" s="22">
        <v>76</v>
      </c>
      <c r="O32" s="19">
        <v>195.2</v>
      </c>
      <c r="P32" s="22">
        <f t="shared" si="1"/>
        <v>125</v>
      </c>
      <c r="Q32" s="19"/>
      <c r="R32" s="33">
        <v>174</v>
      </c>
      <c r="S32" s="19"/>
      <c r="T32" s="21"/>
      <c r="U32" s="36"/>
      <c r="W32" s="22">
        <v>27</v>
      </c>
      <c r="X32" s="19"/>
      <c r="Y32" s="22">
        <v>76</v>
      </c>
      <c r="Z32" s="19"/>
      <c r="AA32" s="22">
        <f t="shared" si="2"/>
        <v>125</v>
      </c>
      <c r="AB32" s="19">
        <v>199.4</v>
      </c>
      <c r="AC32" s="33">
        <v>174</v>
      </c>
      <c r="AD32" s="19">
        <v>196.7</v>
      </c>
      <c r="AE32" s="21"/>
      <c r="AF32" s="36"/>
    </row>
    <row r="33" spans="1:32" ht="15.75" x14ac:dyDescent="0.25">
      <c r="A33" s="22">
        <v>28</v>
      </c>
      <c r="B33" s="19">
        <v>199.1</v>
      </c>
      <c r="C33" s="22">
        <v>77</v>
      </c>
      <c r="D33" s="19">
        <v>200.3</v>
      </c>
      <c r="E33" s="22">
        <f t="shared" si="0"/>
        <v>126</v>
      </c>
      <c r="F33" s="19">
        <v>198.6</v>
      </c>
      <c r="G33" s="33">
        <v>175</v>
      </c>
      <c r="H33" s="19">
        <v>201.2</v>
      </c>
      <c r="I33" s="20"/>
      <c r="J33" s="36"/>
      <c r="L33" s="22">
        <v>28</v>
      </c>
      <c r="M33" s="19">
        <v>199.1</v>
      </c>
      <c r="N33" s="22">
        <v>77</v>
      </c>
      <c r="O33" s="19">
        <v>200.3</v>
      </c>
      <c r="P33" s="22">
        <f t="shared" si="1"/>
        <v>126</v>
      </c>
      <c r="Q33" s="19"/>
      <c r="R33" s="33">
        <v>175</v>
      </c>
      <c r="S33" s="19"/>
      <c r="T33" s="20"/>
      <c r="U33" s="36"/>
      <c r="W33" s="22">
        <v>28</v>
      </c>
      <c r="X33" s="19"/>
      <c r="Y33" s="22">
        <v>77</v>
      </c>
      <c r="Z33" s="19"/>
      <c r="AA33" s="22">
        <f t="shared" si="2"/>
        <v>126</v>
      </c>
      <c r="AB33" s="19">
        <v>198.6</v>
      </c>
      <c r="AC33" s="33">
        <v>175</v>
      </c>
      <c r="AD33" s="19">
        <v>201.2</v>
      </c>
      <c r="AE33" s="20"/>
      <c r="AF33" s="36"/>
    </row>
    <row r="34" spans="1:32" ht="15.75" x14ac:dyDescent="0.25">
      <c r="A34" s="22">
        <v>29</v>
      </c>
      <c r="B34" s="19">
        <v>205.1</v>
      </c>
      <c r="C34" s="22">
        <v>78</v>
      </c>
      <c r="D34" s="19">
        <v>194.5</v>
      </c>
      <c r="E34" s="22">
        <f t="shared" si="0"/>
        <v>127</v>
      </c>
      <c r="F34" s="19">
        <v>203.3</v>
      </c>
      <c r="G34" s="33">
        <v>176</v>
      </c>
      <c r="H34" s="19">
        <v>203.7</v>
      </c>
      <c r="I34" s="20"/>
      <c r="J34" s="36"/>
      <c r="L34" s="22">
        <v>29</v>
      </c>
      <c r="M34" s="19">
        <v>205.1</v>
      </c>
      <c r="N34" s="22">
        <v>78</v>
      </c>
      <c r="O34" s="19">
        <v>194.5</v>
      </c>
      <c r="P34" s="22">
        <f t="shared" si="1"/>
        <v>127</v>
      </c>
      <c r="Q34" s="19"/>
      <c r="R34" s="33">
        <v>176</v>
      </c>
      <c r="S34" s="19"/>
      <c r="T34" s="20"/>
      <c r="U34" s="36"/>
      <c r="W34" s="22">
        <v>29</v>
      </c>
      <c r="X34" s="19"/>
      <c r="Y34" s="22">
        <v>78</v>
      </c>
      <c r="Z34" s="19"/>
      <c r="AA34" s="22">
        <f t="shared" si="2"/>
        <v>127</v>
      </c>
      <c r="AB34" s="19">
        <v>203.3</v>
      </c>
      <c r="AC34" s="33">
        <v>176</v>
      </c>
      <c r="AD34" s="19">
        <v>203.7</v>
      </c>
      <c r="AE34" s="20"/>
      <c r="AF34" s="36"/>
    </row>
    <row r="35" spans="1:32" ht="15.75" x14ac:dyDescent="0.25">
      <c r="A35" s="22">
        <v>30</v>
      </c>
      <c r="B35" s="19">
        <v>203.6</v>
      </c>
      <c r="C35" s="22">
        <v>79</v>
      </c>
      <c r="D35" s="19">
        <v>196.1</v>
      </c>
      <c r="E35" s="22">
        <f t="shared" si="0"/>
        <v>128</v>
      </c>
      <c r="F35" s="19">
        <v>200.8</v>
      </c>
      <c r="G35" s="33">
        <v>177</v>
      </c>
      <c r="H35" s="19">
        <v>200.3</v>
      </c>
      <c r="I35" s="21"/>
      <c r="J35" s="36"/>
      <c r="L35" s="22">
        <v>30</v>
      </c>
      <c r="M35" s="19">
        <v>203.6</v>
      </c>
      <c r="N35" s="22">
        <v>79</v>
      </c>
      <c r="O35" s="19">
        <v>196.1</v>
      </c>
      <c r="P35" s="22">
        <f t="shared" si="1"/>
        <v>128</v>
      </c>
      <c r="Q35" s="19"/>
      <c r="R35" s="33">
        <v>177</v>
      </c>
      <c r="S35" s="19"/>
      <c r="T35" s="21"/>
      <c r="U35" s="36"/>
      <c r="W35" s="22">
        <v>30</v>
      </c>
      <c r="X35" s="19"/>
      <c r="Y35" s="22">
        <v>79</v>
      </c>
      <c r="Z35" s="19"/>
      <c r="AA35" s="22">
        <f t="shared" si="2"/>
        <v>128</v>
      </c>
      <c r="AB35" s="19">
        <v>200.8</v>
      </c>
      <c r="AC35" s="33">
        <v>177</v>
      </c>
      <c r="AD35" s="19">
        <v>200.3</v>
      </c>
      <c r="AE35" s="21"/>
      <c r="AF35" s="36"/>
    </row>
    <row r="36" spans="1:32" ht="15.75" x14ac:dyDescent="0.25">
      <c r="A36" s="22">
        <v>31</v>
      </c>
      <c r="B36" s="19">
        <v>205.2</v>
      </c>
      <c r="C36" s="22">
        <v>80</v>
      </c>
      <c r="D36" s="19">
        <v>192.8</v>
      </c>
      <c r="E36" s="22">
        <f t="shared" si="0"/>
        <v>129</v>
      </c>
      <c r="F36" s="19">
        <v>199</v>
      </c>
      <c r="G36" s="33">
        <v>178</v>
      </c>
      <c r="H36" s="19">
        <v>201.4</v>
      </c>
      <c r="I36" s="20"/>
      <c r="J36" s="36"/>
      <c r="L36" s="22">
        <v>31</v>
      </c>
      <c r="M36" s="19">
        <v>205.2</v>
      </c>
      <c r="N36" s="22">
        <v>80</v>
      </c>
      <c r="O36" s="19">
        <v>192.8</v>
      </c>
      <c r="P36" s="22">
        <f t="shared" si="1"/>
        <v>129</v>
      </c>
      <c r="Q36" s="19"/>
      <c r="R36" s="33">
        <v>178</v>
      </c>
      <c r="S36" s="19"/>
      <c r="T36" s="20"/>
      <c r="U36" s="36"/>
      <c r="W36" s="22">
        <v>31</v>
      </c>
      <c r="X36" s="19"/>
      <c r="Y36" s="22">
        <v>80</v>
      </c>
      <c r="Z36" s="19"/>
      <c r="AA36" s="22">
        <f t="shared" si="2"/>
        <v>129</v>
      </c>
      <c r="AB36" s="19">
        <v>199</v>
      </c>
      <c r="AC36" s="33">
        <v>178</v>
      </c>
      <c r="AD36" s="19">
        <v>201.4</v>
      </c>
      <c r="AE36" s="20"/>
      <c r="AF36" s="36"/>
    </row>
    <row r="37" spans="1:32" ht="15.75" x14ac:dyDescent="0.25">
      <c r="A37" s="22">
        <v>32</v>
      </c>
      <c r="B37" s="19">
        <v>202</v>
      </c>
      <c r="C37" s="22">
        <v>81</v>
      </c>
      <c r="D37" s="19">
        <v>198.1</v>
      </c>
      <c r="E37" s="22">
        <f t="shared" si="0"/>
        <v>130</v>
      </c>
      <c r="F37" s="19">
        <v>202.1</v>
      </c>
      <c r="G37" s="33">
        <v>179</v>
      </c>
      <c r="H37" s="19">
        <v>210.4</v>
      </c>
      <c r="I37" s="20"/>
      <c r="J37" s="36"/>
      <c r="L37" s="22">
        <v>32</v>
      </c>
      <c r="M37" s="19">
        <v>202</v>
      </c>
      <c r="N37" s="22">
        <v>81</v>
      </c>
      <c r="O37" s="19">
        <v>198.1</v>
      </c>
      <c r="P37" s="22">
        <f t="shared" si="1"/>
        <v>130</v>
      </c>
      <c r="Q37" s="19"/>
      <c r="R37" s="33">
        <v>179</v>
      </c>
      <c r="S37" s="19"/>
      <c r="T37" s="20"/>
      <c r="U37" s="36"/>
      <c r="W37" s="22">
        <v>32</v>
      </c>
      <c r="X37" s="19"/>
      <c r="Y37" s="22">
        <v>81</v>
      </c>
      <c r="Z37" s="19"/>
      <c r="AA37" s="22">
        <f t="shared" si="2"/>
        <v>130</v>
      </c>
      <c r="AB37" s="19">
        <v>202.1</v>
      </c>
      <c r="AC37" s="33">
        <v>179</v>
      </c>
      <c r="AD37" s="19">
        <v>210.4</v>
      </c>
      <c r="AE37" s="20"/>
      <c r="AF37" s="36"/>
    </row>
    <row r="38" spans="1:32" ht="15.75" x14ac:dyDescent="0.25">
      <c r="A38" s="22">
        <v>33</v>
      </c>
      <c r="B38" s="19">
        <v>200.6</v>
      </c>
      <c r="C38" s="22">
        <v>82</v>
      </c>
      <c r="D38" s="19">
        <v>199.6</v>
      </c>
      <c r="E38" s="22">
        <f t="shared" si="0"/>
        <v>131</v>
      </c>
      <c r="F38" s="19">
        <v>199.6</v>
      </c>
      <c r="G38" s="33">
        <v>180</v>
      </c>
      <c r="H38" s="19">
        <v>198.2</v>
      </c>
      <c r="I38" s="21"/>
      <c r="J38" s="36"/>
      <c r="L38" s="22">
        <v>33</v>
      </c>
      <c r="M38" s="19">
        <v>200.6</v>
      </c>
      <c r="N38" s="22">
        <v>82</v>
      </c>
      <c r="O38" s="19">
        <v>199.6</v>
      </c>
      <c r="P38" s="22">
        <f t="shared" si="1"/>
        <v>131</v>
      </c>
      <c r="Q38" s="19"/>
      <c r="R38" s="33">
        <v>180</v>
      </c>
      <c r="S38" s="19"/>
      <c r="T38" s="21"/>
      <c r="U38" s="36"/>
      <c r="W38" s="22">
        <v>33</v>
      </c>
      <c r="X38" s="19"/>
      <c r="Y38" s="22">
        <v>82</v>
      </c>
      <c r="Z38" s="19"/>
      <c r="AA38" s="22">
        <f t="shared" si="2"/>
        <v>131</v>
      </c>
      <c r="AB38" s="19">
        <v>199.6</v>
      </c>
      <c r="AC38" s="33">
        <v>180</v>
      </c>
      <c r="AD38" s="19">
        <v>198.2</v>
      </c>
      <c r="AE38" s="21"/>
      <c r="AF38" s="36"/>
    </row>
    <row r="39" spans="1:32" ht="15.75" x14ac:dyDescent="0.25">
      <c r="A39" s="22">
        <v>34</v>
      </c>
      <c r="B39" s="19">
        <v>205.7</v>
      </c>
      <c r="C39" s="22">
        <v>83</v>
      </c>
      <c r="D39" s="19">
        <v>203.1</v>
      </c>
      <c r="E39" s="22">
        <f t="shared" si="0"/>
        <v>132</v>
      </c>
      <c r="F39" s="19">
        <v>204.1</v>
      </c>
      <c r="G39" s="33">
        <v>181</v>
      </c>
      <c r="H39" s="19">
        <v>201.7</v>
      </c>
      <c r="I39" s="21"/>
      <c r="J39" s="36"/>
      <c r="L39" s="22">
        <v>34</v>
      </c>
      <c r="M39" s="19">
        <v>205.7</v>
      </c>
      <c r="N39" s="22">
        <v>83</v>
      </c>
      <c r="O39" s="19">
        <v>203.1</v>
      </c>
      <c r="P39" s="22">
        <f t="shared" si="1"/>
        <v>132</v>
      </c>
      <c r="Q39" s="19"/>
      <c r="R39" s="33">
        <v>181</v>
      </c>
      <c r="S39" s="19"/>
      <c r="T39" s="21"/>
      <c r="U39" s="36"/>
      <c r="W39" s="22">
        <v>34</v>
      </c>
      <c r="X39" s="19"/>
      <c r="Y39" s="22">
        <v>83</v>
      </c>
      <c r="Z39" s="19"/>
      <c r="AA39" s="22">
        <f t="shared" si="2"/>
        <v>132</v>
      </c>
      <c r="AB39" s="19">
        <v>204.1</v>
      </c>
      <c r="AC39" s="33">
        <v>181</v>
      </c>
      <c r="AD39" s="19">
        <v>201.7</v>
      </c>
      <c r="AE39" s="21"/>
      <c r="AF39" s="36"/>
    </row>
    <row r="40" spans="1:32" ht="15.75" x14ac:dyDescent="0.25">
      <c r="A40" s="22">
        <v>35</v>
      </c>
      <c r="B40" s="19">
        <v>198.5</v>
      </c>
      <c r="C40" s="22">
        <v>84</v>
      </c>
      <c r="D40" s="19">
        <v>198.8</v>
      </c>
      <c r="E40" s="22">
        <f t="shared" si="0"/>
        <v>133</v>
      </c>
      <c r="F40" s="19">
        <v>202.6</v>
      </c>
      <c r="G40" s="33">
        <v>182</v>
      </c>
      <c r="H40" s="19">
        <v>205.3</v>
      </c>
      <c r="I40" s="20"/>
      <c r="J40" s="36"/>
      <c r="L40" s="22">
        <v>35</v>
      </c>
      <c r="M40" s="19">
        <v>198.5</v>
      </c>
      <c r="N40" s="22">
        <v>84</v>
      </c>
      <c r="O40" s="19">
        <v>198.8</v>
      </c>
      <c r="P40" s="22">
        <f t="shared" si="1"/>
        <v>133</v>
      </c>
      <c r="Q40" s="19"/>
      <c r="R40" s="33">
        <v>182</v>
      </c>
      <c r="S40" s="19"/>
      <c r="T40" s="20"/>
      <c r="U40" s="36"/>
      <c r="W40" s="22">
        <v>35</v>
      </c>
      <c r="X40" s="19"/>
      <c r="Y40" s="22">
        <v>84</v>
      </c>
      <c r="Z40" s="19"/>
      <c r="AA40" s="22">
        <f t="shared" si="2"/>
        <v>133</v>
      </c>
      <c r="AB40" s="19">
        <v>202.6</v>
      </c>
      <c r="AC40" s="33">
        <v>182</v>
      </c>
      <c r="AD40" s="19">
        <v>205.3</v>
      </c>
      <c r="AE40" s="20"/>
      <c r="AF40" s="36"/>
    </row>
    <row r="41" spans="1:32" ht="15.75" x14ac:dyDescent="0.25">
      <c r="A41" s="22">
        <v>36</v>
      </c>
      <c r="B41" s="19">
        <v>204.5</v>
      </c>
      <c r="C41" s="22">
        <v>85</v>
      </c>
      <c r="D41" s="19">
        <v>200.7</v>
      </c>
      <c r="E41" s="22">
        <f t="shared" si="0"/>
        <v>134</v>
      </c>
      <c r="F41" s="19">
        <v>203.3</v>
      </c>
      <c r="G41" s="33">
        <v>183</v>
      </c>
      <c r="H41" s="19">
        <v>199.3</v>
      </c>
      <c r="I41" s="20"/>
      <c r="J41" s="36"/>
      <c r="L41" s="22">
        <v>36</v>
      </c>
      <c r="M41" s="19">
        <v>204.5</v>
      </c>
      <c r="N41" s="22">
        <v>85</v>
      </c>
      <c r="O41" s="19">
        <v>200.7</v>
      </c>
      <c r="P41" s="22">
        <f t="shared" si="1"/>
        <v>134</v>
      </c>
      <c r="Q41" s="19"/>
      <c r="R41" s="33">
        <v>183</v>
      </c>
      <c r="S41" s="19"/>
      <c r="T41" s="20"/>
      <c r="U41" s="36"/>
      <c r="W41" s="22">
        <v>36</v>
      </c>
      <c r="X41" s="19"/>
      <c r="Y41" s="22">
        <v>85</v>
      </c>
      <c r="Z41" s="19"/>
      <c r="AA41" s="22">
        <f t="shared" si="2"/>
        <v>134</v>
      </c>
      <c r="AB41" s="19">
        <v>203.3</v>
      </c>
      <c r="AC41" s="33">
        <v>183</v>
      </c>
      <c r="AD41" s="19">
        <v>199.3</v>
      </c>
      <c r="AE41" s="20"/>
      <c r="AF41" s="36"/>
    </row>
    <row r="42" spans="1:32" ht="15.75" x14ac:dyDescent="0.25">
      <c r="A42" s="22">
        <v>37</v>
      </c>
      <c r="B42" s="19">
        <v>197.5</v>
      </c>
      <c r="C42" s="22">
        <v>86</v>
      </c>
      <c r="D42" s="19">
        <v>199.2</v>
      </c>
      <c r="E42" s="22">
        <f t="shared" si="0"/>
        <v>135</v>
      </c>
      <c r="F42" s="19">
        <v>197</v>
      </c>
      <c r="G42" s="33">
        <v>184</v>
      </c>
      <c r="H42" s="19">
        <v>209</v>
      </c>
      <c r="I42" s="21"/>
      <c r="J42" s="36"/>
      <c r="L42" s="22">
        <v>37</v>
      </c>
      <c r="M42" s="19">
        <v>197.5</v>
      </c>
      <c r="N42" s="22">
        <v>86</v>
      </c>
      <c r="O42" s="19">
        <v>199.2</v>
      </c>
      <c r="P42" s="22">
        <f t="shared" si="1"/>
        <v>135</v>
      </c>
      <c r="Q42" s="19"/>
      <c r="R42" s="33">
        <v>184</v>
      </c>
      <c r="S42" s="19"/>
      <c r="T42" s="21"/>
      <c r="U42" s="36"/>
      <c r="W42" s="22">
        <v>37</v>
      </c>
      <c r="X42" s="19"/>
      <c r="Y42" s="22">
        <v>86</v>
      </c>
      <c r="Z42" s="19"/>
      <c r="AA42" s="22">
        <f t="shared" si="2"/>
        <v>135</v>
      </c>
      <c r="AB42" s="19">
        <v>197</v>
      </c>
      <c r="AC42" s="33">
        <v>184</v>
      </c>
      <c r="AD42" s="19">
        <v>209</v>
      </c>
      <c r="AE42" s="21"/>
      <c r="AF42" s="36"/>
    </row>
    <row r="43" spans="1:32" ht="15.75" x14ac:dyDescent="0.25">
      <c r="A43" s="22">
        <v>38</v>
      </c>
      <c r="B43" s="19">
        <v>204.1</v>
      </c>
      <c r="C43" s="22">
        <v>87</v>
      </c>
      <c r="D43" s="19">
        <v>199.7</v>
      </c>
      <c r="E43" s="22">
        <f t="shared" si="0"/>
        <v>136</v>
      </c>
      <c r="F43" s="19">
        <v>196.6</v>
      </c>
      <c r="G43" s="33">
        <v>185</v>
      </c>
      <c r="H43" s="19">
        <v>197.7</v>
      </c>
      <c r="I43" s="20"/>
      <c r="J43" s="36"/>
      <c r="L43" s="22">
        <v>38</v>
      </c>
      <c r="M43" s="19">
        <v>204.1</v>
      </c>
      <c r="N43" s="22">
        <v>87</v>
      </c>
      <c r="O43" s="19">
        <v>199.7</v>
      </c>
      <c r="P43" s="22">
        <f t="shared" si="1"/>
        <v>136</v>
      </c>
      <c r="Q43" s="19"/>
      <c r="R43" s="33">
        <v>185</v>
      </c>
      <c r="S43" s="19"/>
      <c r="T43" s="20"/>
      <c r="U43" s="36"/>
      <c r="W43" s="22">
        <v>38</v>
      </c>
      <c r="X43" s="19"/>
      <c r="Y43" s="22">
        <v>87</v>
      </c>
      <c r="Z43" s="19"/>
      <c r="AA43" s="22">
        <f t="shared" si="2"/>
        <v>136</v>
      </c>
      <c r="AB43" s="19">
        <v>196.6</v>
      </c>
      <c r="AC43" s="33">
        <v>185</v>
      </c>
      <c r="AD43" s="19">
        <v>197.7</v>
      </c>
      <c r="AE43" s="20"/>
      <c r="AF43" s="36"/>
    </row>
    <row r="44" spans="1:32" ht="15.75" x14ac:dyDescent="0.25">
      <c r="A44" s="22">
        <v>39</v>
      </c>
      <c r="B44" s="19">
        <v>202</v>
      </c>
      <c r="C44" s="22">
        <v>88</v>
      </c>
      <c r="D44" s="19">
        <v>195</v>
      </c>
      <c r="E44" s="22">
        <f t="shared" si="0"/>
        <v>137</v>
      </c>
      <c r="F44" s="19">
        <v>201.3</v>
      </c>
      <c r="G44" s="33">
        <v>186</v>
      </c>
      <c r="H44" s="19">
        <v>207.7</v>
      </c>
      <c r="I44" s="20"/>
      <c r="J44" s="36"/>
      <c r="L44" s="22">
        <v>39</v>
      </c>
      <c r="M44" s="19">
        <v>202</v>
      </c>
      <c r="N44" s="22">
        <v>88</v>
      </c>
      <c r="O44" s="19">
        <v>195</v>
      </c>
      <c r="P44" s="22">
        <f t="shared" si="1"/>
        <v>137</v>
      </c>
      <c r="Q44" s="19"/>
      <c r="R44" s="33">
        <v>186</v>
      </c>
      <c r="S44" s="19"/>
      <c r="T44" s="20"/>
      <c r="U44" s="36"/>
      <c r="W44" s="22">
        <v>39</v>
      </c>
      <c r="X44" s="19"/>
      <c r="Y44" s="22">
        <v>88</v>
      </c>
      <c r="Z44" s="19"/>
      <c r="AA44" s="22">
        <f t="shared" si="2"/>
        <v>137</v>
      </c>
      <c r="AB44" s="19">
        <v>201.3</v>
      </c>
      <c r="AC44" s="33">
        <v>186</v>
      </c>
      <c r="AD44" s="19">
        <v>207.7</v>
      </c>
      <c r="AE44" s="20"/>
      <c r="AF44" s="36"/>
    </row>
    <row r="45" spans="1:32" ht="15.75" x14ac:dyDescent="0.25">
      <c r="A45" s="22">
        <v>40</v>
      </c>
      <c r="B45" s="19">
        <v>203.6</v>
      </c>
      <c r="C45" s="22">
        <v>89</v>
      </c>
      <c r="D45" s="19">
        <v>190.9</v>
      </c>
      <c r="E45" s="22">
        <f t="shared" si="0"/>
        <v>138</v>
      </c>
      <c r="F45" s="19">
        <v>195.1</v>
      </c>
      <c r="G45" s="33">
        <v>187</v>
      </c>
      <c r="H45" s="19">
        <v>199.8</v>
      </c>
      <c r="I45" s="21"/>
      <c r="J45" s="36"/>
      <c r="L45" s="22">
        <v>40</v>
      </c>
      <c r="M45" s="19">
        <v>203.6</v>
      </c>
      <c r="N45" s="22">
        <v>89</v>
      </c>
      <c r="O45" s="19">
        <v>190.9</v>
      </c>
      <c r="P45" s="22">
        <f t="shared" si="1"/>
        <v>138</v>
      </c>
      <c r="Q45" s="19"/>
      <c r="R45" s="33">
        <v>187</v>
      </c>
      <c r="S45" s="19"/>
      <c r="T45" s="21"/>
      <c r="U45" s="36"/>
      <c r="W45" s="22">
        <v>40</v>
      </c>
      <c r="X45" s="19"/>
      <c r="Y45" s="22">
        <v>89</v>
      </c>
      <c r="Z45" s="19"/>
      <c r="AA45" s="22">
        <f t="shared" si="2"/>
        <v>138</v>
      </c>
      <c r="AB45" s="19">
        <v>195.1</v>
      </c>
      <c r="AC45" s="33">
        <v>187</v>
      </c>
      <c r="AD45" s="19">
        <v>199.8</v>
      </c>
      <c r="AE45" s="21"/>
      <c r="AF45" s="36"/>
    </row>
    <row r="46" spans="1:32" ht="15.75" x14ac:dyDescent="0.25">
      <c r="A46" s="22">
        <v>41</v>
      </c>
      <c r="B46" s="19">
        <v>202.7</v>
      </c>
      <c r="C46" s="22">
        <v>90</v>
      </c>
      <c r="D46" s="19">
        <v>193.4</v>
      </c>
      <c r="E46" s="22">
        <f t="shared" si="0"/>
        <v>139</v>
      </c>
      <c r="F46" s="19">
        <v>205.2</v>
      </c>
      <c r="G46" s="33">
        <v>188</v>
      </c>
      <c r="H46" s="19">
        <v>207.6</v>
      </c>
      <c r="I46" s="20"/>
      <c r="J46" s="36"/>
      <c r="L46" s="22">
        <v>41</v>
      </c>
      <c r="M46" s="19">
        <v>202.7</v>
      </c>
      <c r="N46" s="22">
        <v>90</v>
      </c>
      <c r="O46" s="19">
        <v>193.4</v>
      </c>
      <c r="P46" s="22">
        <f t="shared" si="1"/>
        <v>139</v>
      </c>
      <c r="Q46" s="19"/>
      <c r="R46" s="33">
        <v>188</v>
      </c>
      <c r="S46" s="19"/>
      <c r="T46" s="20"/>
      <c r="U46" s="36"/>
      <c r="W46" s="22">
        <v>41</v>
      </c>
      <c r="X46" s="19"/>
      <c r="Y46" s="22">
        <v>90</v>
      </c>
      <c r="Z46" s="19"/>
      <c r="AA46" s="22">
        <f t="shared" si="2"/>
        <v>139</v>
      </c>
      <c r="AB46" s="19">
        <v>205.2</v>
      </c>
      <c r="AC46" s="33">
        <v>188</v>
      </c>
      <c r="AD46" s="19">
        <v>207.6</v>
      </c>
      <c r="AE46" s="20"/>
      <c r="AF46" s="36"/>
    </row>
    <row r="47" spans="1:32" ht="15.75" x14ac:dyDescent="0.25">
      <c r="A47" s="22">
        <v>42</v>
      </c>
      <c r="B47" s="19">
        <v>205.3</v>
      </c>
      <c r="C47" s="22">
        <v>91</v>
      </c>
      <c r="D47" s="19">
        <v>192.9</v>
      </c>
      <c r="E47" s="22">
        <f t="shared" si="0"/>
        <v>140</v>
      </c>
      <c r="F47" s="19">
        <v>201.2</v>
      </c>
      <c r="G47" s="33">
        <v>189</v>
      </c>
      <c r="H47" s="19">
        <v>197.4</v>
      </c>
      <c r="I47" s="20"/>
      <c r="J47" s="36"/>
      <c r="L47" s="22">
        <v>42</v>
      </c>
      <c r="M47" s="19">
        <v>205.3</v>
      </c>
      <c r="N47" s="22">
        <v>91</v>
      </c>
      <c r="O47" s="19">
        <v>192.9</v>
      </c>
      <c r="P47" s="22">
        <f t="shared" si="1"/>
        <v>140</v>
      </c>
      <c r="Q47" s="19"/>
      <c r="R47" s="33">
        <v>189</v>
      </c>
      <c r="S47" s="19"/>
      <c r="T47" s="20"/>
      <c r="U47" s="36"/>
      <c r="W47" s="22">
        <v>42</v>
      </c>
      <c r="X47" s="19"/>
      <c r="Y47" s="22">
        <v>91</v>
      </c>
      <c r="Z47" s="19"/>
      <c r="AA47" s="22">
        <f t="shared" si="2"/>
        <v>140</v>
      </c>
      <c r="AB47" s="19">
        <v>201.2</v>
      </c>
      <c r="AC47" s="33">
        <v>189</v>
      </c>
      <c r="AD47" s="19">
        <v>197.4</v>
      </c>
      <c r="AE47" s="20"/>
      <c r="AF47" s="36"/>
    </row>
    <row r="48" spans="1:32" ht="15.75" x14ac:dyDescent="0.25">
      <c r="A48" s="22">
        <v>43</v>
      </c>
      <c r="B48" s="19">
        <v>205.6</v>
      </c>
      <c r="C48" s="22">
        <v>92</v>
      </c>
      <c r="D48" s="19">
        <v>194.2</v>
      </c>
      <c r="E48" s="22">
        <f t="shared" si="0"/>
        <v>141</v>
      </c>
      <c r="F48" s="19">
        <v>202.8</v>
      </c>
      <c r="G48" s="33">
        <v>190</v>
      </c>
      <c r="H48" s="19">
        <v>208.9</v>
      </c>
      <c r="I48" s="21"/>
      <c r="J48" s="36"/>
      <c r="L48" s="22">
        <v>43</v>
      </c>
      <c r="M48" s="19">
        <v>205.6</v>
      </c>
      <c r="N48" s="22">
        <v>92</v>
      </c>
      <c r="O48" s="19">
        <v>194.2</v>
      </c>
      <c r="P48" s="22">
        <f t="shared" si="1"/>
        <v>141</v>
      </c>
      <c r="Q48" s="19"/>
      <c r="R48" s="33">
        <v>190</v>
      </c>
      <c r="S48" s="19"/>
      <c r="T48" s="21"/>
      <c r="U48" s="36"/>
      <c r="W48" s="22">
        <v>43</v>
      </c>
      <c r="X48" s="19"/>
      <c r="Y48" s="22">
        <v>92</v>
      </c>
      <c r="Z48" s="19"/>
      <c r="AA48" s="22">
        <f t="shared" si="2"/>
        <v>141</v>
      </c>
      <c r="AB48" s="19">
        <v>202.8</v>
      </c>
      <c r="AC48" s="33">
        <v>190</v>
      </c>
      <c r="AD48" s="19">
        <v>208.9</v>
      </c>
      <c r="AE48" s="21"/>
      <c r="AF48" s="36"/>
    </row>
    <row r="49" spans="1:32" ht="15.75" x14ac:dyDescent="0.25">
      <c r="A49" s="22">
        <v>44</v>
      </c>
      <c r="B49" s="19">
        <v>208</v>
      </c>
      <c r="C49" s="22">
        <v>93</v>
      </c>
      <c r="D49" s="19">
        <v>182.4</v>
      </c>
      <c r="E49" s="22">
        <f t="shared" si="0"/>
        <v>142</v>
      </c>
      <c r="F49" s="19">
        <v>196.2</v>
      </c>
      <c r="G49" s="33">
        <v>191</v>
      </c>
      <c r="H49" s="19">
        <v>206.7</v>
      </c>
      <c r="I49" s="21"/>
      <c r="J49" s="36"/>
      <c r="L49" s="22">
        <v>44</v>
      </c>
      <c r="M49" s="19">
        <v>208</v>
      </c>
      <c r="N49" s="22">
        <v>93</v>
      </c>
      <c r="O49" s="19">
        <v>182.4</v>
      </c>
      <c r="P49" s="22">
        <f t="shared" si="1"/>
        <v>142</v>
      </c>
      <c r="Q49" s="19"/>
      <c r="R49" s="33">
        <v>191</v>
      </c>
      <c r="S49" s="19"/>
      <c r="T49" s="21"/>
      <c r="U49" s="36"/>
      <c r="W49" s="22">
        <v>44</v>
      </c>
      <c r="X49" s="19"/>
      <c r="Y49" s="22">
        <v>93</v>
      </c>
      <c r="Z49" s="19"/>
      <c r="AA49" s="22">
        <f t="shared" si="2"/>
        <v>142</v>
      </c>
      <c r="AB49" s="19">
        <v>196.2</v>
      </c>
      <c r="AC49" s="33">
        <v>191</v>
      </c>
      <c r="AD49" s="19">
        <v>206.7</v>
      </c>
      <c r="AE49" s="21"/>
      <c r="AF49" s="36"/>
    </row>
    <row r="50" spans="1:32" ht="15.75" x14ac:dyDescent="0.25">
      <c r="A50" s="22">
        <v>45</v>
      </c>
      <c r="B50" s="19">
        <v>202.6</v>
      </c>
      <c r="C50" s="22">
        <v>94</v>
      </c>
      <c r="D50" s="19">
        <v>200.2</v>
      </c>
      <c r="E50" s="22">
        <f t="shared" si="0"/>
        <v>143</v>
      </c>
      <c r="F50" s="19">
        <v>198.8</v>
      </c>
      <c r="G50" s="33">
        <v>192</v>
      </c>
      <c r="H50" s="19">
        <v>211.1</v>
      </c>
      <c r="I50" s="20"/>
      <c r="J50" s="36"/>
      <c r="L50" s="22">
        <v>45</v>
      </c>
      <c r="M50" s="19">
        <v>202.6</v>
      </c>
      <c r="N50" s="22">
        <v>94</v>
      </c>
      <c r="O50" s="19">
        <v>200.2</v>
      </c>
      <c r="P50" s="22">
        <f t="shared" si="1"/>
        <v>143</v>
      </c>
      <c r="Q50" s="19"/>
      <c r="R50" s="33">
        <v>192</v>
      </c>
      <c r="S50" s="19"/>
      <c r="T50" s="20"/>
      <c r="U50" s="36"/>
      <c r="W50" s="22">
        <v>45</v>
      </c>
      <c r="X50" s="19"/>
      <c r="Y50" s="22">
        <v>94</v>
      </c>
      <c r="Z50" s="19"/>
      <c r="AA50" s="22">
        <f t="shared" si="2"/>
        <v>143</v>
      </c>
      <c r="AB50" s="19">
        <v>198.8</v>
      </c>
      <c r="AC50" s="33">
        <v>192</v>
      </c>
      <c r="AD50" s="19">
        <v>211.1</v>
      </c>
      <c r="AE50" s="20"/>
      <c r="AF50" s="36"/>
    </row>
    <row r="51" spans="1:32" ht="15.75" x14ac:dyDescent="0.25">
      <c r="A51" s="22">
        <v>46</v>
      </c>
      <c r="B51" s="19">
        <v>198.1</v>
      </c>
      <c r="C51" s="22">
        <v>95</v>
      </c>
      <c r="D51" s="19">
        <v>196</v>
      </c>
      <c r="E51" s="22">
        <f t="shared" si="0"/>
        <v>144</v>
      </c>
      <c r="F51" s="19">
        <v>206.9</v>
      </c>
      <c r="G51" s="33">
        <v>193</v>
      </c>
      <c r="H51" s="19">
        <v>200.8</v>
      </c>
      <c r="I51" s="20"/>
      <c r="J51" s="36"/>
      <c r="L51" s="22">
        <v>46</v>
      </c>
      <c r="M51" s="19">
        <v>198.1</v>
      </c>
      <c r="N51" s="22">
        <v>95</v>
      </c>
      <c r="O51" s="19">
        <v>196</v>
      </c>
      <c r="P51" s="22">
        <f t="shared" si="1"/>
        <v>144</v>
      </c>
      <c r="Q51" s="19"/>
      <c r="R51" s="33">
        <v>193</v>
      </c>
      <c r="S51" s="19"/>
      <c r="T51" s="20"/>
      <c r="U51" s="36"/>
      <c r="W51" s="22">
        <v>46</v>
      </c>
      <c r="X51" s="19"/>
      <c r="Y51" s="22">
        <v>95</v>
      </c>
      <c r="Z51" s="19"/>
      <c r="AA51" s="22">
        <f t="shared" si="2"/>
        <v>144</v>
      </c>
      <c r="AB51" s="19">
        <v>206.9</v>
      </c>
      <c r="AC51" s="33">
        <v>193</v>
      </c>
      <c r="AD51" s="19">
        <v>200.8</v>
      </c>
      <c r="AE51" s="20"/>
      <c r="AF51" s="36"/>
    </row>
    <row r="52" spans="1:32" ht="15.75" x14ac:dyDescent="0.25">
      <c r="A52" s="22">
        <v>47</v>
      </c>
      <c r="B52" s="19">
        <v>201.4</v>
      </c>
      <c r="C52" s="22">
        <v>96</v>
      </c>
      <c r="D52" s="19">
        <v>213.5</v>
      </c>
      <c r="E52" s="22">
        <f t="shared" si="0"/>
        <v>145</v>
      </c>
      <c r="F52" s="19">
        <v>203.1</v>
      </c>
      <c r="G52" s="33">
        <v>194</v>
      </c>
      <c r="H52" s="19">
        <v>208.1</v>
      </c>
      <c r="I52" s="21"/>
      <c r="J52" s="36"/>
      <c r="L52" s="22">
        <v>47</v>
      </c>
      <c r="M52" s="19">
        <v>201.4</v>
      </c>
      <c r="N52" s="22">
        <v>96</v>
      </c>
      <c r="O52" s="19">
        <v>213.5</v>
      </c>
      <c r="P52" s="22">
        <f t="shared" si="1"/>
        <v>145</v>
      </c>
      <c r="Q52" s="19"/>
      <c r="R52" s="33">
        <v>194</v>
      </c>
      <c r="S52" s="19"/>
      <c r="T52" s="21"/>
      <c r="U52" s="36"/>
      <c r="W52" s="22">
        <v>47</v>
      </c>
      <c r="X52" s="19"/>
      <c r="Y52" s="22">
        <v>96</v>
      </c>
      <c r="Z52" s="19"/>
      <c r="AA52" s="22">
        <f t="shared" si="2"/>
        <v>145</v>
      </c>
      <c r="AB52" s="19">
        <v>203.1</v>
      </c>
      <c r="AC52" s="33">
        <v>194</v>
      </c>
      <c r="AD52" s="19">
        <v>208.1</v>
      </c>
      <c r="AE52" s="21"/>
      <c r="AF52" s="36"/>
    </row>
    <row r="53" spans="1:32" ht="15.75" x14ac:dyDescent="0.25">
      <c r="A53" s="22">
        <v>48</v>
      </c>
      <c r="B53" s="19">
        <v>194.1</v>
      </c>
      <c r="C53" s="22">
        <v>97</v>
      </c>
      <c r="D53" s="19">
        <v>193.5</v>
      </c>
      <c r="E53" s="22">
        <f t="shared" si="0"/>
        <v>146</v>
      </c>
      <c r="F53" s="19">
        <v>204.1</v>
      </c>
      <c r="G53" s="33">
        <v>195</v>
      </c>
      <c r="H53" s="19">
        <v>196.5</v>
      </c>
      <c r="I53" s="20"/>
      <c r="J53" s="36"/>
      <c r="L53" s="22">
        <v>48</v>
      </c>
      <c r="M53" s="19">
        <v>194.1</v>
      </c>
      <c r="N53" s="22">
        <v>97</v>
      </c>
      <c r="O53" s="19">
        <v>193.5</v>
      </c>
      <c r="P53" s="22">
        <f t="shared" si="1"/>
        <v>146</v>
      </c>
      <c r="Q53" s="19"/>
      <c r="R53" s="33">
        <v>195</v>
      </c>
      <c r="S53" s="19"/>
      <c r="T53" s="20"/>
      <c r="U53" s="36"/>
      <c r="W53" s="22">
        <v>48</v>
      </c>
      <c r="X53" s="19"/>
      <c r="Y53" s="22">
        <v>97</v>
      </c>
      <c r="Z53" s="19"/>
      <c r="AA53" s="22">
        <f t="shared" si="2"/>
        <v>146</v>
      </c>
      <c r="AB53" s="19">
        <v>204.1</v>
      </c>
      <c r="AC53" s="33">
        <v>195</v>
      </c>
      <c r="AD53" s="19">
        <v>196.5</v>
      </c>
      <c r="AE53" s="20"/>
      <c r="AF53" s="36"/>
    </row>
    <row r="54" spans="1:32" ht="15.75" x14ac:dyDescent="0.25">
      <c r="A54" s="37">
        <v>49</v>
      </c>
      <c r="B54" s="19">
        <v>202.7</v>
      </c>
      <c r="C54" s="37">
        <v>98</v>
      </c>
      <c r="D54" s="19">
        <v>200.5</v>
      </c>
      <c r="E54" s="22">
        <f t="shared" si="0"/>
        <v>147</v>
      </c>
      <c r="F54" s="19">
        <v>198.6</v>
      </c>
      <c r="G54" s="38">
        <v>196</v>
      </c>
      <c r="H54" s="19">
        <v>207.3</v>
      </c>
      <c r="I54" s="39"/>
      <c r="J54" s="40"/>
      <c r="L54" s="37">
        <v>49</v>
      </c>
      <c r="M54" s="19">
        <v>202.7</v>
      </c>
      <c r="N54" s="37">
        <v>98</v>
      </c>
      <c r="O54" s="19">
        <v>200.5</v>
      </c>
      <c r="P54" s="22">
        <f t="shared" si="1"/>
        <v>147</v>
      </c>
      <c r="Q54" s="19"/>
      <c r="R54" s="38">
        <v>196</v>
      </c>
      <c r="S54" s="19"/>
      <c r="T54" s="39"/>
      <c r="U54" s="40"/>
      <c r="W54" s="37">
        <v>49</v>
      </c>
      <c r="X54" s="19"/>
      <c r="Y54" s="37">
        <v>98</v>
      </c>
      <c r="Z54" s="19"/>
      <c r="AA54" s="22">
        <f t="shared" si="2"/>
        <v>147</v>
      </c>
      <c r="AB54" s="19">
        <v>198.6</v>
      </c>
      <c r="AC54" s="38">
        <v>196</v>
      </c>
      <c r="AD54" s="19">
        <v>207.3</v>
      </c>
      <c r="AE54" s="39"/>
      <c r="AF54" s="40"/>
    </row>
    <row r="55" spans="1:32" ht="15.75" x14ac:dyDescent="0.25">
      <c r="A55" s="41"/>
      <c r="B55" s="23">
        <f>SUM(B6:B54)</f>
        <v>9962.9000000000033</v>
      </c>
      <c r="C55" s="23"/>
      <c r="D55" s="23">
        <f>SUM(D6:D54)</f>
        <v>9702.3000000000011</v>
      </c>
      <c r="E55" s="23"/>
      <c r="F55" s="23">
        <f>SUM(F6:F54)</f>
        <v>9812.5000000000036</v>
      </c>
      <c r="G55" s="23"/>
      <c r="H55" s="23">
        <f>SUM(H6:H54)</f>
        <v>9924.2999999999993</v>
      </c>
      <c r="I55" s="41"/>
      <c r="J55" s="41">
        <f>SUM(J6:J54)</f>
        <v>4816.3999999999996</v>
      </c>
      <c r="L55" s="41"/>
      <c r="M55" s="23">
        <f>SUM(M6:M54)</f>
        <v>9962.9000000000033</v>
      </c>
      <c r="N55" s="23"/>
      <c r="O55" s="23">
        <f>SUM(O6:O54)</f>
        <v>9702.3000000000011</v>
      </c>
      <c r="P55" s="23"/>
      <c r="Q55" s="23">
        <f>SUM(Q6:Q54)</f>
        <v>2173.1999999999998</v>
      </c>
      <c r="R55" s="23"/>
      <c r="S55" s="23">
        <f>SUM(S6:S54)</f>
        <v>0</v>
      </c>
      <c r="T55" s="41"/>
      <c r="U55" s="41">
        <f>SUM(U6:U54)</f>
        <v>0</v>
      </c>
      <c r="W55" s="41"/>
      <c r="X55" s="23">
        <f>SUM(X6:X54)</f>
        <v>0</v>
      </c>
      <c r="Y55" s="23"/>
      <c r="Z55" s="23">
        <f>SUM(Z6:Z54)</f>
        <v>0</v>
      </c>
      <c r="AA55" s="23"/>
      <c r="AB55" s="23">
        <f>SUM(AB6:AB54)</f>
        <v>7639.3000000000038</v>
      </c>
      <c r="AC55" s="23"/>
      <c r="AD55" s="23">
        <f>SUM(AD6:AD54)</f>
        <v>9924.2999999999993</v>
      </c>
      <c r="AE55" s="41"/>
      <c r="AF55" s="41">
        <f>SUM(AF6:AF54)</f>
        <v>4816.3999999999996</v>
      </c>
    </row>
    <row r="56" spans="1:32" ht="15.75" x14ac:dyDescent="0.25">
      <c r="A56" s="42" t="s">
        <v>5</v>
      </c>
      <c r="B56" s="43">
        <f>COUNT(B6:B54,D6:D54,F6:F54,H6:H54,J6:J54)</f>
        <v>220</v>
      </c>
      <c r="C56" s="13" t="s">
        <v>6</v>
      </c>
      <c r="D56" s="44"/>
      <c r="E56" s="45">
        <f>B55+D55+F55+H55+J55</f>
        <v>44218.400000000009</v>
      </c>
      <c r="F56" s="24" t="s">
        <v>7</v>
      </c>
      <c r="G56" s="1">
        <f>B56*2.2</f>
        <v>484.00000000000006</v>
      </c>
      <c r="H56" s="13" t="s">
        <v>8</v>
      </c>
      <c r="I56" s="44"/>
      <c r="J56" s="45">
        <f>E56-G56</f>
        <v>43734.400000000009</v>
      </c>
      <c r="L56" s="42" t="s">
        <v>5</v>
      </c>
      <c r="M56" s="43">
        <f>COUNT(M6:M54,O6:O54,Q6:Q54,S6:S54,U6:U54)</f>
        <v>109</v>
      </c>
      <c r="N56" s="13" t="s">
        <v>6</v>
      </c>
      <c r="O56" s="44"/>
      <c r="P56" s="45">
        <f>M55+O55+Q55+S55+U55</f>
        <v>21838.400000000005</v>
      </c>
      <c r="Q56" s="24" t="s">
        <v>7</v>
      </c>
      <c r="R56" s="1">
        <f>M56*2.2</f>
        <v>239.8</v>
      </c>
      <c r="S56" s="13" t="s">
        <v>8</v>
      </c>
      <c r="T56" s="44"/>
      <c r="U56" s="45">
        <f>P56-R56</f>
        <v>21598.600000000006</v>
      </c>
      <c r="W56" s="42" t="s">
        <v>5</v>
      </c>
      <c r="X56" s="43">
        <f>COUNT(X6:X54,Z6:Z54,AB6:AB54,AD6:AD54,AF6:AF54)</f>
        <v>111</v>
      </c>
      <c r="Y56" s="13" t="s">
        <v>6</v>
      </c>
      <c r="Z56" s="44"/>
      <c r="AA56" s="45">
        <f>X55+Z55+AB55+AD55+AF55</f>
        <v>22380</v>
      </c>
      <c r="AB56" s="24" t="s">
        <v>7</v>
      </c>
      <c r="AC56" s="1">
        <f>X56*2.2</f>
        <v>244.20000000000002</v>
      </c>
      <c r="AD56" s="13" t="s">
        <v>8</v>
      </c>
      <c r="AE56" s="44"/>
      <c r="AF56" s="45">
        <f>AA56-AC56</f>
        <v>22135.8</v>
      </c>
    </row>
    <row r="57" spans="1:32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  <c r="L57" s="42" t="s">
        <v>9</v>
      </c>
      <c r="M57" s="25"/>
      <c r="N57" s="46"/>
      <c r="O57" s="44"/>
      <c r="P57" s="47"/>
      <c r="Q57" s="25"/>
      <c r="R57" s="48"/>
      <c r="S57" s="46"/>
      <c r="T57" s="44"/>
      <c r="U57" s="49"/>
      <c r="W57" s="42" t="s">
        <v>9</v>
      </c>
      <c r="X57" s="25"/>
      <c r="Y57" s="46"/>
      <c r="Z57" s="44"/>
      <c r="AA57" s="47"/>
      <c r="AB57" s="25"/>
      <c r="AC57" s="48"/>
      <c r="AD57" s="46"/>
      <c r="AE57" s="44"/>
      <c r="AF57" s="49"/>
    </row>
    <row r="59" spans="1:32" x14ac:dyDescent="0.25">
      <c r="F59" s="112" t="s">
        <v>61</v>
      </c>
      <c r="G59" s="112">
        <v>2.2000000000000002</v>
      </c>
      <c r="Q59" s="112" t="s">
        <v>61</v>
      </c>
      <c r="R59" s="112">
        <v>2.2000000000000002</v>
      </c>
      <c r="AB59" s="112" t="s">
        <v>61</v>
      </c>
      <c r="AC59" s="112">
        <v>2.2000000000000002</v>
      </c>
    </row>
    <row r="61" spans="1:32" x14ac:dyDescent="0.25">
      <c r="B61">
        <f>M56+X56</f>
        <v>220</v>
      </c>
      <c r="E61" s="80">
        <f>P56+AA56</f>
        <v>44218.400000000009</v>
      </c>
      <c r="J61" s="80">
        <f>U56+AF56</f>
        <v>43734.400000000009</v>
      </c>
    </row>
  </sheetData>
  <protectedRanges>
    <protectedRange password="CCE1" sqref="C6:C54 G6:G54 E6:E54 I6:I29 N6:N54 R6:R54 P6:P54 T6:T29 Y6:Y54 AC6:AC54 AA6:AA54 AE6:AE29" name="Диапазон1_3_1_7_2_1_1_1_1_1_1_1"/>
  </protectedRanges>
  <mergeCells count="6">
    <mergeCell ref="A1:J1"/>
    <mergeCell ref="I4:J4"/>
    <mergeCell ref="L1:U1"/>
    <mergeCell ref="T4:U4"/>
    <mergeCell ref="W1:AF1"/>
    <mergeCell ref="AE4:AF4"/>
  </mergeCells>
  <pageMargins left="0.7" right="0.7" top="0.75" bottom="0.75" header="0.3" footer="0.3"/>
  <pageSetup paperSize="9" scale="82" orientation="portrait" verticalDpi="0" r:id="rId1"/>
  <rowBreaks count="1" manualBreakCount="1">
    <brk id="58" max="16383" man="1"/>
  </rowBreaks>
  <colBreaks count="2" manualBreakCount="2">
    <brk id="10" max="57" man="1"/>
    <brk id="21" max="57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9"/>
  <sheetViews>
    <sheetView topLeftCell="A25" zoomScale="90" zoomScaleNormal="90" workbookViewId="0">
      <selection activeCell="J36" sqref="J36"/>
    </sheetView>
  </sheetViews>
  <sheetFormatPr defaultRowHeight="15" x14ac:dyDescent="0.25"/>
  <cols>
    <col min="11" max="11" width="2" customWidth="1"/>
    <col min="22" max="22" width="3.42578125" customWidth="1"/>
  </cols>
  <sheetData>
    <row r="1" spans="1:32" ht="18.75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L1" s="204" t="s">
        <v>0</v>
      </c>
      <c r="M1" s="204"/>
      <c r="N1" s="204"/>
      <c r="O1" s="204"/>
      <c r="P1" s="204"/>
      <c r="Q1" s="204"/>
      <c r="R1" s="204"/>
      <c r="S1" s="204"/>
      <c r="T1" s="204"/>
      <c r="U1" s="204"/>
      <c r="W1" s="204" t="s">
        <v>0</v>
      </c>
      <c r="X1" s="204"/>
      <c r="Y1" s="204"/>
      <c r="Z1" s="204"/>
      <c r="AA1" s="204"/>
      <c r="AB1" s="204"/>
      <c r="AC1" s="204"/>
      <c r="AD1" s="204"/>
      <c r="AE1" s="204"/>
      <c r="AF1" s="204"/>
    </row>
    <row r="2" spans="1:32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  <c r="L2" s="13" t="s">
        <v>1</v>
      </c>
      <c r="M2" s="13"/>
      <c r="N2" s="13"/>
      <c r="O2" s="13"/>
      <c r="P2" s="13"/>
      <c r="Q2" s="13"/>
      <c r="R2" s="27"/>
      <c r="S2" s="13"/>
      <c r="T2" s="13"/>
      <c r="U2" s="13"/>
      <c r="W2" s="13" t="s">
        <v>1</v>
      </c>
      <c r="X2" s="13"/>
      <c r="Y2" s="13"/>
      <c r="Z2" s="13"/>
      <c r="AA2" s="13"/>
      <c r="AB2" s="13"/>
      <c r="AC2" s="27"/>
      <c r="AD2" s="13"/>
      <c r="AE2" s="13"/>
      <c r="AF2" s="13"/>
    </row>
    <row r="3" spans="1:32" ht="15.75" x14ac:dyDescent="0.25">
      <c r="A3" s="25" t="s">
        <v>2</v>
      </c>
      <c r="B3" s="27">
        <v>209</v>
      </c>
      <c r="C3" s="14"/>
      <c r="D3" s="15"/>
      <c r="E3" s="16"/>
      <c r="F3" s="16"/>
      <c r="G3" s="16"/>
      <c r="H3" s="16"/>
      <c r="I3" s="16" t="s">
        <v>33</v>
      </c>
      <c r="J3" s="16"/>
      <c r="L3" s="25" t="s">
        <v>2</v>
      </c>
      <c r="M3" s="27">
        <v>209</v>
      </c>
      <c r="N3" s="14"/>
      <c r="O3" s="15"/>
      <c r="P3" s="16"/>
      <c r="Q3" s="16"/>
      <c r="R3" s="16"/>
      <c r="S3" s="16"/>
      <c r="T3" s="16" t="s">
        <v>33</v>
      </c>
      <c r="U3" s="16"/>
      <c r="W3" s="25" t="s">
        <v>2</v>
      </c>
      <c r="X3" s="27">
        <v>209</v>
      </c>
      <c r="Y3" s="14"/>
      <c r="Z3" s="15"/>
      <c r="AA3" s="16"/>
      <c r="AB3" s="16"/>
      <c r="AC3" s="16"/>
      <c r="AD3" s="16"/>
      <c r="AE3" s="16" t="s">
        <v>33</v>
      </c>
      <c r="AF3" s="16"/>
    </row>
    <row r="4" spans="1:32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  <c r="L4" s="17"/>
      <c r="M4" s="17"/>
      <c r="N4" s="17"/>
      <c r="O4" s="17"/>
      <c r="P4" s="17"/>
      <c r="Q4" s="17"/>
      <c r="R4" s="17"/>
      <c r="S4" s="28"/>
      <c r="T4" s="205" t="s">
        <v>48</v>
      </c>
      <c r="U4" s="206"/>
      <c r="W4" s="17"/>
      <c r="X4" s="17"/>
      <c r="Y4" s="17"/>
      <c r="Z4" s="17"/>
      <c r="AA4" s="17"/>
      <c r="AB4" s="17"/>
      <c r="AC4" s="17"/>
      <c r="AD4" s="28"/>
      <c r="AE4" s="205" t="s">
        <v>50</v>
      </c>
      <c r="AF4" s="206"/>
    </row>
    <row r="5" spans="1:32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  <c r="L5" s="29" t="s">
        <v>3</v>
      </c>
      <c r="M5" s="18" t="s">
        <v>4</v>
      </c>
      <c r="N5" s="29" t="s">
        <v>3</v>
      </c>
      <c r="O5" s="18" t="s">
        <v>4</v>
      </c>
      <c r="P5" s="29" t="s">
        <v>3</v>
      </c>
      <c r="Q5" s="18" t="s">
        <v>4</v>
      </c>
      <c r="R5" s="29" t="s">
        <v>3</v>
      </c>
      <c r="S5" s="30" t="s">
        <v>4</v>
      </c>
      <c r="T5" s="31" t="s">
        <v>3</v>
      </c>
      <c r="U5" s="32" t="s">
        <v>4</v>
      </c>
      <c r="W5" s="29" t="s">
        <v>3</v>
      </c>
      <c r="X5" s="18" t="s">
        <v>4</v>
      </c>
      <c r="Y5" s="29" t="s">
        <v>3</v>
      </c>
      <c r="Z5" s="18" t="s">
        <v>4</v>
      </c>
      <c r="AA5" s="29" t="s">
        <v>3</v>
      </c>
      <c r="AB5" s="18" t="s">
        <v>4</v>
      </c>
      <c r="AC5" s="29" t="s">
        <v>3</v>
      </c>
      <c r="AD5" s="30" t="s">
        <v>4</v>
      </c>
      <c r="AE5" s="31" t="s">
        <v>3</v>
      </c>
      <c r="AF5" s="32" t="s">
        <v>4</v>
      </c>
    </row>
    <row r="6" spans="1:32" ht="15.75" x14ac:dyDescent="0.25">
      <c r="A6" s="22">
        <v>1</v>
      </c>
      <c r="B6" s="19">
        <v>196.7</v>
      </c>
      <c r="C6" s="22">
        <v>50</v>
      </c>
      <c r="D6" s="19">
        <v>202</v>
      </c>
      <c r="E6" s="22">
        <v>99</v>
      </c>
      <c r="F6" s="19">
        <v>196.9</v>
      </c>
      <c r="G6" s="33">
        <v>148</v>
      </c>
      <c r="H6" s="19">
        <v>201.6</v>
      </c>
      <c r="I6" s="34">
        <v>197</v>
      </c>
      <c r="J6" s="19">
        <v>202.6</v>
      </c>
      <c r="L6" s="22">
        <v>1</v>
      </c>
      <c r="M6" s="19">
        <v>196.7</v>
      </c>
      <c r="N6" s="22">
        <v>50</v>
      </c>
      <c r="O6" s="19"/>
      <c r="P6" s="22">
        <v>99</v>
      </c>
      <c r="Q6" s="19">
        <v>196.9</v>
      </c>
      <c r="R6" s="33">
        <v>148</v>
      </c>
      <c r="S6" s="19">
        <v>201.6</v>
      </c>
      <c r="T6" s="34">
        <v>197</v>
      </c>
      <c r="U6" s="19"/>
      <c r="W6" s="22">
        <v>1</v>
      </c>
      <c r="X6" s="19"/>
      <c r="Y6" s="22">
        <v>50</v>
      </c>
      <c r="Z6" s="19">
        <v>202</v>
      </c>
      <c r="AA6" s="22">
        <v>99</v>
      </c>
      <c r="AB6" s="19"/>
      <c r="AC6" s="33">
        <v>148</v>
      </c>
      <c r="AD6" s="19"/>
      <c r="AE6" s="34">
        <v>197</v>
      </c>
      <c r="AF6" s="19">
        <v>202.6</v>
      </c>
    </row>
    <row r="7" spans="1:32" ht="15.75" x14ac:dyDescent="0.25">
      <c r="A7" s="22">
        <v>2</v>
      </c>
      <c r="B7" s="19">
        <v>198.2</v>
      </c>
      <c r="C7" s="22">
        <v>51</v>
      </c>
      <c r="D7" s="19">
        <v>194.3</v>
      </c>
      <c r="E7" s="22">
        <v>100</v>
      </c>
      <c r="F7" s="19">
        <v>198.7</v>
      </c>
      <c r="G7" s="33">
        <v>149</v>
      </c>
      <c r="H7" s="19">
        <v>198.9</v>
      </c>
      <c r="I7" s="33">
        <v>198</v>
      </c>
      <c r="J7" s="19">
        <v>205.9</v>
      </c>
      <c r="L7" s="22">
        <v>2</v>
      </c>
      <c r="M7" s="19">
        <v>198.2</v>
      </c>
      <c r="N7" s="22">
        <v>51</v>
      </c>
      <c r="O7" s="19"/>
      <c r="P7" s="22">
        <v>100</v>
      </c>
      <c r="Q7" s="19">
        <v>198.7</v>
      </c>
      <c r="R7" s="33">
        <v>149</v>
      </c>
      <c r="S7" s="19">
        <v>198.9</v>
      </c>
      <c r="T7" s="33">
        <v>198</v>
      </c>
      <c r="U7" s="19"/>
      <c r="W7" s="22">
        <v>2</v>
      </c>
      <c r="X7" s="19"/>
      <c r="Y7" s="22">
        <v>51</v>
      </c>
      <c r="Z7" s="19">
        <v>194.3</v>
      </c>
      <c r="AA7" s="22">
        <v>100</v>
      </c>
      <c r="AB7" s="19"/>
      <c r="AC7" s="33">
        <v>149</v>
      </c>
      <c r="AD7" s="19"/>
      <c r="AE7" s="33">
        <v>198</v>
      </c>
      <c r="AF7" s="19">
        <v>205.9</v>
      </c>
    </row>
    <row r="8" spans="1:32" ht="15.75" x14ac:dyDescent="0.25">
      <c r="A8" s="22">
        <v>3</v>
      </c>
      <c r="B8" s="19">
        <v>210.1</v>
      </c>
      <c r="C8" s="22">
        <v>52</v>
      </c>
      <c r="D8" s="19">
        <v>201.5</v>
      </c>
      <c r="E8" s="22">
        <f t="shared" ref="E8:E54" si="0">+E7+1</f>
        <v>101</v>
      </c>
      <c r="F8" s="19">
        <v>196</v>
      </c>
      <c r="G8" s="33">
        <v>150</v>
      </c>
      <c r="H8" s="19">
        <v>202.8</v>
      </c>
      <c r="I8" s="33">
        <v>199</v>
      </c>
      <c r="J8" s="19">
        <v>204.5</v>
      </c>
      <c r="L8" s="22">
        <v>3</v>
      </c>
      <c r="M8" s="19">
        <v>210.1</v>
      </c>
      <c r="N8" s="22">
        <v>52</v>
      </c>
      <c r="O8" s="19"/>
      <c r="P8" s="22">
        <f t="shared" ref="P8:P54" si="1">+P7+1</f>
        <v>101</v>
      </c>
      <c r="Q8" s="19">
        <v>196</v>
      </c>
      <c r="R8" s="33">
        <v>150</v>
      </c>
      <c r="S8" s="19">
        <v>202.8</v>
      </c>
      <c r="T8" s="33">
        <v>199</v>
      </c>
      <c r="U8" s="19"/>
      <c r="W8" s="22">
        <v>3</v>
      </c>
      <c r="X8" s="19"/>
      <c r="Y8" s="22">
        <v>52</v>
      </c>
      <c r="Z8" s="19">
        <v>201.5</v>
      </c>
      <c r="AA8" s="22">
        <f t="shared" ref="AA8:AA54" si="2">+AA7+1</f>
        <v>101</v>
      </c>
      <c r="AB8" s="19"/>
      <c r="AC8" s="33">
        <v>150</v>
      </c>
      <c r="AD8" s="19"/>
      <c r="AE8" s="33">
        <v>199</v>
      </c>
      <c r="AF8" s="19">
        <v>204.5</v>
      </c>
    </row>
    <row r="9" spans="1:32" ht="15.75" x14ac:dyDescent="0.25">
      <c r="A9" s="22">
        <v>4</v>
      </c>
      <c r="B9" s="19">
        <v>202.2</v>
      </c>
      <c r="C9" s="22">
        <v>53</v>
      </c>
      <c r="D9" s="19">
        <v>195.4</v>
      </c>
      <c r="E9" s="22">
        <f t="shared" si="0"/>
        <v>102</v>
      </c>
      <c r="F9" s="19">
        <v>193.1</v>
      </c>
      <c r="G9" s="33">
        <v>151</v>
      </c>
      <c r="H9" s="19">
        <v>193.3</v>
      </c>
      <c r="I9" s="33">
        <v>200</v>
      </c>
      <c r="J9" s="19">
        <v>202.2</v>
      </c>
      <c r="L9" s="22">
        <v>4</v>
      </c>
      <c r="M9" s="19">
        <v>202.2</v>
      </c>
      <c r="N9" s="22">
        <v>53</v>
      </c>
      <c r="O9" s="19"/>
      <c r="P9" s="22">
        <f t="shared" si="1"/>
        <v>102</v>
      </c>
      <c r="Q9" s="19">
        <v>193.1</v>
      </c>
      <c r="R9" s="33">
        <v>151</v>
      </c>
      <c r="S9" s="19">
        <v>193.3</v>
      </c>
      <c r="T9" s="33">
        <v>200</v>
      </c>
      <c r="U9" s="19"/>
      <c r="W9" s="22">
        <v>4</v>
      </c>
      <c r="X9" s="19"/>
      <c r="Y9" s="22">
        <v>53</v>
      </c>
      <c r="Z9" s="19">
        <v>195.4</v>
      </c>
      <c r="AA9" s="22">
        <f t="shared" si="2"/>
        <v>102</v>
      </c>
      <c r="AB9" s="19"/>
      <c r="AC9" s="33">
        <v>151</v>
      </c>
      <c r="AD9" s="19"/>
      <c r="AE9" s="33">
        <v>200</v>
      </c>
      <c r="AF9" s="19">
        <v>202.2</v>
      </c>
    </row>
    <row r="10" spans="1:32" ht="15.75" x14ac:dyDescent="0.25">
      <c r="A10" s="22">
        <v>5</v>
      </c>
      <c r="B10" s="19">
        <v>210.3</v>
      </c>
      <c r="C10" s="22">
        <v>54</v>
      </c>
      <c r="D10" s="19">
        <v>203.9</v>
      </c>
      <c r="E10" s="22">
        <f t="shared" si="0"/>
        <v>103</v>
      </c>
      <c r="F10" s="19">
        <v>197.7</v>
      </c>
      <c r="G10" s="33">
        <v>152</v>
      </c>
      <c r="H10" s="19">
        <v>197.1</v>
      </c>
      <c r="I10" s="33">
        <v>201</v>
      </c>
      <c r="J10" s="19">
        <v>211.4</v>
      </c>
      <c r="L10" s="22">
        <v>5</v>
      </c>
      <c r="M10" s="19">
        <v>210.3</v>
      </c>
      <c r="N10" s="22">
        <v>54</v>
      </c>
      <c r="O10" s="19"/>
      <c r="P10" s="22">
        <f t="shared" si="1"/>
        <v>103</v>
      </c>
      <c r="Q10" s="19">
        <v>197.7</v>
      </c>
      <c r="R10" s="33">
        <v>152</v>
      </c>
      <c r="S10" s="19">
        <v>197.1</v>
      </c>
      <c r="T10" s="33">
        <v>201</v>
      </c>
      <c r="U10" s="19"/>
      <c r="W10" s="22">
        <v>5</v>
      </c>
      <c r="X10" s="19"/>
      <c r="Y10" s="22">
        <v>54</v>
      </c>
      <c r="Z10" s="19">
        <v>203.9</v>
      </c>
      <c r="AA10" s="22">
        <f t="shared" si="2"/>
        <v>103</v>
      </c>
      <c r="AB10" s="19"/>
      <c r="AC10" s="33">
        <v>152</v>
      </c>
      <c r="AD10" s="19"/>
      <c r="AE10" s="33">
        <v>201</v>
      </c>
      <c r="AF10" s="19">
        <v>211.4</v>
      </c>
    </row>
    <row r="11" spans="1:32" ht="15.75" x14ac:dyDescent="0.25">
      <c r="A11" s="22">
        <v>6</v>
      </c>
      <c r="B11" s="19">
        <v>199.9</v>
      </c>
      <c r="C11" s="22">
        <v>55</v>
      </c>
      <c r="D11" s="19">
        <v>197.8</v>
      </c>
      <c r="E11" s="22">
        <f t="shared" si="0"/>
        <v>104</v>
      </c>
      <c r="F11" s="19">
        <v>195.6</v>
      </c>
      <c r="G11" s="33">
        <v>153</v>
      </c>
      <c r="H11" s="19">
        <v>202.3</v>
      </c>
      <c r="I11" s="33">
        <v>202</v>
      </c>
      <c r="J11" s="19">
        <v>196</v>
      </c>
      <c r="L11" s="22">
        <v>6</v>
      </c>
      <c r="M11" s="19">
        <v>199.9</v>
      </c>
      <c r="N11" s="22">
        <v>55</v>
      </c>
      <c r="O11" s="19"/>
      <c r="P11" s="22">
        <f t="shared" si="1"/>
        <v>104</v>
      </c>
      <c r="Q11" s="19">
        <v>195.6</v>
      </c>
      <c r="R11" s="33">
        <v>153</v>
      </c>
      <c r="S11" s="19">
        <v>202.3</v>
      </c>
      <c r="T11" s="33">
        <v>202</v>
      </c>
      <c r="U11" s="19"/>
      <c r="W11" s="22">
        <v>6</v>
      </c>
      <c r="X11" s="19"/>
      <c r="Y11" s="22">
        <v>55</v>
      </c>
      <c r="Z11" s="19">
        <v>197.8</v>
      </c>
      <c r="AA11" s="22">
        <f t="shared" si="2"/>
        <v>104</v>
      </c>
      <c r="AB11" s="19"/>
      <c r="AC11" s="33">
        <v>153</v>
      </c>
      <c r="AD11" s="19"/>
      <c r="AE11" s="33">
        <v>202</v>
      </c>
      <c r="AF11" s="19">
        <v>196</v>
      </c>
    </row>
    <row r="12" spans="1:32" ht="15.75" x14ac:dyDescent="0.25">
      <c r="A12" s="22">
        <v>7</v>
      </c>
      <c r="B12" s="19">
        <v>205.5</v>
      </c>
      <c r="C12" s="22">
        <v>56</v>
      </c>
      <c r="D12" s="19">
        <v>200.6</v>
      </c>
      <c r="E12" s="22">
        <f t="shared" si="0"/>
        <v>105</v>
      </c>
      <c r="F12" s="19">
        <v>201.1</v>
      </c>
      <c r="G12" s="33">
        <v>154</v>
      </c>
      <c r="H12" s="19">
        <v>198.4</v>
      </c>
      <c r="I12" s="33">
        <v>203</v>
      </c>
      <c r="J12" s="19">
        <v>206.8</v>
      </c>
      <c r="L12" s="22">
        <v>7</v>
      </c>
      <c r="M12" s="19">
        <v>205.5</v>
      </c>
      <c r="N12" s="22">
        <v>56</v>
      </c>
      <c r="O12" s="19"/>
      <c r="P12" s="22">
        <f t="shared" si="1"/>
        <v>105</v>
      </c>
      <c r="Q12" s="19">
        <v>201.1</v>
      </c>
      <c r="R12" s="33">
        <v>154</v>
      </c>
      <c r="S12" s="19">
        <v>198.4</v>
      </c>
      <c r="T12" s="33">
        <v>203</v>
      </c>
      <c r="U12" s="19"/>
      <c r="W12" s="22">
        <v>7</v>
      </c>
      <c r="X12" s="19"/>
      <c r="Y12" s="22">
        <v>56</v>
      </c>
      <c r="Z12" s="19">
        <v>200.6</v>
      </c>
      <c r="AA12" s="22">
        <f t="shared" si="2"/>
        <v>105</v>
      </c>
      <c r="AB12" s="19"/>
      <c r="AC12" s="33">
        <v>154</v>
      </c>
      <c r="AD12" s="19"/>
      <c r="AE12" s="33">
        <v>203</v>
      </c>
      <c r="AF12" s="19">
        <v>206.8</v>
      </c>
    </row>
    <row r="13" spans="1:32" ht="15.75" x14ac:dyDescent="0.25">
      <c r="A13" s="22">
        <v>8</v>
      </c>
      <c r="B13" s="19">
        <v>209.5</v>
      </c>
      <c r="C13" s="22">
        <v>57</v>
      </c>
      <c r="D13" s="19">
        <v>199.7</v>
      </c>
      <c r="E13" s="22">
        <f t="shared" si="0"/>
        <v>106</v>
      </c>
      <c r="F13" s="19">
        <v>197.2</v>
      </c>
      <c r="G13" s="33">
        <v>155</v>
      </c>
      <c r="H13" s="19">
        <v>203.5</v>
      </c>
      <c r="I13" s="33">
        <v>204</v>
      </c>
      <c r="J13" s="19">
        <v>198.2</v>
      </c>
      <c r="L13" s="22">
        <v>8</v>
      </c>
      <c r="M13" s="19">
        <v>209.5</v>
      </c>
      <c r="N13" s="22">
        <v>57</v>
      </c>
      <c r="O13" s="19"/>
      <c r="P13" s="22">
        <f t="shared" si="1"/>
        <v>106</v>
      </c>
      <c r="Q13" s="19">
        <v>197.2</v>
      </c>
      <c r="R13" s="33">
        <v>155</v>
      </c>
      <c r="S13" s="19">
        <v>203.5</v>
      </c>
      <c r="T13" s="33">
        <v>204</v>
      </c>
      <c r="U13" s="19"/>
      <c r="W13" s="22">
        <v>8</v>
      </c>
      <c r="X13" s="19"/>
      <c r="Y13" s="22">
        <v>57</v>
      </c>
      <c r="Z13" s="19">
        <v>199.7</v>
      </c>
      <c r="AA13" s="22">
        <f t="shared" si="2"/>
        <v>106</v>
      </c>
      <c r="AB13" s="19"/>
      <c r="AC13" s="33">
        <v>155</v>
      </c>
      <c r="AD13" s="19"/>
      <c r="AE13" s="33">
        <v>204</v>
      </c>
      <c r="AF13" s="19">
        <v>198.2</v>
      </c>
    </row>
    <row r="14" spans="1:32" ht="15.75" x14ac:dyDescent="0.25">
      <c r="A14" s="22">
        <v>9</v>
      </c>
      <c r="B14" s="19">
        <v>200</v>
      </c>
      <c r="C14" s="22">
        <v>58</v>
      </c>
      <c r="D14" s="19">
        <v>199</v>
      </c>
      <c r="E14" s="22">
        <f t="shared" si="0"/>
        <v>107</v>
      </c>
      <c r="F14" s="19">
        <v>197.5</v>
      </c>
      <c r="G14" s="33">
        <v>156</v>
      </c>
      <c r="H14" s="19">
        <v>197.3</v>
      </c>
      <c r="I14" s="33">
        <v>205</v>
      </c>
      <c r="J14" s="19">
        <v>205.7</v>
      </c>
      <c r="L14" s="22">
        <v>9</v>
      </c>
      <c r="M14" s="19">
        <v>200</v>
      </c>
      <c r="N14" s="22">
        <v>58</v>
      </c>
      <c r="O14" s="19"/>
      <c r="P14" s="22">
        <f t="shared" si="1"/>
        <v>107</v>
      </c>
      <c r="Q14" s="19">
        <v>197.5</v>
      </c>
      <c r="R14" s="33">
        <v>156</v>
      </c>
      <c r="S14" s="19">
        <v>197.3</v>
      </c>
      <c r="T14" s="33">
        <v>205</v>
      </c>
      <c r="U14" s="19"/>
      <c r="W14" s="22">
        <v>9</v>
      </c>
      <c r="X14" s="19"/>
      <c r="Y14" s="22">
        <v>58</v>
      </c>
      <c r="Z14" s="19">
        <v>199</v>
      </c>
      <c r="AA14" s="22">
        <f t="shared" si="2"/>
        <v>107</v>
      </c>
      <c r="AB14" s="19"/>
      <c r="AC14" s="33">
        <v>156</v>
      </c>
      <c r="AD14" s="19"/>
      <c r="AE14" s="33">
        <v>205</v>
      </c>
      <c r="AF14" s="19">
        <v>205.7</v>
      </c>
    </row>
    <row r="15" spans="1:32" ht="15.75" x14ac:dyDescent="0.25">
      <c r="A15" s="22">
        <v>10</v>
      </c>
      <c r="B15" s="19">
        <v>208</v>
      </c>
      <c r="C15" s="22">
        <v>59</v>
      </c>
      <c r="D15" s="19">
        <v>213.7</v>
      </c>
      <c r="E15" s="22">
        <f t="shared" si="0"/>
        <v>108</v>
      </c>
      <c r="F15" s="19">
        <v>195.6</v>
      </c>
      <c r="G15" s="33">
        <v>157</v>
      </c>
      <c r="H15" s="19">
        <v>206.6</v>
      </c>
      <c r="I15" s="33">
        <v>206</v>
      </c>
      <c r="J15" s="19">
        <v>200.2</v>
      </c>
      <c r="L15" s="22">
        <v>10</v>
      </c>
      <c r="M15" s="19">
        <v>208</v>
      </c>
      <c r="N15" s="22">
        <v>59</v>
      </c>
      <c r="O15" s="19"/>
      <c r="P15" s="22">
        <f t="shared" si="1"/>
        <v>108</v>
      </c>
      <c r="Q15" s="19">
        <v>195.6</v>
      </c>
      <c r="R15" s="33">
        <v>157</v>
      </c>
      <c r="S15" s="19">
        <v>206.6</v>
      </c>
      <c r="T15" s="33">
        <v>206</v>
      </c>
      <c r="U15" s="19"/>
      <c r="W15" s="22">
        <v>10</v>
      </c>
      <c r="X15" s="19"/>
      <c r="Y15" s="22">
        <v>59</v>
      </c>
      <c r="Z15" s="19">
        <v>213.7</v>
      </c>
      <c r="AA15" s="22">
        <f t="shared" si="2"/>
        <v>108</v>
      </c>
      <c r="AB15" s="19"/>
      <c r="AC15" s="33">
        <v>157</v>
      </c>
      <c r="AD15" s="19"/>
      <c r="AE15" s="33">
        <v>206</v>
      </c>
      <c r="AF15" s="19">
        <v>200.2</v>
      </c>
    </row>
    <row r="16" spans="1:32" ht="15.75" x14ac:dyDescent="0.25">
      <c r="A16" s="22">
        <v>11</v>
      </c>
      <c r="B16" s="19">
        <v>199.2</v>
      </c>
      <c r="C16" s="22">
        <v>60</v>
      </c>
      <c r="D16" s="19">
        <v>198.7</v>
      </c>
      <c r="E16" s="22">
        <f t="shared" si="0"/>
        <v>109</v>
      </c>
      <c r="F16" s="19">
        <v>201.5</v>
      </c>
      <c r="G16" s="33">
        <v>158</v>
      </c>
      <c r="H16" s="19">
        <v>198.1</v>
      </c>
      <c r="I16" s="33">
        <v>207</v>
      </c>
      <c r="J16" s="19">
        <v>208.7</v>
      </c>
      <c r="L16" s="22">
        <v>11</v>
      </c>
      <c r="M16" s="19">
        <v>199.2</v>
      </c>
      <c r="N16" s="22">
        <v>60</v>
      </c>
      <c r="O16" s="19"/>
      <c r="P16" s="22">
        <f t="shared" si="1"/>
        <v>109</v>
      </c>
      <c r="Q16" s="19">
        <v>201.5</v>
      </c>
      <c r="R16" s="33">
        <v>158</v>
      </c>
      <c r="S16" s="19">
        <v>198.1</v>
      </c>
      <c r="T16" s="33">
        <v>207</v>
      </c>
      <c r="U16" s="19"/>
      <c r="W16" s="22">
        <v>11</v>
      </c>
      <c r="X16" s="19"/>
      <c r="Y16" s="22">
        <v>60</v>
      </c>
      <c r="Z16" s="19">
        <v>198.7</v>
      </c>
      <c r="AA16" s="22">
        <f t="shared" si="2"/>
        <v>109</v>
      </c>
      <c r="AB16" s="19"/>
      <c r="AC16" s="33">
        <v>158</v>
      </c>
      <c r="AD16" s="19"/>
      <c r="AE16" s="33">
        <v>207</v>
      </c>
      <c r="AF16" s="19">
        <v>208.7</v>
      </c>
    </row>
    <row r="17" spans="1:32" ht="15.75" x14ac:dyDescent="0.25">
      <c r="A17" s="22">
        <v>12</v>
      </c>
      <c r="B17" s="19">
        <v>208.5</v>
      </c>
      <c r="C17" s="22">
        <v>61</v>
      </c>
      <c r="D17" s="19">
        <v>197</v>
      </c>
      <c r="E17" s="22">
        <f t="shared" si="0"/>
        <v>110</v>
      </c>
      <c r="F17" s="19">
        <v>204.2</v>
      </c>
      <c r="G17" s="33">
        <v>159</v>
      </c>
      <c r="H17" s="19">
        <v>197.5</v>
      </c>
      <c r="I17" s="33">
        <v>208</v>
      </c>
      <c r="J17" s="19">
        <v>205.1</v>
      </c>
      <c r="L17" s="22">
        <v>12</v>
      </c>
      <c r="M17" s="19">
        <v>208.5</v>
      </c>
      <c r="N17" s="22">
        <v>61</v>
      </c>
      <c r="O17" s="19"/>
      <c r="P17" s="22">
        <f t="shared" si="1"/>
        <v>110</v>
      </c>
      <c r="Q17" s="19">
        <v>204.2</v>
      </c>
      <c r="R17" s="33">
        <v>159</v>
      </c>
      <c r="S17" s="19">
        <v>197.5</v>
      </c>
      <c r="T17" s="33">
        <v>208</v>
      </c>
      <c r="U17" s="19"/>
      <c r="W17" s="22">
        <v>12</v>
      </c>
      <c r="X17" s="19"/>
      <c r="Y17" s="22">
        <v>61</v>
      </c>
      <c r="Z17" s="19">
        <v>197</v>
      </c>
      <c r="AA17" s="22">
        <f t="shared" si="2"/>
        <v>110</v>
      </c>
      <c r="AB17" s="19"/>
      <c r="AC17" s="33">
        <v>159</v>
      </c>
      <c r="AD17" s="19"/>
      <c r="AE17" s="33">
        <v>208</v>
      </c>
      <c r="AF17" s="19">
        <v>205.1</v>
      </c>
    </row>
    <row r="18" spans="1:32" ht="15.75" x14ac:dyDescent="0.25">
      <c r="A18" s="22">
        <v>13</v>
      </c>
      <c r="B18" s="19">
        <v>194.4</v>
      </c>
      <c r="C18" s="22">
        <v>62</v>
      </c>
      <c r="D18" s="19">
        <v>204.5</v>
      </c>
      <c r="E18" s="22">
        <f t="shared" si="0"/>
        <v>111</v>
      </c>
      <c r="F18" s="19">
        <v>194.4</v>
      </c>
      <c r="G18" s="33">
        <v>160</v>
      </c>
      <c r="H18" s="19">
        <v>205.8</v>
      </c>
      <c r="I18" s="33">
        <v>209</v>
      </c>
      <c r="J18" s="19">
        <v>207.6</v>
      </c>
      <c r="L18" s="22">
        <v>13</v>
      </c>
      <c r="M18" s="19">
        <v>194.4</v>
      </c>
      <c r="N18" s="22">
        <v>62</v>
      </c>
      <c r="O18" s="19"/>
      <c r="P18" s="22">
        <f t="shared" si="1"/>
        <v>111</v>
      </c>
      <c r="Q18" s="19">
        <v>194.4</v>
      </c>
      <c r="R18" s="33">
        <v>160</v>
      </c>
      <c r="S18" s="19">
        <v>205.8</v>
      </c>
      <c r="T18" s="33">
        <v>209</v>
      </c>
      <c r="U18" s="19"/>
      <c r="W18" s="22">
        <v>13</v>
      </c>
      <c r="X18" s="19"/>
      <c r="Y18" s="22">
        <v>62</v>
      </c>
      <c r="Z18" s="19">
        <v>204.5</v>
      </c>
      <c r="AA18" s="22">
        <f t="shared" si="2"/>
        <v>111</v>
      </c>
      <c r="AB18" s="19"/>
      <c r="AC18" s="33">
        <v>160</v>
      </c>
      <c r="AD18" s="19"/>
      <c r="AE18" s="33">
        <v>209</v>
      </c>
      <c r="AF18" s="19">
        <v>207.6</v>
      </c>
    </row>
    <row r="19" spans="1:32" ht="15.75" x14ac:dyDescent="0.25">
      <c r="A19" s="22">
        <v>14</v>
      </c>
      <c r="B19" s="19">
        <v>205.2</v>
      </c>
      <c r="C19" s="22">
        <v>63</v>
      </c>
      <c r="D19" s="19">
        <v>194.6</v>
      </c>
      <c r="E19" s="22">
        <f t="shared" si="0"/>
        <v>112</v>
      </c>
      <c r="F19" s="19">
        <v>195.7</v>
      </c>
      <c r="G19" s="33">
        <v>161</v>
      </c>
      <c r="H19" s="19">
        <v>199.9</v>
      </c>
      <c r="I19" s="33">
        <v>210</v>
      </c>
      <c r="J19" s="19">
        <v>208.6</v>
      </c>
      <c r="L19" s="22">
        <v>14</v>
      </c>
      <c r="M19" s="19">
        <v>205.2</v>
      </c>
      <c r="N19" s="22">
        <v>63</v>
      </c>
      <c r="O19" s="19"/>
      <c r="P19" s="22">
        <f t="shared" si="1"/>
        <v>112</v>
      </c>
      <c r="Q19" s="19">
        <v>195.7</v>
      </c>
      <c r="R19" s="33">
        <v>161</v>
      </c>
      <c r="S19" s="19"/>
      <c r="T19" s="33">
        <v>210</v>
      </c>
      <c r="U19" s="19"/>
      <c r="W19" s="22">
        <v>14</v>
      </c>
      <c r="X19" s="19"/>
      <c r="Y19" s="22">
        <v>63</v>
      </c>
      <c r="Z19" s="19">
        <v>194.6</v>
      </c>
      <c r="AA19" s="22">
        <f t="shared" si="2"/>
        <v>112</v>
      </c>
      <c r="AB19" s="19"/>
      <c r="AC19" s="33">
        <v>161</v>
      </c>
      <c r="AD19" s="19">
        <v>199.9</v>
      </c>
      <c r="AE19" s="33">
        <v>210</v>
      </c>
      <c r="AF19" s="19">
        <v>208.6</v>
      </c>
    </row>
    <row r="20" spans="1:32" ht="15.75" x14ac:dyDescent="0.25">
      <c r="A20" s="22">
        <v>15</v>
      </c>
      <c r="B20" s="19">
        <v>205.5</v>
      </c>
      <c r="C20" s="22">
        <v>64</v>
      </c>
      <c r="D20" s="19">
        <v>197.4</v>
      </c>
      <c r="E20" s="22">
        <f t="shared" si="0"/>
        <v>113</v>
      </c>
      <c r="F20" s="19">
        <v>201.6</v>
      </c>
      <c r="G20" s="35">
        <v>162</v>
      </c>
      <c r="H20" s="19">
        <v>209</v>
      </c>
      <c r="I20" s="33">
        <v>211</v>
      </c>
      <c r="J20" s="19">
        <v>211.2</v>
      </c>
      <c r="L20" s="22">
        <v>15</v>
      </c>
      <c r="M20" s="19">
        <v>205.5</v>
      </c>
      <c r="N20" s="22">
        <v>64</v>
      </c>
      <c r="O20" s="19"/>
      <c r="P20" s="22">
        <f t="shared" si="1"/>
        <v>113</v>
      </c>
      <c r="Q20" s="19">
        <v>201.6</v>
      </c>
      <c r="R20" s="35">
        <v>162</v>
      </c>
      <c r="S20" s="19"/>
      <c r="T20" s="33">
        <v>211</v>
      </c>
      <c r="U20" s="19"/>
      <c r="W20" s="22">
        <v>15</v>
      </c>
      <c r="X20" s="19"/>
      <c r="Y20" s="22">
        <v>64</v>
      </c>
      <c r="Z20" s="19">
        <v>197.4</v>
      </c>
      <c r="AA20" s="22">
        <f t="shared" si="2"/>
        <v>113</v>
      </c>
      <c r="AB20" s="19"/>
      <c r="AC20" s="35">
        <v>162</v>
      </c>
      <c r="AD20" s="19">
        <v>209</v>
      </c>
      <c r="AE20" s="33">
        <v>211</v>
      </c>
      <c r="AF20" s="19">
        <v>211.2</v>
      </c>
    </row>
    <row r="21" spans="1:32" ht="15.75" x14ac:dyDescent="0.25">
      <c r="A21" s="22">
        <v>16</v>
      </c>
      <c r="B21" s="19">
        <v>227.7</v>
      </c>
      <c r="C21" s="22">
        <v>65</v>
      </c>
      <c r="D21" s="19">
        <v>196.8</v>
      </c>
      <c r="E21" s="22">
        <f t="shared" si="0"/>
        <v>114</v>
      </c>
      <c r="F21" s="19">
        <v>197.1</v>
      </c>
      <c r="G21" s="35">
        <v>163</v>
      </c>
      <c r="H21" s="19">
        <v>197</v>
      </c>
      <c r="I21" s="33">
        <v>212</v>
      </c>
      <c r="J21" s="19">
        <v>202.1</v>
      </c>
      <c r="L21" s="22">
        <v>16</v>
      </c>
      <c r="M21" s="19">
        <v>227.7</v>
      </c>
      <c r="N21" s="22">
        <v>65</v>
      </c>
      <c r="O21" s="19"/>
      <c r="P21" s="22">
        <f t="shared" si="1"/>
        <v>114</v>
      </c>
      <c r="Q21" s="19">
        <v>197.1</v>
      </c>
      <c r="R21" s="35">
        <v>163</v>
      </c>
      <c r="S21" s="19"/>
      <c r="T21" s="33">
        <v>212</v>
      </c>
      <c r="U21" s="19"/>
      <c r="W21" s="22">
        <v>16</v>
      </c>
      <c r="X21" s="19"/>
      <c r="Y21" s="22">
        <v>65</v>
      </c>
      <c r="Z21" s="19">
        <v>196.8</v>
      </c>
      <c r="AA21" s="22">
        <f t="shared" si="2"/>
        <v>114</v>
      </c>
      <c r="AB21" s="19"/>
      <c r="AC21" s="35">
        <v>163</v>
      </c>
      <c r="AD21" s="19">
        <v>197</v>
      </c>
      <c r="AE21" s="33">
        <v>212</v>
      </c>
      <c r="AF21" s="19">
        <v>202.1</v>
      </c>
    </row>
    <row r="22" spans="1:32" ht="15.75" x14ac:dyDescent="0.25">
      <c r="A22" s="22">
        <v>17</v>
      </c>
      <c r="B22" s="19">
        <v>197.9</v>
      </c>
      <c r="C22" s="22">
        <v>66</v>
      </c>
      <c r="D22" s="19">
        <v>196.9</v>
      </c>
      <c r="E22" s="22">
        <f t="shared" si="0"/>
        <v>115</v>
      </c>
      <c r="F22" s="19">
        <v>203.3</v>
      </c>
      <c r="G22" s="35">
        <v>164</v>
      </c>
      <c r="H22" s="19">
        <v>206.4</v>
      </c>
      <c r="I22" s="33">
        <v>213</v>
      </c>
      <c r="J22" s="19">
        <v>198.4</v>
      </c>
      <c r="L22" s="22">
        <v>17</v>
      </c>
      <c r="M22" s="19">
        <v>197.9</v>
      </c>
      <c r="N22" s="22">
        <v>66</v>
      </c>
      <c r="O22" s="19"/>
      <c r="P22" s="22">
        <f t="shared" si="1"/>
        <v>115</v>
      </c>
      <c r="Q22" s="19">
        <v>203.3</v>
      </c>
      <c r="R22" s="35">
        <v>164</v>
      </c>
      <c r="S22" s="19"/>
      <c r="T22" s="33">
        <v>213</v>
      </c>
      <c r="U22" s="19"/>
      <c r="W22" s="22">
        <v>17</v>
      </c>
      <c r="X22" s="19"/>
      <c r="Y22" s="22">
        <v>66</v>
      </c>
      <c r="Z22" s="19">
        <v>196.9</v>
      </c>
      <c r="AA22" s="22">
        <f t="shared" si="2"/>
        <v>115</v>
      </c>
      <c r="AB22" s="19"/>
      <c r="AC22" s="35">
        <v>164</v>
      </c>
      <c r="AD22" s="19">
        <v>206.4</v>
      </c>
      <c r="AE22" s="33">
        <v>213</v>
      </c>
      <c r="AF22" s="19">
        <v>198.4</v>
      </c>
    </row>
    <row r="23" spans="1:32" ht="15.75" x14ac:dyDescent="0.25">
      <c r="A23" s="22">
        <v>18</v>
      </c>
      <c r="B23" s="19">
        <v>200.2</v>
      </c>
      <c r="C23" s="22">
        <v>67</v>
      </c>
      <c r="D23" s="19">
        <v>199.4</v>
      </c>
      <c r="E23" s="22">
        <f t="shared" si="0"/>
        <v>116</v>
      </c>
      <c r="F23" s="19">
        <v>201.5</v>
      </c>
      <c r="G23" s="35">
        <v>165</v>
      </c>
      <c r="H23" s="19">
        <v>197.1</v>
      </c>
      <c r="I23" s="33">
        <v>214</v>
      </c>
      <c r="J23" s="19">
        <v>213.7</v>
      </c>
      <c r="L23" s="22">
        <v>18</v>
      </c>
      <c r="M23" s="19">
        <v>200.2</v>
      </c>
      <c r="N23" s="22">
        <v>67</v>
      </c>
      <c r="O23" s="19"/>
      <c r="P23" s="22">
        <f t="shared" si="1"/>
        <v>116</v>
      </c>
      <c r="Q23" s="19">
        <v>201.5</v>
      </c>
      <c r="R23" s="35">
        <v>165</v>
      </c>
      <c r="S23" s="19"/>
      <c r="T23" s="33">
        <v>214</v>
      </c>
      <c r="U23" s="19"/>
      <c r="W23" s="22">
        <v>18</v>
      </c>
      <c r="X23" s="19"/>
      <c r="Y23" s="22">
        <v>67</v>
      </c>
      <c r="Z23" s="19">
        <v>199.4</v>
      </c>
      <c r="AA23" s="22">
        <f t="shared" si="2"/>
        <v>116</v>
      </c>
      <c r="AB23" s="19"/>
      <c r="AC23" s="35">
        <v>165</v>
      </c>
      <c r="AD23" s="19">
        <v>197.1</v>
      </c>
      <c r="AE23" s="33">
        <v>214</v>
      </c>
      <c r="AF23" s="19">
        <v>213.7</v>
      </c>
    </row>
    <row r="24" spans="1:32" ht="15.75" x14ac:dyDescent="0.25">
      <c r="A24" s="22">
        <v>19</v>
      </c>
      <c r="B24" s="19">
        <v>203.1</v>
      </c>
      <c r="C24" s="22">
        <v>68</v>
      </c>
      <c r="D24" s="19">
        <v>200.3</v>
      </c>
      <c r="E24" s="22">
        <f t="shared" si="0"/>
        <v>117</v>
      </c>
      <c r="F24" s="19">
        <v>198.7</v>
      </c>
      <c r="G24" s="35">
        <v>166</v>
      </c>
      <c r="H24" s="19">
        <v>203.4</v>
      </c>
      <c r="I24" s="33">
        <v>215</v>
      </c>
      <c r="J24" s="19">
        <v>190.4</v>
      </c>
      <c r="L24" s="22">
        <v>19</v>
      </c>
      <c r="M24" s="19">
        <v>203.1</v>
      </c>
      <c r="N24" s="22">
        <v>68</v>
      </c>
      <c r="O24" s="19"/>
      <c r="P24" s="22">
        <f t="shared" si="1"/>
        <v>117</v>
      </c>
      <c r="Q24" s="19">
        <v>198.7</v>
      </c>
      <c r="R24" s="35">
        <v>166</v>
      </c>
      <c r="S24" s="19"/>
      <c r="T24" s="33">
        <v>215</v>
      </c>
      <c r="U24" s="19"/>
      <c r="W24" s="22">
        <v>19</v>
      </c>
      <c r="X24" s="19"/>
      <c r="Y24" s="22">
        <v>68</v>
      </c>
      <c r="Z24" s="19">
        <v>200.3</v>
      </c>
      <c r="AA24" s="22">
        <f t="shared" si="2"/>
        <v>117</v>
      </c>
      <c r="AB24" s="19"/>
      <c r="AC24" s="35">
        <v>166</v>
      </c>
      <c r="AD24" s="19">
        <v>203.4</v>
      </c>
      <c r="AE24" s="33">
        <v>215</v>
      </c>
      <c r="AF24" s="19">
        <v>190.4</v>
      </c>
    </row>
    <row r="25" spans="1:32" ht="15.75" x14ac:dyDescent="0.25">
      <c r="A25" s="22">
        <v>20</v>
      </c>
      <c r="B25" s="19">
        <v>205.4</v>
      </c>
      <c r="C25" s="22">
        <v>69</v>
      </c>
      <c r="D25" s="19">
        <v>194.6</v>
      </c>
      <c r="E25" s="22">
        <f t="shared" si="0"/>
        <v>118</v>
      </c>
      <c r="F25" s="19">
        <v>200.3</v>
      </c>
      <c r="G25" s="35">
        <v>167</v>
      </c>
      <c r="H25" s="19">
        <v>197.9</v>
      </c>
      <c r="I25" s="33">
        <v>216</v>
      </c>
      <c r="J25" s="19">
        <v>190.3</v>
      </c>
      <c r="L25" s="22">
        <v>20</v>
      </c>
      <c r="M25" s="19">
        <v>205.4</v>
      </c>
      <c r="N25" s="22">
        <v>69</v>
      </c>
      <c r="O25" s="19"/>
      <c r="P25" s="22">
        <f t="shared" si="1"/>
        <v>118</v>
      </c>
      <c r="Q25" s="19">
        <v>200.3</v>
      </c>
      <c r="R25" s="35">
        <v>167</v>
      </c>
      <c r="S25" s="19"/>
      <c r="T25" s="33">
        <v>216</v>
      </c>
      <c r="U25" s="19"/>
      <c r="W25" s="22">
        <v>20</v>
      </c>
      <c r="X25" s="19"/>
      <c r="Y25" s="22">
        <v>69</v>
      </c>
      <c r="Z25" s="19">
        <v>194.6</v>
      </c>
      <c r="AA25" s="22">
        <f t="shared" si="2"/>
        <v>118</v>
      </c>
      <c r="AB25" s="19"/>
      <c r="AC25" s="35">
        <v>167</v>
      </c>
      <c r="AD25" s="19">
        <v>197.9</v>
      </c>
      <c r="AE25" s="33">
        <v>216</v>
      </c>
      <c r="AF25" s="19">
        <v>190.3</v>
      </c>
    </row>
    <row r="26" spans="1:32" ht="15.75" x14ac:dyDescent="0.25">
      <c r="A26" s="22">
        <v>21</v>
      </c>
      <c r="B26" s="19">
        <v>201.4</v>
      </c>
      <c r="C26" s="22">
        <v>70</v>
      </c>
      <c r="D26" s="19">
        <v>197.3</v>
      </c>
      <c r="E26" s="22">
        <f t="shared" si="0"/>
        <v>119</v>
      </c>
      <c r="F26" s="19">
        <v>199.6</v>
      </c>
      <c r="G26" s="35">
        <v>168</v>
      </c>
      <c r="H26" s="19">
        <v>193.2</v>
      </c>
      <c r="I26" s="33">
        <v>217</v>
      </c>
      <c r="J26" s="19">
        <v>208.3</v>
      </c>
      <c r="L26" s="22">
        <v>21</v>
      </c>
      <c r="M26" s="19">
        <v>201.4</v>
      </c>
      <c r="N26" s="22">
        <v>70</v>
      </c>
      <c r="O26" s="19"/>
      <c r="P26" s="22">
        <f t="shared" si="1"/>
        <v>119</v>
      </c>
      <c r="Q26" s="19">
        <v>199.6</v>
      </c>
      <c r="R26" s="35">
        <v>168</v>
      </c>
      <c r="S26" s="19"/>
      <c r="T26" s="33">
        <v>217</v>
      </c>
      <c r="U26" s="19"/>
      <c r="W26" s="22">
        <v>21</v>
      </c>
      <c r="X26" s="19"/>
      <c r="Y26" s="22">
        <v>70</v>
      </c>
      <c r="Z26" s="19">
        <v>197.3</v>
      </c>
      <c r="AA26" s="22">
        <f t="shared" si="2"/>
        <v>119</v>
      </c>
      <c r="AB26" s="19"/>
      <c r="AC26" s="35">
        <v>168</v>
      </c>
      <c r="AD26" s="19">
        <v>193.2</v>
      </c>
      <c r="AE26" s="33">
        <v>217</v>
      </c>
      <c r="AF26" s="19">
        <v>208.3</v>
      </c>
    </row>
    <row r="27" spans="1:32" ht="15.75" x14ac:dyDescent="0.25">
      <c r="A27" s="22">
        <v>22</v>
      </c>
      <c r="B27" s="19">
        <v>200.5</v>
      </c>
      <c r="C27" s="22">
        <v>71</v>
      </c>
      <c r="D27" s="19">
        <v>198.6</v>
      </c>
      <c r="E27" s="22">
        <f t="shared" si="0"/>
        <v>120</v>
      </c>
      <c r="F27" s="19">
        <v>199.4</v>
      </c>
      <c r="G27" s="35">
        <v>169</v>
      </c>
      <c r="H27" s="19">
        <v>205.8</v>
      </c>
      <c r="I27" s="33">
        <v>218</v>
      </c>
      <c r="J27" s="19">
        <v>204.3</v>
      </c>
      <c r="L27" s="22">
        <v>22</v>
      </c>
      <c r="M27" s="19">
        <v>200.5</v>
      </c>
      <c r="N27" s="22">
        <v>71</v>
      </c>
      <c r="O27" s="19"/>
      <c r="P27" s="22">
        <f t="shared" si="1"/>
        <v>120</v>
      </c>
      <c r="Q27" s="19">
        <v>199.4</v>
      </c>
      <c r="R27" s="35">
        <v>169</v>
      </c>
      <c r="S27" s="19"/>
      <c r="T27" s="33">
        <v>218</v>
      </c>
      <c r="U27" s="19"/>
      <c r="W27" s="22">
        <v>22</v>
      </c>
      <c r="X27" s="19"/>
      <c r="Y27" s="22">
        <v>71</v>
      </c>
      <c r="Z27" s="19">
        <v>198.6</v>
      </c>
      <c r="AA27" s="22">
        <f t="shared" si="2"/>
        <v>120</v>
      </c>
      <c r="AB27" s="19"/>
      <c r="AC27" s="35">
        <v>169</v>
      </c>
      <c r="AD27" s="19">
        <v>205.8</v>
      </c>
      <c r="AE27" s="33">
        <v>218</v>
      </c>
      <c r="AF27" s="19">
        <v>204.3</v>
      </c>
    </row>
    <row r="28" spans="1:32" ht="15.75" x14ac:dyDescent="0.25">
      <c r="A28" s="22">
        <v>23</v>
      </c>
      <c r="B28" s="19">
        <v>196.8</v>
      </c>
      <c r="C28" s="22">
        <v>72</v>
      </c>
      <c r="D28" s="19">
        <v>194.5</v>
      </c>
      <c r="E28" s="22">
        <f t="shared" si="0"/>
        <v>121</v>
      </c>
      <c r="F28" s="19">
        <v>220.4</v>
      </c>
      <c r="G28" s="35">
        <v>170</v>
      </c>
      <c r="H28" s="19">
        <v>195.9</v>
      </c>
      <c r="I28" s="33">
        <v>219</v>
      </c>
      <c r="J28" s="19">
        <v>203.8</v>
      </c>
      <c r="L28" s="22">
        <v>23</v>
      </c>
      <c r="M28" s="19">
        <v>196.8</v>
      </c>
      <c r="N28" s="22">
        <v>72</v>
      </c>
      <c r="O28" s="19"/>
      <c r="P28" s="22">
        <f t="shared" si="1"/>
        <v>121</v>
      </c>
      <c r="Q28" s="19">
        <v>220.4</v>
      </c>
      <c r="R28" s="35">
        <v>170</v>
      </c>
      <c r="S28" s="19"/>
      <c r="T28" s="33">
        <v>219</v>
      </c>
      <c r="U28" s="19"/>
      <c r="W28" s="22">
        <v>23</v>
      </c>
      <c r="X28" s="19"/>
      <c r="Y28" s="22">
        <v>72</v>
      </c>
      <c r="Z28" s="19">
        <v>194.5</v>
      </c>
      <c r="AA28" s="22">
        <f t="shared" si="2"/>
        <v>121</v>
      </c>
      <c r="AB28" s="19"/>
      <c r="AC28" s="35">
        <v>170</v>
      </c>
      <c r="AD28" s="19">
        <v>195.9</v>
      </c>
      <c r="AE28" s="33">
        <v>219</v>
      </c>
      <c r="AF28" s="19">
        <v>203.8</v>
      </c>
    </row>
    <row r="29" spans="1:32" ht="15.75" x14ac:dyDescent="0.25">
      <c r="A29" s="22">
        <v>24</v>
      </c>
      <c r="B29" s="19">
        <v>196.9</v>
      </c>
      <c r="C29" s="22">
        <v>73</v>
      </c>
      <c r="D29" s="19">
        <v>200.1</v>
      </c>
      <c r="E29" s="22">
        <f t="shared" si="0"/>
        <v>122</v>
      </c>
      <c r="F29" s="19">
        <v>201.8</v>
      </c>
      <c r="G29" s="35">
        <v>171</v>
      </c>
      <c r="H29" s="19">
        <v>204.3</v>
      </c>
      <c r="I29" s="33">
        <v>220</v>
      </c>
      <c r="J29" s="19">
        <v>210.3</v>
      </c>
      <c r="L29" s="22">
        <v>24</v>
      </c>
      <c r="M29" s="19">
        <v>196.9</v>
      </c>
      <c r="N29" s="22">
        <v>73</v>
      </c>
      <c r="O29" s="19"/>
      <c r="P29" s="22">
        <f t="shared" si="1"/>
        <v>122</v>
      </c>
      <c r="Q29" s="19">
        <v>201.8</v>
      </c>
      <c r="R29" s="35">
        <v>171</v>
      </c>
      <c r="S29" s="19"/>
      <c r="T29" s="33">
        <v>220</v>
      </c>
      <c r="U29" s="19"/>
      <c r="W29" s="22">
        <v>24</v>
      </c>
      <c r="X29" s="19"/>
      <c r="Y29" s="22">
        <v>73</v>
      </c>
      <c r="Z29" s="19">
        <v>200.1</v>
      </c>
      <c r="AA29" s="22">
        <f t="shared" si="2"/>
        <v>122</v>
      </c>
      <c r="AB29" s="19"/>
      <c r="AC29" s="35">
        <v>171</v>
      </c>
      <c r="AD29" s="19">
        <v>204.3</v>
      </c>
      <c r="AE29" s="33">
        <v>220</v>
      </c>
      <c r="AF29" s="19">
        <v>210.3</v>
      </c>
    </row>
    <row r="30" spans="1:32" ht="15.75" x14ac:dyDescent="0.25">
      <c r="A30" s="22">
        <v>25</v>
      </c>
      <c r="B30" s="19">
        <v>200.9</v>
      </c>
      <c r="C30" s="22">
        <v>74</v>
      </c>
      <c r="D30" s="19">
        <v>194.6</v>
      </c>
      <c r="E30" s="22">
        <f t="shared" si="0"/>
        <v>123</v>
      </c>
      <c r="F30" s="19">
        <v>201.6</v>
      </c>
      <c r="G30" s="35">
        <v>172</v>
      </c>
      <c r="H30" s="19">
        <v>199.6</v>
      </c>
      <c r="I30" s="20"/>
      <c r="J30" s="36"/>
      <c r="L30" s="22">
        <v>25</v>
      </c>
      <c r="M30" s="19">
        <v>200.9</v>
      </c>
      <c r="N30" s="22">
        <v>74</v>
      </c>
      <c r="O30" s="19"/>
      <c r="P30" s="22">
        <f t="shared" si="1"/>
        <v>123</v>
      </c>
      <c r="Q30" s="19">
        <v>201.6</v>
      </c>
      <c r="R30" s="35">
        <v>172</v>
      </c>
      <c r="S30" s="19"/>
      <c r="T30" s="20"/>
      <c r="U30" s="36"/>
      <c r="W30" s="22">
        <v>25</v>
      </c>
      <c r="X30" s="19"/>
      <c r="Y30" s="22">
        <v>74</v>
      </c>
      <c r="Z30" s="19">
        <v>194.6</v>
      </c>
      <c r="AA30" s="22">
        <f t="shared" si="2"/>
        <v>123</v>
      </c>
      <c r="AB30" s="19"/>
      <c r="AC30" s="35">
        <v>172</v>
      </c>
      <c r="AD30" s="19">
        <v>199.6</v>
      </c>
      <c r="AE30" s="20"/>
      <c r="AF30" s="36"/>
    </row>
    <row r="31" spans="1:32" ht="15.75" x14ac:dyDescent="0.25">
      <c r="A31" s="22">
        <v>26</v>
      </c>
      <c r="B31" s="19">
        <v>203.1</v>
      </c>
      <c r="C31" s="22">
        <v>75</v>
      </c>
      <c r="D31" s="19">
        <v>194.2</v>
      </c>
      <c r="E31" s="22">
        <f t="shared" si="0"/>
        <v>124</v>
      </c>
      <c r="F31" s="19">
        <v>198.7</v>
      </c>
      <c r="G31" s="35">
        <v>173</v>
      </c>
      <c r="H31" s="19">
        <v>196.1</v>
      </c>
      <c r="I31" s="20"/>
      <c r="J31" s="36"/>
      <c r="L31" s="22">
        <v>26</v>
      </c>
      <c r="M31" s="19">
        <v>203.1</v>
      </c>
      <c r="N31" s="22">
        <v>75</v>
      </c>
      <c r="O31" s="19"/>
      <c r="P31" s="22">
        <f t="shared" si="1"/>
        <v>124</v>
      </c>
      <c r="Q31" s="19">
        <v>198.7</v>
      </c>
      <c r="R31" s="35">
        <v>173</v>
      </c>
      <c r="S31" s="19"/>
      <c r="T31" s="20"/>
      <c r="U31" s="36"/>
      <c r="W31" s="22">
        <v>26</v>
      </c>
      <c r="X31" s="19"/>
      <c r="Y31" s="22">
        <v>75</v>
      </c>
      <c r="Z31" s="19">
        <v>194.2</v>
      </c>
      <c r="AA31" s="22">
        <f t="shared" si="2"/>
        <v>124</v>
      </c>
      <c r="AB31" s="19"/>
      <c r="AC31" s="35">
        <v>173</v>
      </c>
      <c r="AD31" s="19">
        <v>196.1</v>
      </c>
      <c r="AE31" s="20"/>
      <c r="AF31" s="36"/>
    </row>
    <row r="32" spans="1:32" ht="15.75" x14ac:dyDescent="0.25">
      <c r="A32" s="22">
        <v>27</v>
      </c>
      <c r="B32" s="19">
        <v>198</v>
      </c>
      <c r="C32" s="22">
        <v>76</v>
      </c>
      <c r="D32" s="19">
        <v>198.4</v>
      </c>
      <c r="E32" s="22">
        <f t="shared" si="0"/>
        <v>125</v>
      </c>
      <c r="F32" s="19">
        <v>198.7</v>
      </c>
      <c r="G32" s="33">
        <v>174</v>
      </c>
      <c r="H32" s="19">
        <v>209.9</v>
      </c>
      <c r="I32" s="21"/>
      <c r="J32" s="36"/>
      <c r="L32" s="22">
        <v>27</v>
      </c>
      <c r="M32" s="19">
        <v>198</v>
      </c>
      <c r="N32" s="22">
        <v>76</v>
      </c>
      <c r="O32" s="19"/>
      <c r="P32" s="22">
        <f t="shared" si="1"/>
        <v>125</v>
      </c>
      <c r="Q32" s="19">
        <v>198.7</v>
      </c>
      <c r="R32" s="33">
        <v>174</v>
      </c>
      <c r="S32" s="19"/>
      <c r="T32" s="21"/>
      <c r="U32" s="36"/>
      <c r="W32" s="22">
        <v>27</v>
      </c>
      <c r="X32" s="19"/>
      <c r="Y32" s="22">
        <v>76</v>
      </c>
      <c r="Z32" s="19">
        <v>198.4</v>
      </c>
      <c r="AA32" s="22">
        <f t="shared" si="2"/>
        <v>125</v>
      </c>
      <c r="AB32" s="19"/>
      <c r="AC32" s="33">
        <v>174</v>
      </c>
      <c r="AD32" s="19">
        <v>209.9</v>
      </c>
      <c r="AE32" s="21"/>
      <c r="AF32" s="36"/>
    </row>
    <row r="33" spans="1:32" ht="15.75" x14ac:dyDescent="0.25">
      <c r="A33" s="22">
        <v>28</v>
      </c>
      <c r="B33" s="19">
        <v>197.1</v>
      </c>
      <c r="C33" s="22">
        <v>77</v>
      </c>
      <c r="D33" s="19">
        <v>196.6</v>
      </c>
      <c r="E33" s="22">
        <f t="shared" si="0"/>
        <v>126</v>
      </c>
      <c r="F33" s="19">
        <v>197</v>
      </c>
      <c r="G33" s="33">
        <v>175</v>
      </c>
      <c r="H33" s="19">
        <v>198.6</v>
      </c>
      <c r="I33" s="20"/>
      <c r="J33" s="36"/>
      <c r="L33" s="22">
        <v>28</v>
      </c>
      <c r="M33" s="19">
        <v>197.1</v>
      </c>
      <c r="N33" s="22">
        <v>77</v>
      </c>
      <c r="O33" s="19"/>
      <c r="P33" s="22">
        <f t="shared" si="1"/>
        <v>126</v>
      </c>
      <c r="Q33" s="19">
        <v>197</v>
      </c>
      <c r="R33" s="33">
        <v>175</v>
      </c>
      <c r="S33" s="19"/>
      <c r="T33" s="20"/>
      <c r="U33" s="36"/>
      <c r="W33" s="22">
        <v>28</v>
      </c>
      <c r="X33" s="19"/>
      <c r="Y33" s="22">
        <v>77</v>
      </c>
      <c r="Z33" s="19">
        <v>196.6</v>
      </c>
      <c r="AA33" s="22">
        <f t="shared" si="2"/>
        <v>126</v>
      </c>
      <c r="AB33" s="19"/>
      <c r="AC33" s="33">
        <v>175</v>
      </c>
      <c r="AD33" s="19">
        <v>198.6</v>
      </c>
      <c r="AE33" s="20"/>
      <c r="AF33" s="36"/>
    </row>
    <row r="34" spans="1:32" ht="15.75" x14ac:dyDescent="0.25">
      <c r="A34" s="22">
        <v>29</v>
      </c>
      <c r="B34" s="19">
        <v>195.8</v>
      </c>
      <c r="C34" s="22">
        <v>78</v>
      </c>
      <c r="D34" s="19">
        <v>201.4</v>
      </c>
      <c r="E34" s="22">
        <f t="shared" si="0"/>
        <v>127</v>
      </c>
      <c r="F34" s="19">
        <v>197.6</v>
      </c>
      <c r="G34" s="33">
        <v>176</v>
      </c>
      <c r="H34" s="19">
        <v>211.2</v>
      </c>
      <c r="I34" s="20"/>
      <c r="J34" s="36"/>
      <c r="L34" s="22">
        <v>29</v>
      </c>
      <c r="M34" s="19">
        <v>195.8</v>
      </c>
      <c r="N34" s="22">
        <v>78</v>
      </c>
      <c r="O34" s="19"/>
      <c r="P34" s="22">
        <f t="shared" si="1"/>
        <v>127</v>
      </c>
      <c r="Q34" s="19">
        <v>197.6</v>
      </c>
      <c r="R34" s="33">
        <v>176</v>
      </c>
      <c r="S34" s="19"/>
      <c r="T34" s="20"/>
      <c r="U34" s="36"/>
      <c r="W34" s="22">
        <v>29</v>
      </c>
      <c r="X34" s="19"/>
      <c r="Y34" s="22">
        <v>78</v>
      </c>
      <c r="Z34" s="19">
        <v>201.4</v>
      </c>
      <c r="AA34" s="22">
        <f t="shared" si="2"/>
        <v>127</v>
      </c>
      <c r="AB34" s="19"/>
      <c r="AC34" s="33">
        <v>176</v>
      </c>
      <c r="AD34" s="19">
        <v>211.2</v>
      </c>
      <c r="AE34" s="20"/>
      <c r="AF34" s="36"/>
    </row>
    <row r="35" spans="1:32" ht="15.75" x14ac:dyDescent="0.25">
      <c r="A35" s="22">
        <v>30</v>
      </c>
      <c r="B35" s="19">
        <v>199.3</v>
      </c>
      <c r="C35" s="22">
        <v>79</v>
      </c>
      <c r="D35" s="19">
        <v>195.7</v>
      </c>
      <c r="E35" s="22">
        <f t="shared" si="0"/>
        <v>128</v>
      </c>
      <c r="F35" s="19">
        <v>199.7</v>
      </c>
      <c r="G35" s="33">
        <v>177</v>
      </c>
      <c r="H35" s="19">
        <v>193.5</v>
      </c>
      <c r="I35" s="21"/>
      <c r="J35" s="36"/>
      <c r="L35" s="22">
        <v>30</v>
      </c>
      <c r="M35" s="19">
        <v>199.3</v>
      </c>
      <c r="N35" s="22">
        <v>79</v>
      </c>
      <c r="O35" s="19"/>
      <c r="P35" s="22">
        <f t="shared" si="1"/>
        <v>128</v>
      </c>
      <c r="Q35" s="19">
        <v>199.7</v>
      </c>
      <c r="R35" s="33">
        <v>177</v>
      </c>
      <c r="S35" s="19"/>
      <c r="T35" s="21"/>
      <c r="U35" s="36"/>
      <c r="W35" s="22">
        <v>30</v>
      </c>
      <c r="X35" s="19"/>
      <c r="Y35" s="22">
        <v>79</v>
      </c>
      <c r="Z35" s="19">
        <v>195.7</v>
      </c>
      <c r="AA35" s="22">
        <f t="shared" si="2"/>
        <v>128</v>
      </c>
      <c r="AB35" s="19"/>
      <c r="AC35" s="33">
        <v>177</v>
      </c>
      <c r="AD35" s="19">
        <v>193.5</v>
      </c>
      <c r="AE35" s="21"/>
      <c r="AF35" s="36"/>
    </row>
    <row r="36" spans="1:32" ht="15.75" x14ac:dyDescent="0.25">
      <c r="A36" s="22">
        <v>31</v>
      </c>
      <c r="B36" s="19">
        <v>194.8</v>
      </c>
      <c r="C36" s="22">
        <v>80</v>
      </c>
      <c r="D36" s="19">
        <v>201.6</v>
      </c>
      <c r="E36" s="22">
        <f t="shared" si="0"/>
        <v>129</v>
      </c>
      <c r="F36" s="19">
        <v>202.5</v>
      </c>
      <c r="G36" s="33">
        <v>178</v>
      </c>
      <c r="H36" s="19">
        <v>209.9</v>
      </c>
      <c r="I36" s="20"/>
      <c r="J36" s="36"/>
      <c r="L36" s="22">
        <v>31</v>
      </c>
      <c r="M36" s="19">
        <v>194.8</v>
      </c>
      <c r="N36" s="22">
        <v>80</v>
      </c>
      <c r="O36" s="19"/>
      <c r="P36" s="22">
        <f t="shared" si="1"/>
        <v>129</v>
      </c>
      <c r="Q36" s="19">
        <v>202.5</v>
      </c>
      <c r="R36" s="33">
        <v>178</v>
      </c>
      <c r="S36" s="19"/>
      <c r="T36" s="20"/>
      <c r="U36" s="36"/>
      <c r="W36" s="22">
        <v>31</v>
      </c>
      <c r="X36" s="19"/>
      <c r="Y36" s="22">
        <v>80</v>
      </c>
      <c r="Z36" s="19">
        <v>201.6</v>
      </c>
      <c r="AA36" s="22">
        <f t="shared" si="2"/>
        <v>129</v>
      </c>
      <c r="AB36" s="19"/>
      <c r="AC36" s="33">
        <v>178</v>
      </c>
      <c r="AD36" s="19">
        <v>209.9</v>
      </c>
      <c r="AE36" s="20"/>
      <c r="AF36" s="36"/>
    </row>
    <row r="37" spans="1:32" ht="15.75" x14ac:dyDescent="0.25">
      <c r="A37" s="22">
        <v>32</v>
      </c>
      <c r="B37" s="19">
        <v>199.9</v>
      </c>
      <c r="C37" s="22">
        <v>81</v>
      </c>
      <c r="D37" s="19">
        <v>199.2</v>
      </c>
      <c r="E37" s="22">
        <f t="shared" si="0"/>
        <v>130</v>
      </c>
      <c r="F37" s="19">
        <v>195.5</v>
      </c>
      <c r="G37" s="33">
        <v>179</v>
      </c>
      <c r="H37" s="19">
        <v>194.6</v>
      </c>
      <c r="I37" s="20"/>
      <c r="J37" s="36"/>
      <c r="L37" s="22">
        <v>32</v>
      </c>
      <c r="M37" s="19">
        <v>199.9</v>
      </c>
      <c r="N37" s="22">
        <v>81</v>
      </c>
      <c r="O37" s="19"/>
      <c r="P37" s="22">
        <f t="shared" si="1"/>
        <v>130</v>
      </c>
      <c r="Q37" s="19">
        <v>195.5</v>
      </c>
      <c r="R37" s="33">
        <v>179</v>
      </c>
      <c r="S37" s="19"/>
      <c r="T37" s="20"/>
      <c r="U37" s="36"/>
      <c r="W37" s="22">
        <v>32</v>
      </c>
      <c r="X37" s="19"/>
      <c r="Y37" s="22">
        <v>81</v>
      </c>
      <c r="Z37" s="19">
        <v>199.2</v>
      </c>
      <c r="AA37" s="22">
        <f t="shared" si="2"/>
        <v>130</v>
      </c>
      <c r="AB37" s="19"/>
      <c r="AC37" s="33">
        <v>179</v>
      </c>
      <c r="AD37" s="19">
        <v>194.6</v>
      </c>
      <c r="AE37" s="20"/>
      <c r="AF37" s="36"/>
    </row>
    <row r="38" spans="1:32" ht="15.75" x14ac:dyDescent="0.25">
      <c r="A38" s="22">
        <v>33</v>
      </c>
      <c r="B38" s="19">
        <v>197.5</v>
      </c>
      <c r="C38" s="22">
        <v>82</v>
      </c>
      <c r="D38" s="19">
        <v>206.2</v>
      </c>
      <c r="E38" s="22">
        <f t="shared" si="0"/>
        <v>131</v>
      </c>
      <c r="F38" s="19">
        <v>202.2</v>
      </c>
      <c r="G38" s="33">
        <v>180</v>
      </c>
      <c r="H38" s="19">
        <v>203</v>
      </c>
      <c r="I38" s="21"/>
      <c r="J38" s="36"/>
      <c r="L38" s="22">
        <v>33</v>
      </c>
      <c r="M38" s="19">
        <v>197.5</v>
      </c>
      <c r="N38" s="22">
        <v>82</v>
      </c>
      <c r="O38" s="19"/>
      <c r="P38" s="22">
        <f t="shared" si="1"/>
        <v>131</v>
      </c>
      <c r="Q38" s="19">
        <v>202.2</v>
      </c>
      <c r="R38" s="33">
        <v>180</v>
      </c>
      <c r="S38" s="19"/>
      <c r="T38" s="21"/>
      <c r="U38" s="36"/>
      <c r="W38" s="22">
        <v>33</v>
      </c>
      <c r="X38" s="19"/>
      <c r="Y38" s="22">
        <v>82</v>
      </c>
      <c r="Z38" s="19">
        <v>206.2</v>
      </c>
      <c r="AA38" s="22">
        <f t="shared" si="2"/>
        <v>131</v>
      </c>
      <c r="AB38" s="19"/>
      <c r="AC38" s="33">
        <v>180</v>
      </c>
      <c r="AD38" s="19">
        <v>203</v>
      </c>
      <c r="AE38" s="21"/>
      <c r="AF38" s="36"/>
    </row>
    <row r="39" spans="1:32" ht="15.75" x14ac:dyDescent="0.25">
      <c r="A39" s="22">
        <v>34</v>
      </c>
      <c r="B39" s="19">
        <v>196</v>
      </c>
      <c r="C39" s="22">
        <v>83</v>
      </c>
      <c r="D39" s="19">
        <v>197.7</v>
      </c>
      <c r="E39" s="22">
        <f t="shared" si="0"/>
        <v>132</v>
      </c>
      <c r="F39" s="19">
        <v>198.9</v>
      </c>
      <c r="G39" s="33">
        <v>181</v>
      </c>
      <c r="H39" s="19">
        <v>202.1</v>
      </c>
      <c r="I39" s="21"/>
      <c r="J39" s="36"/>
      <c r="L39" s="22">
        <v>34</v>
      </c>
      <c r="M39" s="19">
        <v>196</v>
      </c>
      <c r="N39" s="22">
        <v>83</v>
      </c>
      <c r="O39" s="19"/>
      <c r="P39" s="22">
        <f t="shared" si="1"/>
        <v>132</v>
      </c>
      <c r="Q39" s="19">
        <v>198.9</v>
      </c>
      <c r="R39" s="33">
        <v>181</v>
      </c>
      <c r="S39" s="19"/>
      <c r="T39" s="21"/>
      <c r="U39" s="36"/>
      <c r="W39" s="22">
        <v>34</v>
      </c>
      <c r="X39" s="19"/>
      <c r="Y39" s="22">
        <v>83</v>
      </c>
      <c r="Z39" s="19">
        <v>197.7</v>
      </c>
      <c r="AA39" s="22">
        <f t="shared" si="2"/>
        <v>132</v>
      </c>
      <c r="AB39" s="19"/>
      <c r="AC39" s="33">
        <v>181</v>
      </c>
      <c r="AD39" s="19">
        <v>202.1</v>
      </c>
      <c r="AE39" s="21"/>
      <c r="AF39" s="36"/>
    </row>
    <row r="40" spans="1:32" ht="15.75" x14ac:dyDescent="0.25">
      <c r="A40" s="22">
        <v>35</v>
      </c>
      <c r="B40" s="19">
        <v>197.7</v>
      </c>
      <c r="C40" s="22">
        <v>84</v>
      </c>
      <c r="D40" s="19">
        <v>195.2</v>
      </c>
      <c r="E40" s="22">
        <f t="shared" si="0"/>
        <v>133</v>
      </c>
      <c r="F40" s="19">
        <v>198</v>
      </c>
      <c r="G40" s="33">
        <v>182</v>
      </c>
      <c r="H40" s="19">
        <v>204.7</v>
      </c>
      <c r="I40" s="20"/>
      <c r="J40" s="36"/>
      <c r="L40" s="22">
        <v>35</v>
      </c>
      <c r="M40" s="19">
        <v>197.7</v>
      </c>
      <c r="N40" s="22">
        <v>84</v>
      </c>
      <c r="O40" s="19"/>
      <c r="P40" s="22">
        <f t="shared" si="1"/>
        <v>133</v>
      </c>
      <c r="Q40" s="19">
        <v>198</v>
      </c>
      <c r="R40" s="33">
        <v>182</v>
      </c>
      <c r="S40" s="19"/>
      <c r="T40" s="20"/>
      <c r="U40" s="36"/>
      <c r="W40" s="22">
        <v>35</v>
      </c>
      <c r="X40" s="19"/>
      <c r="Y40" s="22">
        <v>84</v>
      </c>
      <c r="Z40" s="19">
        <v>195.2</v>
      </c>
      <c r="AA40" s="22">
        <f t="shared" si="2"/>
        <v>133</v>
      </c>
      <c r="AB40" s="19"/>
      <c r="AC40" s="33">
        <v>182</v>
      </c>
      <c r="AD40" s="19">
        <v>204.7</v>
      </c>
      <c r="AE40" s="20"/>
      <c r="AF40" s="36"/>
    </row>
    <row r="41" spans="1:32" ht="15.75" x14ac:dyDescent="0.25">
      <c r="A41" s="22">
        <v>36</v>
      </c>
      <c r="B41" s="19">
        <v>200.3</v>
      </c>
      <c r="C41" s="22">
        <v>85</v>
      </c>
      <c r="D41" s="19">
        <v>204.6</v>
      </c>
      <c r="E41" s="22">
        <f t="shared" si="0"/>
        <v>134</v>
      </c>
      <c r="F41" s="19">
        <v>202</v>
      </c>
      <c r="G41" s="33">
        <v>183</v>
      </c>
      <c r="H41" s="19">
        <v>196.9</v>
      </c>
      <c r="I41" s="20"/>
      <c r="J41" s="36"/>
      <c r="L41" s="22">
        <v>36</v>
      </c>
      <c r="M41" s="19"/>
      <c r="N41" s="22">
        <v>85</v>
      </c>
      <c r="O41" s="19"/>
      <c r="P41" s="22">
        <f t="shared" si="1"/>
        <v>134</v>
      </c>
      <c r="Q41" s="19">
        <v>202</v>
      </c>
      <c r="R41" s="33">
        <v>183</v>
      </c>
      <c r="S41" s="19"/>
      <c r="T41" s="20"/>
      <c r="U41" s="36"/>
      <c r="W41" s="22">
        <v>36</v>
      </c>
      <c r="X41" s="19">
        <v>200.3</v>
      </c>
      <c r="Y41" s="22">
        <v>85</v>
      </c>
      <c r="Z41" s="19">
        <v>204.6</v>
      </c>
      <c r="AA41" s="22">
        <f t="shared" si="2"/>
        <v>134</v>
      </c>
      <c r="AB41" s="19"/>
      <c r="AC41" s="33">
        <v>183</v>
      </c>
      <c r="AD41" s="19">
        <v>196.9</v>
      </c>
      <c r="AE41" s="20"/>
      <c r="AF41" s="36"/>
    </row>
    <row r="42" spans="1:32" ht="15.75" x14ac:dyDescent="0.25">
      <c r="A42" s="22">
        <v>37</v>
      </c>
      <c r="B42" s="19">
        <v>198.8</v>
      </c>
      <c r="C42" s="22">
        <v>86</v>
      </c>
      <c r="D42" s="19">
        <v>195.4</v>
      </c>
      <c r="E42" s="22">
        <f t="shared" si="0"/>
        <v>135</v>
      </c>
      <c r="F42" s="19">
        <v>201.4</v>
      </c>
      <c r="G42" s="33">
        <v>184</v>
      </c>
      <c r="H42" s="19">
        <v>202</v>
      </c>
      <c r="I42" s="21"/>
      <c r="J42" s="36"/>
      <c r="L42" s="22">
        <v>37</v>
      </c>
      <c r="M42" s="19"/>
      <c r="N42" s="22">
        <v>86</v>
      </c>
      <c r="O42" s="19"/>
      <c r="P42" s="22">
        <f t="shared" si="1"/>
        <v>135</v>
      </c>
      <c r="Q42" s="19">
        <v>201.4</v>
      </c>
      <c r="R42" s="33">
        <v>184</v>
      </c>
      <c r="S42" s="19"/>
      <c r="T42" s="21"/>
      <c r="U42" s="36"/>
      <c r="W42" s="22">
        <v>37</v>
      </c>
      <c r="X42" s="19">
        <v>198.8</v>
      </c>
      <c r="Y42" s="22">
        <v>86</v>
      </c>
      <c r="Z42" s="19">
        <v>195.4</v>
      </c>
      <c r="AA42" s="22">
        <f t="shared" si="2"/>
        <v>135</v>
      </c>
      <c r="AB42" s="19"/>
      <c r="AC42" s="33">
        <v>184</v>
      </c>
      <c r="AD42" s="19">
        <v>202</v>
      </c>
      <c r="AE42" s="21"/>
      <c r="AF42" s="36"/>
    </row>
    <row r="43" spans="1:32" ht="15.75" x14ac:dyDescent="0.25">
      <c r="A43" s="22">
        <v>38</v>
      </c>
      <c r="B43" s="19">
        <v>202</v>
      </c>
      <c r="C43" s="22">
        <v>87</v>
      </c>
      <c r="D43" s="19">
        <v>203</v>
      </c>
      <c r="E43" s="22">
        <f t="shared" si="0"/>
        <v>136</v>
      </c>
      <c r="F43" s="19">
        <v>200.9</v>
      </c>
      <c r="G43" s="33">
        <v>185</v>
      </c>
      <c r="H43" s="19">
        <v>210.4</v>
      </c>
      <c r="I43" s="20"/>
      <c r="J43" s="36"/>
      <c r="L43" s="22">
        <v>38</v>
      </c>
      <c r="M43" s="19"/>
      <c r="N43" s="22">
        <v>87</v>
      </c>
      <c r="O43" s="19"/>
      <c r="P43" s="22">
        <f t="shared" si="1"/>
        <v>136</v>
      </c>
      <c r="Q43" s="19">
        <v>200.9</v>
      </c>
      <c r="R43" s="33">
        <v>185</v>
      </c>
      <c r="S43" s="19"/>
      <c r="T43" s="20"/>
      <c r="U43" s="36"/>
      <c r="W43" s="22">
        <v>38</v>
      </c>
      <c r="X43" s="19">
        <v>202</v>
      </c>
      <c r="Y43" s="22">
        <v>87</v>
      </c>
      <c r="Z43" s="19">
        <v>203</v>
      </c>
      <c r="AA43" s="22">
        <f t="shared" si="2"/>
        <v>136</v>
      </c>
      <c r="AB43" s="19"/>
      <c r="AC43" s="33">
        <v>185</v>
      </c>
      <c r="AD43" s="19">
        <v>210.4</v>
      </c>
      <c r="AE43" s="20"/>
      <c r="AF43" s="36"/>
    </row>
    <row r="44" spans="1:32" ht="15.75" x14ac:dyDescent="0.25">
      <c r="A44" s="22">
        <v>39</v>
      </c>
      <c r="B44" s="19">
        <v>202.3</v>
      </c>
      <c r="C44" s="22">
        <v>88</v>
      </c>
      <c r="D44" s="19">
        <v>203.3</v>
      </c>
      <c r="E44" s="22">
        <f t="shared" si="0"/>
        <v>137</v>
      </c>
      <c r="F44" s="19">
        <v>193.6</v>
      </c>
      <c r="G44" s="33">
        <v>186</v>
      </c>
      <c r="H44" s="19">
        <v>197.5</v>
      </c>
      <c r="I44" s="20"/>
      <c r="J44" s="36"/>
      <c r="L44" s="22">
        <v>39</v>
      </c>
      <c r="M44" s="19"/>
      <c r="N44" s="22">
        <v>88</v>
      </c>
      <c r="O44" s="19"/>
      <c r="P44" s="22">
        <f t="shared" si="1"/>
        <v>137</v>
      </c>
      <c r="Q44" s="19">
        <v>193.6</v>
      </c>
      <c r="R44" s="33">
        <v>186</v>
      </c>
      <c r="S44" s="19"/>
      <c r="T44" s="20"/>
      <c r="U44" s="36"/>
      <c r="W44" s="22">
        <v>39</v>
      </c>
      <c r="X44" s="19">
        <v>202.3</v>
      </c>
      <c r="Y44" s="22">
        <v>88</v>
      </c>
      <c r="Z44" s="19">
        <v>203.3</v>
      </c>
      <c r="AA44" s="22">
        <f t="shared" si="2"/>
        <v>137</v>
      </c>
      <c r="AB44" s="19"/>
      <c r="AC44" s="33">
        <v>186</v>
      </c>
      <c r="AD44" s="19">
        <v>197.5</v>
      </c>
      <c r="AE44" s="20"/>
      <c r="AF44" s="36"/>
    </row>
    <row r="45" spans="1:32" ht="15.75" x14ac:dyDescent="0.25">
      <c r="A45" s="22">
        <v>40</v>
      </c>
      <c r="B45" s="19">
        <v>197.1</v>
      </c>
      <c r="C45" s="22">
        <v>89</v>
      </c>
      <c r="D45" s="19">
        <v>199.6</v>
      </c>
      <c r="E45" s="22">
        <f t="shared" si="0"/>
        <v>138</v>
      </c>
      <c r="F45" s="19">
        <v>201.2</v>
      </c>
      <c r="G45" s="33">
        <v>187</v>
      </c>
      <c r="H45" s="19">
        <v>210.6</v>
      </c>
      <c r="I45" s="21"/>
      <c r="J45" s="36"/>
      <c r="L45" s="22">
        <v>40</v>
      </c>
      <c r="M45" s="19"/>
      <c r="N45" s="22">
        <v>89</v>
      </c>
      <c r="O45" s="19"/>
      <c r="P45" s="22">
        <f t="shared" si="1"/>
        <v>138</v>
      </c>
      <c r="Q45" s="19">
        <v>201.2</v>
      </c>
      <c r="R45" s="33">
        <v>187</v>
      </c>
      <c r="S45" s="19"/>
      <c r="T45" s="21"/>
      <c r="U45" s="36"/>
      <c r="W45" s="22">
        <v>40</v>
      </c>
      <c r="X45" s="19">
        <v>197.1</v>
      </c>
      <c r="Y45" s="22">
        <v>89</v>
      </c>
      <c r="Z45" s="19">
        <v>199.6</v>
      </c>
      <c r="AA45" s="22">
        <f t="shared" si="2"/>
        <v>138</v>
      </c>
      <c r="AB45" s="19"/>
      <c r="AC45" s="33">
        <v>187</v>
      </c>
      <c r="AD45" s="19">
        <v>210.6</v>
      </c>
      <c r="AE45" s="21"/>
      <c r="AF45" s="36"/>
    </row>
    <row r="46" spans="1:32" ht="15.75" x14ac:dyDescent="0.25">
      <c r="A46" s="22">
        <v>41</v>
      </c>
      <c r="B46" s="19">
        <v>200.3</v>
      </c>
      <c r="C46" s="22">
        <v>90</v>
      </c>
      <c r="D46" s="19">
        <v>192.7</v>
      </c>
      <c r="E46" s="22">
        <f t="shared" si="0"/>
        <v>139</v>
      </c>
      <c r="F46" s="19">
        <v>198.4</v>
      </c>
      <c r="G46" s="33">
        <v>188</v>
      </c>
      <c r="H46" s="19">
        <v>198</v>
      </c>
      <c r="I46" s="20"/>
      <c r="J46" s="36"/>
      <c r="L46" s="22">
        <v>41</v>
      </c>
      <c r="M46" s="19"/>
      <c r="N46" s="22">
        <v>90</v>
      </c>
      <c r="O46" s="19"/>
      <c r="P46" s="22">
        <f t="shared" si="1"/>
        <v>139</v>
      </c>
      <c r="Q46" s="19">
        <v>198.4</v>
      </c>
      <c r="R46" s="33">
        <v>188</v>
      </c>
      <c r="S46" s="19"/>
      <c r="T46" s="20"/>
      <c r="U46" s="36"/>
      <c r="W46" s="22">
        <v>41</v>
      </c>
      <c r="X46" s="19">
        <v>200.3</v>
      </c>
      <c r="Y46" s="22">
        <v>90</v>
      </c>
      <c r="Z46" s="19">
        <v>192.7</v>
      </c>
      <c r="AA46" s="22">
        <f t="shared" si="2"/>
        <v>139</v>
      </c>
      <c r="AB46" s="19"/>
      <c r="AC46" s="33">
        <v>188</v>
      </c>
      <c r="AD46" s="19">
        <v>198</v>
      </c>
      <c r="AE46" s="20"/>
      <c r="AF46" s="36"/>
    </row>
    <row r="47" spans="1:32" ht="15.75" x14ac:dyDescent="0.25">
      <c r="A47" s="22">
        <v>42</v>
      </c>
      <c r="B47" s="19">
        <v>201.4</v>
      </c>
      <c r="C47" s="22">
        <v>91</v>
      </c>
      <c r="D47" s="19">
        <v>199.2</v>
      </c>
      <c r="E47" s="22">
        <f t="shared" si="0"/>
        <v>140</v>
      </c>
      <c r="F47" s="19">
        <v>192.6</v>
      </c>
      <c r="G47" s="33">
        <v>189</v>
      </c>
      <c r="H47" s="19">
        <v>209.4</v>
      </c>
      <c r="I47" s="20"/>
      <c r="J47" s="36"/>
      <c r="L47" s="22">
        <v>42</v>
      </c>
      <c r="M47" s="19"/>
      <c r="N47" s="22">
        <v>91</v>
      </c>
      <c r="O47" s="19"/>
      <c r="P47" s="22">
        <f t="shared" si="1"/>
        <v>140</v>
      </c>
      <c r="Q47" s="19">
        <v>192.6</v>
      </c>
      <c r="R47" s="33">
        <v>189</v>
      </c>
      <c r="S47" s="19"/>
      <c r="T47" s="20"/>
      <c r="U47" s="36"/>
      <c r="W47" s="22">
        <v>42</v>
      </c>
      <c r="X47" s="19">
        <v>201.4</v>
      </c>
      <c r="Y47" s="22">
        <v>91</v>
      </c>
      <c r="Z47" s="19">
        <v>199.2</v>
      </c>
      <c r="AA47" s="22">
        <f t="shared" si="2"/>
        <v>140</v>
      </c>
      <c r="AB47" s="19"/>
      <c r="AC47" s="33">
        <v>189</v>
      </c>
      <c r="AD47" s="19">
        <v>209.4</v>
      </c>
      <c r="AE47" s="20"/>
      <c r="AF47" s="36"/>
    </row>
    <row r="48" spans="1:32" ht="15.75" x14ac:dyDescent="0.25">
      <c r="A48" s="22">
        <v>43</v>
      </c>
      <c r="B48" s="19">
        <v>198.9</v>
      </c>
      <c r="C48" s="22">
        <v>92</v>
      </c>
      <c r="D48" s="19">
        <v>192.5</v>
      </c>
      <c r="E48" s="22">
        <f t="shared" si="0"/>
        <v>141</v>
      </c>
      <c r="F48" s="19">
        <v>206.6</v>
      </c>
      <c r="G48" s="33">
        <v>190</v>
      </c>
      <c r="H48" s="19">
        <v>199.5</v>
      </c>
      <c r="I48" s="21"/>
      <c r="J48" s="36"/>
      <c r="L48" s="22">
        <v>43</v>
      </c>
      <c r="M48" s="19"/>
      <c r="N48" s="22">
        <v>92</v>
      </c>
      <c r="O48" s="19"/>
      <c r="P48" s="22">
        <f t="shared" si="1"/>
        <v>141</v>
      </c>
      <c r="Q48" s="19">
        <v>206.6</v>
      </c>
      <c r="R48" s="33">
        <v>190</v>
      </c>
      <c r="S48" s="19"/>
      <c r="T48" s="21"/>
      <c r="U48" s="36"/>
      <c r="W48" s="22">
        <v>43</v>
      </c>
      <c r="X48" s="19">
        <v>198.9</v>
      </c>
      <c r="Y48" s="22">
        <v>92</v>
      </c>
      <c r="Z48" s="19">
        <v>192.5</v>
      </c>
      <c r="AA48" s="22">
        <f t="shared" si="2"/>
        <v>141</v>
      </c>
      <c r="AB48" s="19"/>
      <c r="AC48" s="33">
        <v>190</v>
      </c>
      <c r="AD48" s="19">
        <v>199.5</v>
      </c>
      <c r="AE48" s="21"/>
      <c r="AF48" s="36"/>
    </row>
    <row r="49" spans="1:32" ht="15.75" x14ac:dyDescent="0.25">
      <c r="A49" s="22">
        <v>44</v>
      </c>
      <c r="B49" s="19">
        <v>197</v>
      </c>
      <c r="C49" s="22">
        <v>93</v>
      </c>
      <c r="D49" s="19">
        <v>199.5</v>
      </c>
      <c r="E49" s="22">
        <f t="shared" si="0"/>
        <v>142</v>
      </c>
      <c r="F49" s="19">
        <v>196.2</v>
      </c>
      <c r="G49" s="33">
        <v>191</v>
      </c>
      <c r="H49" s="19">
        <v>197.7</v>
      </c>
      <c r="I49" s="21"/>
      <c r="J49" s="36"/>
      <c r="L49" s="22">
        <v>44</v>
      </c>
      <c r="M49" s="19"/>
      <c r="N49" s="22">
        <v>93</v>
      </c>
      <c r="O49" s="19"/>
      <c r="P49" s="22">
        <f t="shared" si="1"/>
        <v>142</v>
      </c>
      <c r="Q49" s="19">
        <v>196.2</v>
      </c>
      <c r="R49" s="33">
        <v>191</v>
      </c>
      <c r="S49" s="19"/>
      <c r="T49" s="21"/>
      <c r="U49" s="36"/>
      <c r="W49" s="22">
        <v>44</v>
      </c>
      <c r="X49" s="19">
        <v>197</v>
      </c>
      <c r="Y49" s="22">
        <v>93</v>
      </c>
      <c r="Z49" s="19">
        <v>199.5</v>
      </c>
      <c r="AA49" s="22">
        <f t="shared" si="2"/>
        <v>142</v>
      </c>
      <c r="AB49" s="19"/>
      <c r="AC49" s="33">
        <v>191</v>
      </c>
      <c r="AD49" s="19">
        <v>197.7</v>
      </c>
      <c r="AE49" s="21"/>
      <c r="AF49" s="36"/>
    </row>
    <row r="50" spans="1:32" ht="15.75" x14ac:dyDescent="0.25">
      <c r="A50" s="22">
        <v>45</v>
      </c>
      <c r="B50" s="19">
        <v>200.1</v>
      </c>
      <c r="C50" s="22">
        <v>94</v>
      </c>
      <c r="D50" s="19">
        <v>194.3</v>
      </c>
      <c r="E50" s="22">
        <f t="shared" si="0"/>
        <v>143</v>
      </c>
      <c r="F50" s="19">
        <v>204.9</v>
      </c>
      <c r="G50" s="33">
        <v>192</v>
      </c>
      <c r="H50" s="19">
        <v>203.1</v>
      </c>
      <c r="I50" s="20"/>
      <c r="J50" s="36"/>
      <c r="L50" s="22">
        <v>45</v>
      </c>
      <c r="M50" s="19"/>
      <c r="N50" s="22">
        <v>94</v>
      </c>
      <c r="O50" s="19"/>
      <c r="P50" s="22">
        <f t="shared" si="1"/>
        <v>143</v>
      </c>
      <c r="Q50" s="19">
        <v>204.9</v>
      </c>
      <c r="R50" s="33">
        <v>192</v>
      </c>
      <c r="S50" s="19"/>
      <c r="T50" s="20"/>
      <c r="U50" s="36"/>
      <c r="W50" s="22">
        <v>45</v>
      </c>
      <c r="X50" s="19">
        <v>200.1</v>
      </c>
      <c r="Y50" s="22">
        <v>94</v>
      </c>
      <c r="Z50" s="19">
        <v>194.3</v>
      </c>
      <c r="AA50" s="22">
        <f t="shared" si="2"/>
        <v>143</v>
      </c>
      <c r="AB50" s="19"/>
      <c r="AC50" s="33">
        <v>192</v>
      </c>
      <c r="AD50" s="19">
        <v>203.1</v>
      </c>
      <c r="AE50" s="20"/>
      <c r="AF50" s="36"/>
    </row>
    <row r="51" spans="1:32" ht="15.75" x14ac:dyDescent="0.25">
      <c r="A51" s="22">
        <v>46</v>
      </c>
      <c r="B51" s="19">
        <v>190.3</v>
      </c>
      <c r="C51" s="22">
        <v>95</v>
      </c>
      <c r="D51" s="19">
        <v>199.8</v>
      </c>
      <c r="E51" s="22">
        <f t="shared" si="0"/>
        <v>144</v>
      </c>
      <c r="F51" s="19">
        <v>196.1</v>
      </c>
      <c r="G51" s="33">
        <v>193</v>
      </c>
      <c r="H51" s="19">
        <v>201.9</v>
      </c>
      <c r="I51" s="20"/>
      <c r="J51" s="36"/>
      <c r="L51" s="22">
        <v>46</v>
      </c>
      <c r="M51" s="19"/>
      <c r="N51" s="22">
        <v>95</v>
      </c>
      <c r="O51" s="19">
        <v>199.8</v>
      </c>
      <c r="P51" s="22">
        <f t="shared" si="1"/>
        <v>144</v>
      </c>
      <c r="Q51" s="19">
        <v>196.1</v>
      </c>
      <c r="R51" s="33">
        <v>193</v>
      </c>
      <c r="S51" s="19"/>
      <c r="T51" s="20"/>
      <c r="U51" s="36"/>
      <c r="W51" s="22">
        <v>46</v>
      </c>
      <c r="X51" s="19">
        <v>190.3</v>
      </c>
      <c r="Y51" s="22">
        <v>95</v>
      </c>
      <c r="Z51" s="19"/>
      <c r="AA51" s="22">
        <f t="shared" si="2"/>
        <v>144</v>
      </c>
      <c r="AB51" s="19"/>
      <c r="AC51" s="33">
        <v>193</v>
      </c>
      <c r="AD51" s="19">
        <v>201.9</v>
      </c>
      <c r="AE51" s="20"/>
      <c r="AF51" s="36"/>
    </row>
    <row r="52" spans="1:32" ht="15.75" x14ac:dyDescent="0.25">
      <c r="A52" s="22">
        <v>47</v>
      </c>
      <c r="B52" s="19">
        <v>197.4</v>
      </c>
      <c r="C52" s="22">
        <v>96</v>
      </c>
      <c r="D52" s="19">
        <v>198</v>
      </c>
      <c r="E52" s="22">
        <f t="shared" si="0"/>
        <v>145</v>
      </c>
      <c r="F52" s="19">
        <v>194.2</v>
      </c>
      <c r="G52" s="33">
        <v>194</v>
      </c>
      <c r="H52" s="19">
        <v>209.8</v>
      </c>
      <c r="I52" s="21"/>
      <c r="J52" s="36"/>
      <c r="L52" s="22">
        <v>47</v>
      </c>
      <c r="M52" s="19"/>
      <c r="N52" s="22">
        <v>96</v>
      </c>
      <c r="O52" s="19">
        <v>198</v>
      </c>
      <c r="P52" s="22">
        <f t="shared" si="1"/>
        <v>145</v>
      </c>
      <c r="Q52" s="19">
        <v>194.2</v>
      </c>
      <c r="R52" s="33">
        <v>194</v>
      </c>
      <c r="S52" s="19"/>
      <c r="T52" s="21"/>
      <c r="U52" s="36"/>
      <c r="W52" s="22">
        <v>47</v>
      </c>
      <c r="X52" s="19">
        <v>197.4</v>
      </c>
      <c r="Y52" s="22">
        <v>96</v>
      </c>
      <c r="Z52" s="19"/>
      <c r="AA52" s="22">
        <f t="shared" si="2"/>
        <v>145</v>
      </c>
      <c r="AB52" s="19"/>
      <c r="AC52" s="33">
        <v>194</v>
      </c>
      <c r="AD52" s="19">
        <v>209.8</v>
      </c>
      <c r="AE52" s="21"/>
      <c r="AF52" s="36"/>
    </row>
    <row r="53" spans="1:32" ht="15.75" x14ac:dyDescent="0.25">
      <c r="A53" s="22">
        <v>48</v>
      </c>
      <c r="B53" s="19">
        <v>200</v>
      </c>
      <c r="C53" s="22">
        <v>97</v>
      </c>
      <c r="D53" s="19">
        <v>195.2</v>
      </c>
      <c r="E53" s="22">
        <f t="shared" si="0"/>
        <v>146</v>
      </c>
      <c r="F53" s="19">
        <v>202</v>
      </c>
      <c r="G53" s="33">
        <v>195</v>
      </c>
      <c r="H53" s="19">
        <v>200</v>
      </c>
      <c r="I53" s="20"/>
      <c r="J53" s="36"/>
      <c r="L53" s="22">
        <v>48</v>
      </c>
      <c r="M53" s="19"/>
      <c r="N53" s="22">
        <v>97</v>
      </c>
      <c r="O53" s="19">
        <v>195.2</v>
      </c>
      <c r="P53" s="22">
        <f t="shared" si="1"/>
        <v>146</v>
      </c>
      <c r="Q53" s="19">
        <v>202</v>
      </c>
      <c r="R53" s="33">
        <v>195</v>
      </c>
      <c r="S53" s="19"/>
      <c r="T53" s="20"/>
      <c r="U53" s="36"/>
      <c r="W53" s="22">
        <v>48</v>
      </c>
      <c r="X53" s="19">
        <v>200</v>
      </c>
      <c r="Y53" s="22">
        <v>97</v>
      </c>
      <c r="Z53" s="19"/>
      <c r="AA53" s="22">
        <f t="shared" si="2"/>
        <v>146</v>
      </c>
      <c r="AB53" s="19"/>
      <c r="AC53" s="33">
        <v>195</v>
      </c>
      <c r="AD53" s="19">
        <v>200</v>
      </c>
      <c r="AE53" s="20"/>
      <c r="AF53" s="36"/>
    </row>
    <row r="54" spans="1:32" ht="15.75" x14ac:dyDescent="0.25">
      <c r="A54" s="37">
        <v>49</v>
      </c>
      <c r="B54" s="19">
        <v>195.4</v>
      </c>
      <c r="C54" s="37">
        <v>98</v>
      </c>
      <c r="D54" s="19">
        <v>199.5</v>
      </c>
      <c r="E54" s="22">
        <f t="shared" si="0"/>
        <v>147</v>
      </c>
      <c r="F54" s="19">
        <v>204.6</v>
      </c>
      <c r="G54" s="38">
        <v>196</v>
      </c>
      <c r="H54" s="19">
        <v>209.2</v>
      </c>
      <c r="I54" s="39"/>
      <c r="J54" s="40"/>
      <c r="L54" s="37">
        <v>49</v>
      </c>
      <c r="M54" s="19"/>
      <c r="N54" s="37">
        <v>98</v>
      </c>
      <c r="O54" s="19">
        <v>199.5</v>
      </c>
      <c r="P54" s="22">
        <f t="shared" si="1"/>
        <v>147</v>
      </c>
      <c r="Q54" s="19">
        <v>204.6</v>
      </c>
      <c r="R54" s="38">
        <v>196</v>
      </c>
      <c r="S54" s="19"/>
      <c r="T54" s="39"/>
      <c r="U54" s="40"/>
      <c r="W54" s="37">
        <v>49</v>
      </c>
      <c r="X54" s="19">
        <v>195.4</v>
      </c>
      <c r="Y54" s="37">
        <v>98</v>
      </c>
      <c r="Z54" s="19"/>
      <c r="AA54" s="22">
        <f t="shared" si="2"/>
        <v>147</v>
      </c>
      <c r="AB54" s="19"/>
      <c r="AC54" s="38">
        <v>196</v>
      </c>
      <c r="AD54" s="19">
        <v>209.2</v>
      </c>
      <c r="AE54" s="39"/>
      <c r="AF54" s="40"/>
    </row>
    <row r="55" spans="1:32" ht="15.75" x14ac:dyDescent="0.25">
      <c r="A55" s="41"/>
      <c r="B55" s="23">
        <f>SUM(B6:B54)</f>
        <v>9844.4999999999982</v>
      </c>
      <c r="C55" s="23"/>
      <c r="D55" s="23">
        <f>SUM(D6:D54)</f>
        <v>9736</v>
      </c>
      <c r="E55" s="23"/>
      <c r="F55" s="23">
        <f>SUM(F6:F54)</f>
        <v>9774</v>
      </c>
      <c r="G55" s="23"/>
      <c r="H55" s="23">
        <f>SUM(H6:H54)</f>
        <v>9882.3000000000011</v>
      </c>
      <c r="I55" s="41"/>
      <c r="J55" s="41">
        <f>SUM(J6:J54)</f>
        <v>4896.3</v>
      </c>
      <c r="L55" s="41"/>
      <c r="M55" s="23">
        <f>SUM(M6:M54)</f>
        <v>7063.2</v>
      </c>
      <c r="N55" s="23"/>
      <c r="O55" s="23">
        <f>SUM(O6:O54)</f>
        <v>792.5</v>
      </c>
      <c r="P55" s="23"/>
      <c r="Q55" s="23">
        <f>SUM(Q6:Q54)</f>
        <v>9774</v>
      </c>
      <c r="R55" s="23"/>
      <c r="S55" s="23">
        <f>SUM(S6:S54)</f>
        <v>2603.2000000000003</v>
      </c>
      <c r="T55" s="41"/>
      <c r="U55" s="41">
        <f>SUM(U6:U54)</f>
        <v>0</v>
      </c>
      <c r="W55" s="41"/>
      <c r="X55" s="23">
        <f>SUM(X6:X54)</f>
        <v>2781.3000000000006</v>
      </c>
      <c r="Y55" s="23"/>
      <c r="Z55" s="23">
        <f>SUM(Z6:Z54)</f>
        <v>8943.5</v>
      </c>
      <c r="AA55" s="23"/>
      <c r="AB55" s="23">
        <f>SUM(AB6:AB54)</f>
        <v>0</v>
      </c>
      <c r="AC55" s="23"/>
      <c r="AD55" s="23">
        <f>SUM(AD6:AD54)</f>
        <v>7279.0999999999985</v>
      </c>
      <c r="AE55" s="41"/>
      <c r="AF55" s="41">
        <f>SUM(AF6:AF54)</f>
        <v>4896.3</v>
      </c>
    </row>
    <row r="56" spans="1:32" ht="15.75" x14ac:dyDescent="0.25">
      <c r="A56" s="42" t="s">
        <v>5</v>
      </c>
      <c r="B56" s="43">
        <f>COUNT(B6:B54,D6:D54,F6:F54,H6:H54,J6:J54)</f>
        <v>220</v>
      </c>
      <c r="C56" s="13" t="s">
        <v>6</v>
      </c>
      <c r="D56" s="44"/>
      <c r="E56" s="45">
        <f>B55+D55+F55+H55+J55</f>
        <v>44133.100000000006</v>
      </c>
      <c r="F56" s="24" t="s">
        <v>7</v>
      </c>
      <c r="G56" s="1">
        <f>B56*2.2</f>
        <v>484.00000000000006</v>
      </c>
      <c r="H56" s="13" t="s">
        <v>8</v>
      </c>
      <c r="I56" s="44"/>
      <c r="J56" s="45">
        <f>E56-G56</f>
        <v>43649.100000000006</v>
      </c>
      <c r="L56" s="42" t="s">
        <v>5</v>
      </c>
      <c r="M56" s="43">
        <f>COUNT(M6:M54,O6:O54,Q6:Q54,S6:S54,U6:U54)</f>
        <v>101</v>
      </c>
      <c r="N56" s="13" t="s">
        <v>6</v>
      </c>
      <c r="O56" s="44"/>
      <c r="P56" s="45">
        <f>M55+O55+Q55+S55+U55</f>
        <v>20232.900000000001</v>
      </c>
      <c r="Q56" s="24" t="s">
        <v>7</v>
      </c>
      <c r="R56" s="1">
        <f>M56*2.2</f>
        <v>222.20000000000002</v>
      </c>
      <c r="S56" s="13" t="s">
        <v>8</v>
      </c>
      <c r="T56" s="44"/>
      <c r="U56" s="45">
        <f>P56-R56</f>
        <v>20010.7</v>
      </c>
      <c r="W56" s="42" t="s">
        <v>5</v>
      </c>
      <c r="X56" s="43">
        <f>COUNT(X6:X54,Z6:Z54,AB6:AB54,AD6:AD54,AF6:AF54)</f>
        <v>119</v>
      </c>
      <c r="Y56" s="13" t="s">
        <v>6</v>
      </c>
      <c r="Z56" s="44"/>
      <c r="AA56" s="45">
        <f>X55+Z55+AB55+AD55+AF55</f>
        <v>23900.2</v>
      </c>
      <c r="AB56" s="24" t="s">
        <v>7</v>
      </c>
      <c r="AC56" s="1">
        <f>X56*2.2</f>
        <v>261.8</v>
      </c>
      <c r="AD56" s="13" t="s">
        <v>8</v>
      </c>
      <c r="AE56" s="44"/>
      <c r="AF56" s="45">
        <f>AA56-AC56</f>
        <v>23638.400000000001</v>
      </c>
    </row>
    <row r="57" spans="1:32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  <c r="L57" s="42" t="s">
        <v>9</v>
      </c>
      <c r="M57" s="25"/>
      <c r="N57" s="46"/>
      <c r="O57" s="44"/>
      <c r="P57" s="47"/>
      <c r="Q57" s="25"/>
      <c r="R57" s="48"/>
      <c r="S57" s="46"/>
      <c r="T57" s="44"/>
      <c r="U57" s="49"/>
      <c r="W57" s="42" t="s">
        <v>9</v>
      </c>
      <c r="X57" s="25"/>
      <c r="Y57" s="46"/>
      <c r="Z57" s="44"/>
      <c r="AA57" s="47"/>
      <c r="AB57" s="25"/>
      <c r="AC57" s="48"/>
      <c r="AD57" s="46"/>
      <c r="AE57" s="44"/>
      <c r="AF57" s="49"/>
    </row>
    <row r="58" spans="1:32" x14ac:dyDescent="0.25">
      <c r="B58">
        <f>M56+X56</f>
        <v>220</v>
      </c>
      <c r="E58" s="80">
        <f>P56+AA56</f>
        <v>44133.100000000006</v>
      </c>
      <c r="J58" s="80">
        <f>U56+AF56</f>
        <v>43649.100000000006</v>
      </c>
    </row>
    <row r="59" spans="1:32" x14ac:dyDescent="0.25">
      <c r="F59" s="112" t="s">
        <v>61</v>
      </c>
      <c r="G59" s="112">
        <v>2.2000000000000002</v>
      </c>
      <c r="Q59" s="112" t="s">
        <v>61</v>
      </c>
      <c r="R59" s="112">
        <v>2.2000000000000002</v>
      </c>
      <c r="AB59" s="112" t="s">
        <v>61</v>
      </c>
      <c r="AC59" s="112">
        <v>2.2000000000000002</v>
      </c>
    </row>
  </sheetData>
  <protectedRanges>
    <protectedRange password="CCE1" sqref="C6:C54 G6:G54 E6:E54 I6:I29 N6:N54 R6:R54 P6:P54 T6:T29 Y6:Y54 AC6:AC54 AA6:AA54 AE6:AE29" name="Диапазон1_3_1_7_2_1_1_1_1_1_1_1"/>
  </protectedRanges>
  <mergeCells count="6">
    <mergeCell ref="A1:J1"/>
    <mergeCell ref="I4:J4"/>
    <mergeCell ref="L1:U1"/>
    <mergeCell ref="T4:U4"/>
    <mergeCell ref="W1:AF1"/>
    <mergeCell ref="AE4:AF4"/>
  </mergeCells>
  <pageMargins left="0.7" right="0.7" top="0.75" bottom="0.75" header="0.3" footer="0.3"/>
  <pageSetup paperSize="9" scale="82" orientation="portrait" verticalDpi="0" r:id="rId1"/>
  <rowBreaks count="1" manualBreakCount="1">
    <brk id="58" max="16383" man="1"/>
  </rowBreaks>
  <colBreaks count="2" manualBreakCount="2">
    <brk id="10" max="57" man="1"/>
    <brk id="21" max="57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9"/>
  <sheetViews>
    <sheetView zoomScale="80" zoomScaleNormal="80" workbookViewId="0">
      <selection activeCell="H15" sqref="H15"/>
    </sheetView>
  </sheetViews>
  <sheetFormatPr defaultRowHeight="15" x14ac:dyDescent="0.25"/>
  <cols>
    <col min="11" max="11" width="2.85546875" customWidth="1"/>
    <col min="22" max="22" width="1.85546875" customWidth="1"/>
  </cols>
  <sheetData>
    <row r="1" spans="1:32" ht="18.75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L1" s="204" t="s">
        <v>0</v>
      </c>
      <c r="M1" s="204"/>
      <c r="N1" s="204"/>
      <c r="O1" s="204"/>
      <c r="P1" s="204"/>
      <c r="Q1" s="204"/>
      <c r="R1" s="204"/>
      <c r="S1" s="204"/>
      <c r="T1" s="204"/>
      <c r="U1" s="204"/>
      <c r="W1" s="204" t="s">
        <v>0</v>
      </c>
      <c r="X1" s="204"/>
      <c r="Y1" s="204"/>
      <c r="Z1" s="204"/>
      <c r="AA1" s="204"/>
      <c r="AB1" s="204"/>
      <c r="AC1" s="204"/>
      <c r="AD1" s="204"/>
      <c r="AE1" s="204"/>
      <c r="AF1" s="204"/>
    </row>
    <row r="2" spans="1:32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  <c r="L2" s="13" t="s">
        <v>1</v>
      </c>
      <c r="M2" s="13"/>
      <c r="N2" s="13"/>
      <c r="O2" s="13"/>
      <c r="P2" s="13"/>
      <c r="Q2" s="13"/>
      <c r="R2" s="27"/>
      <c r="S2" s="13"/>
      <c r="T2" s="13"/>
      <c r="U2" s="13"/>
      <c r="W2" s="13" t="s">
        <v>1</v>
      </c>
      <c r="X2" s="13"/>
      <c r="Y2" s="13"/>
      <c r="Z2" s="13"/>
      <c r="AA2" s="13"/>
      <c r="AB2" s="13"/>
      <c r="AC2" s="27"/>
      <c r="AD2" s="13"/>
      <c r="AE2" s="13"/>
      <c r="AF2" s="13"/>
    </row>
    <row r="3" spans="1:32" ht="15.75" x14ac:dyDescent="0.25">
      <c r="A3" s="25" t="s">
        <v>2</v>
      </c>
      <c r="B3" s="27">
        <v>208</v>
      </c>
      <c r="C3" s="14"/>
      <c r="D3" s="15"/>
      <c r="E3" s="16"/>
      <c r="F3" s="16"/>
      <c r="G3" s="16"/>
      <c r="H3" s="16"/>
      <c r="I3" s="16" t="s">
        <v>33</v>
      </c>
      <c r="J3" s="16"/>
      <c r="L3" s="25" t="s">
        <v>2</v>
      </c>
      <c r="M3" s="27">
        <v>208</v>
      </c>
      <c r="N3" s="14"/>
      <c r="O3" s="15"/>
      <c r="P3" s="16"/>
      <c r="Q3" s="16"/>
      <c r="R3" s="16"/>
      <c r="S3" s="16"/>
      <c r="T3" s="16" t="s">
        <v>33</v>
      </c>
      <c r="U3" s="16"/>
      <c r="W3" s="25" t="s">
        <v>2</v>
      </c>
      <c r="X3" s="27">
        <v>208</v>
      </c>
      <c r="Y3" s="14"/>
      <c r="Z3" s="15"/>
      <c r="AA3" s="16"/>
      <c r="AB3" s="16"/>
      <c r="AC3" s="16"/>
      <c r="AD3" s="16"/>
      <c r="AE3" s="16" t="s">
        <v>33</v>
      </c>
      <c r="AF3" s="16"/>
    </row>
    <row r="4" spans="1:32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  <c r="L4" s="17"/>
      <c r="M4" s="17"/>
      <c r="N4" s="17"/>
      <c r="O4" s="17"/>
      <c r="P4" s="17"/>
      <c r="Q4" s="17"/>
      <c r="R4" s="17"/>
      <c r="S4" s="28"/>
      <c r="T4" s="205" t="s">
        <v>64</v>
      </c>
      <c r="U4" s="206"/>
      <c r="W4" s="17"/>
      <c r="X4" s="17"/>
      <c r="Y4" s="17"/>
      <c r="Z4" s="17"/>
      <c r="AA4" s="17"/>
      <c r="AB4" s="17"/>
      <c r="AC4" s="17"/>
      <c r="AD4" s="28"/>
      <c r="AE4" s="205" t="s">
        <v>50</v>
      </c>
      <c r="AF4" s="206"/>
    </row>
    <row r="5" spans="1:32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  <c r="L5" s="29" t="s">
        <v>3</v>
      </c>
      <c r="M5" s="18" t="s">
        <v>4</v>
      </c>
      <c r="N5" s="29" t="s">
        <v>3</v>
      </c>
      <c r="O5" s="18" t="s">
        <v>4</v>
      </c>
      <c r="P5" s="29" t="s">
        <v>3</v>
      </c>
      <c r="Q5" s="18" t="s">
        <v>4</v>
      </c>
      <c r="R5" s="29" t="s">
        <v>3</v>
      </c>
      <c r="S5" s="30" t="s">
        <v>4</v>
      </c>
      <c r="T5" s="31" t="s">
        <v>3</v>
      </c>
      <c r="U5" s="32" t="s">
        <v>4</v>
      </c>
      <c r="W5" s="29" t="s">
        <v>3</v>
      </c>
      <c r="X5" s="18" t="s">
        <v>4</v>
      </c>
      <c r="Y5" s="29" t="s">
        <v>3</v>
      </c>
      <c r="Z5" s="18" t="s">
        <v>4</v>
      </c>
      <c r="AA5" s="29" t="s">
        <v>3</v>
      </c>
      <c r="AB5" s="18" t="s">
        <v>4</v>
      </c>
      <c r="AC5" s="29" t="s">
        <v>3</v>
      </c>
      <c r="AD5" s="30" t="s">
        <v>4</v>
      </c>
      <c r="AE5" s="31" t="s">
        <v>3</v>
      </c>
      <c r="AF5" s="32" t="s">
        <v>4</v>
      </c>
    </row>
    <row r="6" spans="1:32" ht="15.75" x14ac:dyDescent="0.25">
      <c r="A6" s="22">
        <v>1</v>
      </c>
      <c r="B6" s="19">
        <v>199.2</v>
      </c>
      <c r="C6" s="22">
        <v>50</v>
      </c>
      <c r="D6" s="19">
        <v>194.6</v>
      </c>
      <c r="E6" s="22">
        <v>99</v>
      </c>
      <c r="F6" s="19"/>
      <c r="G6" s="33">
        <v>148</v>
      </c>
      <c r="H6" s="19"/>
      <c r="I6" s="34">
        <v>197</v>
      </c>
      <c r="J6" s="19"/>
      <c r="L6" s="22">
        <v>1</v>
      </c>
      <c r="M6" s="19">
        <v>199.2</v>
      </c>
      <c r="N6" s="22">
        <v>50</v>
      </c>
      <c r="O6" s="19">
        <v>194.6</v>
      </c>
      <c r="P6" s="22">
        <v>99</v>
      </c>
      <c r="Q6" s="19"/>
      <c r="R6" s="33">
        <v>148</v>
      </c>
      <c r="S6" s="19"/>
      <c r="T6" s="34">
        <v>197</v>
      </c>
      <c r="U6" s="19"/>
      <c r="W6" s="22">
        <v>1</v>
      </c>
      <c r="X6" s="19"/>
      <c r="Y6" s="22">
        <v>50</v>
      </c>
      <c r="Z6" s="19"/>
      <c r="AA6" s="22">
        <v>99</v>
      </c>
      <c r="AB6" s="19"/>
      <c r="AC6" s="33">
        <v>148</v>
      </c>
      <c r="AD6" s="19"/>
      <c r="AE6" s="34">
        <v>197</v>
      </c>
      <c r="AF6" s="19"/>
    </row>
    <row r="7" spans="1:32" ht="15.75" x14ac:dyDescent="0.25">
      <c r="A7" s="22">
        <v>2</v>
      </c>
      <c r="B7" s="19">
        <v>192.2</v>
      </c>
      <c r="C7" s="22">
        <v>51</v>
      </c>
      <c r="D7" s="19">
        <v>193.1</v>
      </c>
      <c r="E7" s="22">
        <v>100</v>
      </c>
      <c r="F7" s="19"/>
      <c r="G7" s="33">
        <v>149</v>
      </c>
      <c r="H7" s="19"/>
      <c r="I7" s="33">
        <v>198</v>
      </c>
      <c r="J7" s="19"/>
      <c r="L7" s="22">
        <v>2</v>
      </c>
      <c r="M7" s="19">
        <v>192.2</v>
      </c>
      <c r="N7" s="22">
        <v>51</v>
      </c>
      <c r="O7" s="19">
        <v>193.1</v>
      </c>
      <c r="P7" s="22">
        <v>100</v>
      </c>
      <c r="Q7" s="19"/>
      <c r="R7" s="33">
        <v>149</v>
      </c>
      <c r="S7" s="19"/>
      <c r="T7" s="33">
        <v>198</v>
      </c>
      <c r="U7" s="19"/>
      <c r="W7" s="22">
        <v>2</v>
      </c>
      <c r="X7" s="19"/>
      <c r="Y7" s="22">
        <v>51</v>
      </c>
      <c r="Z7" s="19"/>
      <c r="AA7" s="22">
        <v>100</v>
      </c>
      <c r="AB7" s="19"/>
      <c r="AC7" s="33">
        <v>149</v>
      </c>
      <c r="AD7" s="19"/>
      <c r="AE7" s="33">
        <v>198</v>
      </c>
      <c r="AF7" s="19"/>
    </row>
    <row r="8" spans="1:32" ht="15.75" x14ac:dyDescent="0.25">
      <c r="A8" s="22">
        <v>3</v>
      </c>
      <c r="B8" s="19">
        <v>197.4</v>
      </c>
      <c r="C8" s="22">
        <v>52</v>
      </c>
      <c r="D8" s="19">
        <v>193.9</v>
      </c>
      <c r="E8" s="22">
        <f t="shared" ref="E8:E54" si="0">+E7+1</f>
        <v>101</v>
      </c>
      <c r="F8" s="19"/>
      <c r="G8" s="33">
        <v>150</v>
      </c>
      <c r="H8" s="19"/>
      <c r="I8" s="33">
        <v>199</v>
      </c>
      <c r="J8" s="19"/>
      <c r="L8" s="22">
        <v>3</v>
      </c>
      <c r="M8" s="19">
        <v>197.4</v>
      </c>
      <c r="N8" s="22">
        <v>52</v>
      </c>
      <c r="O8" s="19">
        <v>193.9</v>
      </c>
      <c r="P8" s="22">
        <f t="shared" ref="P8:P54" si="1">+P7+1</f>
        <v>101</v>
      </c>
      <c r="Q8" s="19"/>
      <c r="R8" s="33">
        <v>150</v>
      </c>
      <c r="S8" s="19"/>
      <c r="T8" s="33">
        <v>199</v>
      </c>
      <c r="U8" s="19"/>
      <c r="W8" s="22">
        <v>3</v>
      </c>
      <c r="X8" s="19"/>
      <c r="Y8" s="22">
        <v>52</v>
      </c>
      <c r="Z8" s="19"/>
      <c r="AA8" s="22">
        <f t="shared" ref="AA8:AA54" si="2">+AA7+1</f>
        <v>101</v>
      </c>
      <c r="AB8" s="19"/>
      <c r="AC8" s="33">
        <v>150</v>
      </c>
      <c r="AD8" s="19"/>
      <c r="AE8" s="33">
        <v>199</v>
      </c>
      <c r="AF8" s="19"/>
    </row>
    <row r="9" spans="1:32" ht="15.75" x14ac:dyDescent="0.25">
      <c r="A9" s="22">
        <v>4</v>
      </c>
      <c r="B9" s="19">
        <v>198.1</v>
      </c>
      <c r="C9" s="22">
        <v>53</v>
      </c>
      <c r="D9" s="19">
        <v>195.6</v>
      </c>
      <c r="E9" s="22">
        <f t="shared" si="0"/>
        <v>102</v>
      </c>
      <c r="F9" s="19"/>
      <c r="G9" s="33">
        <v>151</v>
      </c>
      <c r="H9" s="19"/>
      <c r="I9" s="33">
        <v>200</v>
      </c>
      <c r="J9" s="19"/>
      <c r="L9" s="22">
        <v>4</v>
      </c>
      <c r="M9" s="19">
        <v>198.1</v>
      </c>
      <c r="N9" s="22">
        <v>53</v>
      </c>
      <c r="O9" s="19">
        <v>195.6</v>
      </c>
      <c r="P9" s="22">
        <f t="shared" si="1"/>
        <v>102</v>
      </c>
      <c r="Q9" s="19"/>
      <c r="R9" s="33">
        <v>151</v>
      </c>
      <c r="S9" s="19"/>
      <c r="T9" s="33">
        <v>200</v>
      </c>
      <c r="U9" s="19"/>
      <c r="W9" s="22">
        <v>4</v>
      </c>
      <c r="X9" s="19"/>
      <c r="Y9" s="22">
        <v>53</v>
      </c>
      <c r="Z9" s="19"/>
      <c r="AA9" s="22">
        <f t="shared" si="2"/>
        <v>102</v>
      </c>
      <c r="AB9" s="19"/>
      <c r="AC9" s="33">
        <v>151</v>
      </c>
      <c r="AD9" s="19"/>
      <c r="AE9" s="33">
        <v>200</v>
      </c>
      <c r="AF9" s="19"/>
    </row>
    <row r="10" spans="1:32" ht="15.75" x14ac:dyDescent="0.25">
      <c r="A10" s="22">
        <v>5</v>
      </c>
      <c r="B10" s="19">
        <v>194.7</v>
      </c>
      <c r="C10" s="22">
        <v>54</v>
      </c>
      <c r="D10" s="19">
        <v>190.1</v>
      </c>
      <c r="E10" s="22">
        <f t="shared" si="0"/>
        <v>103</v>
      </c>
      <c r="F10" s="19"/>
      <c r="G10" s="33">
        <v>152</v>
      </c>
      <c r="H10" s="19"/>
      <c r="I10" s="33">
        <v>201</v>
      </c>
      <c r="J10" s="19"/>
      <c r="L10" s="22">
        <v>5</v>
      </c>
      <c r="M10" s="19">
        <v>194.7</v>
      </c>
      <c r="N10" s="22">
        <v>54</v>
      </c>
      <c r="O10" s="19">
        <v>190.1</v>
      </c>
      <c r="P10" s="22">
        <f t="shared" si="1"/>
        <v>103</v>
      </c>
      <c r="Q10" s="19"/>
      <c r="R10" s="33">
        <v>152</v>
      </c>
      <c r="S10" s="19"/>
      <c r="T10" s="33">
        <v>201</v>
      </c>
      <c r="U10" s="19"/>
      <c r="W10" s="22">
        <v>5</v>
      </c>
      <c r="X10" s="19"/>
      <c r="Y10" s="22">
        <v>54</v>
      </c>
      <c r="Z10" s="19"/>
      <c r="AA10" s="22">
        <f t="shared" si="2"/>
        <v>103</v>
      </c>
      <c r="AB10" s="19"/>
      <c r="AC10" s="33">
        <v>152</v>
      </c>
      <c r="AD10" s="19"/>
      <c r="AE10" s="33">
        <v>201</v>
      </c>
      <c r="AF10" s="19"/>
    </row>
    <row r="11" spans="1:32" ht="15.75" x14ac:dyDescent="0.25">
      <c r="A11" s="22">
        <v>6</v>
      </c>
      <c r="B11" s="19">
        <v>199</v>
      </c>
      <c r="C11" s="22">
        <v>55</v>
      </c>
      <c r="D11" s="19">
        <v>188.7</v>
      </c>
      <c r="E11" s="22">
        <f t="shared" si="0"/>
        <v>104</v>
      </c>
      <c r="F11" s="19"/>
      <c r="G11" s="33">
        <v>153</v>
      </c>
      <c r="H11" s="19"/>
      <c r="I11" s="33">
        <v>202</v>
      </c>
      <c r="J11" s="19"/>
      <c r="L11" s="22">
        <v>6</v>
      </c>
      <c r="M11" s="19">
        <v>199</v>
      </c>
      <c r="N11" s="22">
        <v>55</v>
      </c>
      <c r="O11" s="19">
        <v>188.7</v>
      </c>
      <c r="P11" s="22">
        <f t="shared" si="1"/>
        <v>104</v>
      </c>
      <c r="Q11" s="19"/>
      <c r="R11" s="33">
        <v>153</v>
      </c>
      <c r="S11" s="19"/>
      <c r="T11" s="33">
        <v>202</v>
      </c>
      <c r="U11" s="19"/>
      <c r="W11" s="22">
        <v>6</v>
      </c>
      <c r="X11" s="19"/>
      <c r="Y11" s="22">
        <v>55</v>
      </c>
      <c r="Z11" s="19"/>
      <c r="AA11" s="22">
        <f t="shared" si="2"/>
        <v>104</v>
      </c>
      <c r="AB11" s="19"/>
      <c r="AC11" s="33">
        <v>153</v>
      </c>
      <c r="AD11" s="19"/>
      <c r="AE11" s="33">
        <v>202</v>
      </c>
      <c r="AF11" s="19"/>
    </row>
    <row r="12" spans="1:32" ht="15.75" x14ac:dyDescent="0.25">
      <c r="A12" s="22">
        <v>7</v>
      </c>
      <c r="B12" s="19">
        <v>190.4</v>
      </c>
      <c r="C12" s="22">
        <v>56</v>
      </c>
      <c r="D12" s="19">
        <v>189.8</v>
      </c>
      <c r="E12" s="22">
        <f t="shared" si="0"/>
        <v>105</v>
      </c>
      <c r="F12" s="19"/>
      <c r="G12" s="33">
        <v>154</v>
      </c>
      <c r="H12" s="19"/>
      <c r="I12" s="33">
        <v>203</v>
      </c>
      <c r="J12" s="19"/>
      <c r="L12" s="22">
        <v>7</v>
      </c>
      <c r="M12" s="19">
        <v>190.4</v>
      </c>
      <c r="N12" s="22">
        <v>56</v>
      </c>
      <c r="O12" s="19">
        <v>189.8</v>
      </c>
      <c r="P12" s="22">
        <f t="shared" si="1"/>
        <v>105</v>
      </c>
      <c r="Q12" s="19"/>
      <c r="R12" s="33">
        <v>154</v>
      </c>
      <c r="S12" s="19"/>
      <c r="T12" s="33">
        <v>203</v>
      </c>
      <c r="U12" s="19"/>
      <c r="W12" s="22">
        <v>7</v>
      </c>
      <c r="X12" s="19"/>
      <c r="Y12" s="22">
        <v>56</v>
      </c>
      <c r="Z12" s="19"/>
      <c r="AA12" s="22">
        <f t="shared" si="2"/>
        <v>105</v>
      </c>
      <c r="AB12" s="19"/>
      <c r="AC12" s="33">
        <v>154</v>
      </c>
      <c r="AD12" s="19"/>
      <c r="AE12" s="33">
        <v>203</v>
      </c>
      <c r="AF12" s="19"/>
    </row>
    <row r="13" spans="1:32" ht="15.75" x14ac:dyDescent="0.25">
      <c r="A13" s="22">
        <v>8</v>
      </c>
      <c r="B13" s="19">
        <v>196.2</v>
      </c>
      <c r="C13" s="22">
        <v>57</v>
      </c>
      <c r="D13" s="19">
        <v>215.8</v>
      </c>
      <c r="E13" s="22">
        <f t="shared" si="0"/>
        <v>106</v>
      </c>
      <c r="F13" s="19"/>
      <c r="G13" s="33">
        <v>155</v>
      </c>
      <c r="H13" s="19"/>
      <c r="I13" s="33">
        <v>204</v>
      </c>
      <c r="J13" s="19"/>
      <c r="L13" s="22">
        <v>8</v>
      </c>
      <c r="M13" s="19">
        <v>196.2</v>
      </c>
      <c r="N13" s="22">
        <v>57</v>
      </c>
      <c r="O13" s="19">
        <v>215.8</v>
      </c>
      <c r="P13" s="22">
        <f t="shared" si="1"/>
        <v>106</v>
      </c>
      <c r="Q13" s="19"/>
      <c r="R13" s="33">
        <v>155</v>
      </c>
      <c r="S13" s="19"/>
      <c r="T13" s="33">
        <v>204</v>
      </c>
      <c r="U13" s="19"/>
      <c r="W13" s="22">
        <v>8</v>
      </c>
      <c r="X13" s="19"/>
      <c r="Y13" s="22">
        <v>57</v>
      </c>
      <c r="Z13" s="19"/>
      <c r="AA13" s="22">
        <f t="shared" si="2"/>
        <v>106</v>
      </c>
      <c r="AB13" s="19"/>
      <c r="AC13" s="33">
        <v>155</v>
      </c>
      <c r="AD13" s="19"/>
      <c r="AE13" s="33">
        <v>204</v>
      </c>
      <c r="AF13" s="19"/>
    </row>
    <row r="14" spans="1:32" ht="15.75" x14ac:dyDescent="0.25">
      <c r="A14" s="22">
        <v>9</v>
      </c>
      <c r="B14" s="19">
        <v>200.6</v>
      </c>
      <c r="C14" s="22">
        <v>58</v>
      </c>
      <c r="D14" s="19">
        <v>188.6</v>
      </c>
      <c r="E14" s="22">
        <f t="shared" si="0"/>
        <v>107</v>
      </c>
      <c r="F14" s="19"/>
      <c r="G14" s="33">
        <v>156</v>
      </c>
      <c r="H14" s="19"/>
      <c r="I14" s="33">
        <v>205</v>
      </c>
      <c r="J14" s="19"/>
      <c r="L14" s="22">
        <v>9</v>
      </c>
      <c r="M14" s="19">
        <v>200.6</v>
      </c>
      <c r="N14" s="22">
        <v>58</v>
      </c>
      <c r="O14" s="19">
        <v>188.6</v>
      </c>
      <c r="P14" s="22">
        <f t="shared" si="1"/>
        <v>107</v>
      </c>
      <c r="Q14" s="19"/>
      <c r="R14" s="33">
        <v>156</v>
      </c>
      <c r="S14" s="19"/>
      <c r="T14" s="33">
        <v>205</v>
      </c>
      <c r="U14" s="19"/>
      <c r="W14" s="22">
        <v>9</v>
      </c>
      <c r="X14" s="19"/>
      <c r="Y14" s="22">
        <v>58</v>
      </c>
      <c r="Z14" s="19"/>
      <c r="AA14" s="22">
        <f t="shared" si="2"/>
        <v>107</v>
      </c>
      <c r="AB14" s="19"/>
      <c r="AC14" s="33">
        <v>156</v>
      </c>
      <c r="AD14" s="19"/>
      <c r="AE14" s="33">
        <v>205</v>
      </c>
      <c r="AF14" s="19"/>
    </row>
    <row r="15" spans="1:32" ht="15.75" x14ac:dyDescent="0.25">
      <c r="A15" s="22">
        <v>10</v>
      </c>
      <c r="B15" s="19">
        <v>199.2</v>
      </c>
      <c r="C15" s="22">
        <v>59</v>
      </c>
      <c r="D15" s="19">
        <v>196.4</v>
      </c>
      <c r="E15" s="22">
        <f t="shared" si="0"/>
        <v>108</v>
      </c>
      <c r="F15" s="19"/>
      <c r="G15" s="33">
        <v>157</v>
      </c>
      <c r="H15" s="19"/>
      <c r="I15" s="33">
        <v>206</v>
      </c>
      <c r="J15" s="19"/>
      <c r="L15" s="22">
        <v>10</v>
      </c>
      <c r="M15" s="19">
        <v>199.2</v>
      </c>
      <c r="N15" s="22">
        <v>59</v>
      </c>
      <c r="O15" s="19">
        <v>196.4</v>
      </c>
      <c r="P15" s="22">
        <f t="shared" si="1"/>
        <v>108</v>
      </c>
      <c r="Q15" s="19"/>
      <c r="R15" s="33">
        <v>157</v>
      </c>
      <c r="S15" s="19"/>
      <c r="T15" s="33">
        <v>206</v>
      </c>
      <c r="U15" s="19"/>
      <c r="W15" s="22">
        <v>10</v>
      </c>
      <c r="X15" s="19"/>
      <c r="Y15" s="22">
        <v>59</v>
      </c>
      <c r="Z15" s="19"/>
      <c r="AA15" s="22">
        <f t="shared" si="2"/>
        <v>108</v>
      </c>
      <c r="AB15" s="19"/>
      <c r="AC15" s="33">
        <v>157</v>
      </c>
      <c r="AD15" s="19"/>
      <c r="AE15" s="33">
        <v>206</v>
      </c>
      <c r="AF15" s="19"/>
    </row>
    <row r="16" spans="1:32" ht="15.75" x14ac:dyDescent="0.25">
      <c r="A16" s="22">
        <v>11</v>
      </c>
      <c r="B16" s="19">
        <v>195.4</v>
      </c>
      <c r="C16" s="22">
        <v>60</v>
      </c>
      <c r="D16" s="19">
        <v>202.2</v>
      </c>
      <c r="E16" s="22">
        <f t="shared" si="0"/>
        <v>109</v>
      </c>
      <c r="F16" s="19"/>
      <c r="G16" s="33">
        <v>158</v>
      </c>
      <c r="H16" s="19"/>
      <c r="I16" s="33">
        <v>207</v>
      </c>
      <c r="J16" s="19"/>
      <c r="L16" s="22">
        <v>11</v>
      </c>
      <c r="M16" s="19">
        <v>195.4</v>
      </c>
      <c r="N16" s="22">
        <v>60</v>
      </c>
      <c r="O16" s="19">
        <v>202.2</v>
      </c>
      <c r="P16" s="22">
        <f t="shared" si="1"/>
        <v>109</v>
      </c>
      <c r="Q16" s="19"/>
      <c r="R16" s="33">
        <v>158</v>
      </c>
      <c r="S16" s="19"/>
      <c r="T16" s="33">
        <v>207</v>
      </c>
      <c r="U16" s="19"/>
      <c r="W16" s="22">
        <v>11</v>
      </c>
      <c r="X16" s="19"/>
      <c r="Y16" s="22">
        <v>60</v>
      </c>
      <c r="Z16" s="19"/>
      <c r="AA16" s="22">
        <f t="shared" si="2"/>
        <v>109</v>
      </c>
      <c r="AB16" s="19"/>
      <c r="AC16" s="33">
        <v>158</v>
      </c>
      <c r="AD16" s="19"/>
      <c r="AE16" s="33">
        <v>207</v>
      </c>
      <c r="AF16" s="19"/>
    </row>
    <row r="17" spans="1:32" ht="15.75" x14ac:dyDescent="0.25">
      <c r="A17" s="22">
        <v>12</v>
      </c>
      <c r="B17" s="19">
        <v>195.2</v>
      </c>
      <c r="C17" s="22">
        <v>61</v>
      </c>
      <c r="D17" s="19">
        <v>201.6</v>
      </c>
      <c r="E17" s="22">
        <f t="shared" si="0"/>
        <v>110</v>
      </c>
      <c r="F17" s="19"/>
      <c r="G17" s="33">
        <v>159</v>
      </c>
      <c r="H17" s="19"/>
      <c r="I17" s="33">
        <v>208</v>
      </c>
      <c r="J17" s="19"/>
      <c r="L17" s="22">
        <v>12</v>
      </c>
      <c r="M17" s="19">
        <v>195.2</v>
      </c>
      <c r="N17" s="22">
        <v>61</v>
      </c>
      <c r="O17" s="19">
        <v>201.6</v>
      </c>
      <c r="P17" s="22">
        <f t="shared" si="1"/>
        <v>110</v>
      </c>
      <c r="Q17" s="19"/>
      <c r="R17" s="33">
        <v>159</v>
      </c>
      <c r="S17" s="19"/>
      <c r="T17" s="33">
        <v>208</v>
      </c>
      <c r="U17" s="19"/>
      <c r="W17" s="22">
        <v>12</v>
      </c>
      <c r="X17" s="19"/>
      <c r="Y17" s="22">
        <v>61</v>
      </c>
      <c r="Z17" s="19"/>
      <c r="AA17" s="22">
        <f t="shared" si="2"/>
        <v>110</v>
      </c>
      <c r="AB17" s="19"/>
      <c r="AC17" s="33">
        <v>159</v>
      </c>
      <c r="AD17" s="19"/>
      <c r="AE17" s="33">
        <v>208</v>
      </c>
      <c r="AF17" s="19"/>
    </row>
    <row r="18" spans="1:32" ht="15.75" x14ac:dyDescent="0.25">
      <c r="A18" s="22">
        <v>13</v>
      </c>
      <c r="B18" s="19">
        <v>198.7</v>
      </c>
      <c r="C18" s="22">
        <v>62</v>
      </c>
      <c r="D18" s="19">
        <v>204.5</v>
      </c>
      <c r="E18" s="22">
        <f t="shared" si="0"/>
        <v>111</v>
      </c>
      <c r="F18" s="19"/>
      <c r="G18" s="33">
        <v>160</v>
      </c>
      <c r="H18" s="19"/>
      <c r="I18" s="33">
        <v>209</v>
      </c>
      <c r="J18" s="19"/>
      <c r="L18" s="22">
        <v>13</v>
      </c>
      <c r="M18" s="19">
        <v>198.7</v>
      </c>
      <c r="N18" s="22">
        <v>62</v>
      </c>
      <c r="O18" s="19"/>
      <c r="P18" s="22">
        <f t="shared" si="1"/>
        <v>111</v>
      </c>
      <c r="Q18" s="19"/>
      <c r="R18" s="33">
        <v>160</v>
      </c>
      <c r="S18" s="19"/>
      <c r="T18" s="33">
        <v>209</v>
      </c>
      <c r="U18" s="19"/>
      <c r="W18" s="22">
        <v>13</v>
      </c>
      <c r="X18" s="19"/>
      <c r="Y18" s="22">
        <v>62</v>
      </c>
      <c r="Z18" s="19">
        <v>204.5</v>
      </c>
      <c r="AA18" s="22">
        <f t="shared" si="2"/>
        <v>111</v>
      </c>
      <c r="AB18" s="19"/>
      <c r="AC18" s="33">
        <v>160</v>
      </c>
      <c r="AD18" s="19"/>
      <c r="AE18" s="33">
        <v>209</v>
      </c>
      <c r="AF18" s="19"/>
    </row>
    <row r="19" spans="1:32" ht="15.75" x14ac:dyDescent="0.25">
      <c r="A19" s="22">
        <v>14</v>
      </c>
      <c r="B19" s="19">
        <v>194.1</v>
      </c>
      <c r="C19" s="22">
        <v>63</v>
      </c>
      <c r="D19" s="19">
        <v>202.6</v>
      </c>
      <c r="E19" s="22">
        <f t="shared" si="0"/>
        <v>112</v>
      </c>
      <c r="F19" s="19"/>
      <c r="G19" s="33">
        <v>161</v>
      </c>
      <c r="H19" s="19"/>
      <c r="I19" s="33">
        <v>210</v>
      </c>
      <c r="J19" s="19"/>
      <c r="L19" s="22">
        <v>14</v>
      </c>
      <c r="M19" s="19">
        <v>194.1</v>
      </c>
      <c r="N19" s="22">
        <v>63</v>
      </c>
      <c r="O19" s="19"/>
      <c r="P19" s="22">
        <f t="shared" si="1"/>
        <v>112</v>
      </c>
      <c r="Q19" s="19"/>
      <c r="R19" s="33">
        <v>161</v>
      </c>
      <c r="S19" s="19"/>
      <c r="T19" s="33">
        <v>210</v>
      </c>
      <c r="U19" s="19"/>
      <c r="W19" s="22">
        <v>14</v>
      </c>
      <c r="X19" s="19"/>
      <c r="Y19" s="22">
        <v>63</v>
      </c>
      <c r="Z19" s="19">
        <v>202.6</v>
      </c>
      <c r="AA19" s="22">
        <f t="shared" si="2"/>
        <v>112</v>
      </c>
      <c r="AB19" s="19"/>
      <c r="AC19" s="33">
        <v>161</v>
      </c>
      <c r="AD19" s="19"/>
      <c r="AE19" s="33">
        <v>210</v>
      </c>
      <c r="AF19" s="19"/>
    </row>
    <row r="20" spans="1:32" ht="15.75" x14ac:dyDescent="0.25">
      <c r="A20" s="22">
        <v>15</v>
      </c>
      <c r="B20" s="19">
        <v>192.8</v>
      </c>
      <c r="C20" s="22">
        <v>64</v>
      </c>
      <c r="D20" s="19">
        <v>200.8</v>
      </c>
      <c r="E20" s="22">
        <f t="shared" si="0"/>
        <v>113</v>
      </c>
      <c r="F20" s="19"/>
      <c r="G20" s="35">
        <v>162</v>
      </c>
      <c r="H20" s="19"/>
      <c r="I20" s="33">
        <v>211</v>
      </c>
      <c r="J20" s="19"/>
      <c r="L20" s="22">
        <v>15</v>
      </c>
      <c r="M20" s="19">
        <v>192.8</v>
      </c>
      <c r="N20" s="22">
        <v>64</v>
      </c>
      <c r="O20" s="19"/>
      <c r="P20" s="22">
        <f t="shared" si="1"/>
        <v>113</v>
      </c>
      <c r="Q20" s="19"/>
      <c r="R20" s="35">
        <v>162</v>
      </c>
      <c r="S20" s="19"/>
      <c r="T20" s="33">
        <v>211</v>
      </c>
      <c r="U20" s="19"/>
      <c r="W20" s="22">
        <v>15</v>
      </c>
      <c r="X20" s="19"/>
      <c r="Y20" s="22">
        <v>64</v>
      </c>
      <c r="Z20" s="19">
        <v>200.8</v>
      </c>
      <c r="AA20" s="22">
        <f t="shared" si="2"/>
        <v>113</v>
      </c>
      <c r="AB20" s="19"/>
      <c r="AC20" s="35">
        <v>162</v>
      </c>
      <c r="AD20" s="19"/>
      <c r="AE20" s="33">
        <v>211</v>
      </c>
      <c r="AF20" s="19"/>
    </row>
    <row r="21" spans="1:32" ht="15.75" x14ac:dyDescent="0.25">
      <c r="A21" s="22">
        <v>16</v>
      </c>
      <c r="B21" s="19">
        <v>198.2</v>
      </c>
      <c r="C21" s="22">
        <v>65</v>
      </c>
      <c r="D21" s="19">
        <v>196</v>
      </c>
      <c r="E21" s="22">
        <f t="shared" si="0"/>
        <v>114</v>
      </c>
      <c r="F21" s="19"/>
      <c r="G21" s="35">
        <v>163</v>
      </c>
      <c r="H21" s="19"/>
      <c r="I21" s="33">
        <v>212</v>
      </c>
      <c r="J21" s="19"/>
      <c r="L21" s="22">
        <v>16</v>
      </c>
      <c r="M21" s="19">
        <v>198.2</v>
      </c>
      <c r="N21" s="22">
        <v>65</v>
      </c>
      <c r="O21" s="19"/>
      <c r="P21" s="22">
        <f t="shared" si="1"/>
        <v>114</v>
      </c>
      <c r="Q21" s="19"/>
      <c r="R21" s="35">
        <v>163</v>
      </c>
      <c r="S21" s="19"/>
      <c r="T21" s="33">
        <v>212</v>
      </c>
      <c r="U21" s="19"/>
      <c r="W21" s="22">
        <v>16</v>
      </c>
      <c r="X21" s="19"/>
      <c r="Y21" s="22">
        <v>65</v>
      </c>
      <c r="Z21" s="19">
        <v>196</v>
      </c>
      <c r="AA21" s="22">
        <f t="shared" si="2"/>
        <v>114</v>
      </c>
      <c r="AB21" s="19"/>
      <c r="AC21" s="35">
        <v>163</v>
      </c>
      <c r="AD21" s="19"/>
      <c r="AE21" s="33">
        <v>212</v>
      </c>
      <c r="AF21" s="19"/>
    </row>
    <row r="22" spans="1:32" ht="15.75" x14ac:dyDescent="0.25">
      <c r="A22" s="22">
        <v>17</v>
      </c>
      <c r="B22" s="19">
        <v>195.8</v>
      </c>
      <c r="C22" s="22">
        <v>66</v>
      </c>
      <c r="D22" s="19">
        <v>206.3</v>
      </c>
      <c r="E22" s="22">
        <f t="shared" si="0"/>
        <v>115</v>
      </c>
      <c r="F22" s="19"/>
      <c r="G22" s="35">
        <v>164</v>
      </c>
      <c r="H22" s="19"/>
      <c r="I22" s="33">
        <v>213</v>
      </c>
      <c r="J22" s="19"/>
      <c r="L22" s="22">
        <v>17</v>
      </c>
      <c r="M22" s="19">
        <v>195.8</v>
      </c>
      <c r="N22" s="22">
        <v>66</v>
      </c>
      <c r="O22" s="19"/>
      <c r="P22" s="22">
        <f t="shared" si="1"/>
        <v>115</v>
      </c>
      <c r="Q22" s="19"/>
      <c r="R22" s="35">
        <v>164</v>
      </c>
      <c r="S22" s="19"/>
      <c r="T22" s="33">
        <v>213</v>
      </c>
      <c r="U22" s="19"/>
      <c r="W22" s="22">
        <v>17</v>
      </c>
      <c r="X22" s="19"/>
      <c r="Y22" s="22">
        <v>66</v>
      </c>
      <c r="Z22" s="19">
        <v>206.3</v>
      </c>
      <c r="AA22" s="22">
        <f t="shared" si="2"/>
        <v>115</v>
      </c>
      <c r="AB22" s="19"/>
      <c r="AC22" s="35">
        <v>164</v>
      </c>
      <c r="AD22" s="19"/>
      <c r="AE22" s="33">
        <v>213</v>
      </c>
      <c r="AF22" s="19"/>
    </row>
    <row r="23" spans="1:32" ht="15.75" x14ac:dyDescent="0.25">
      <c r="A23" s="22">
        <v>18</v>
      </c>
      <c r="B23" s="19">
        <v>195.3</v>
      </c>
      <c r="C23" s="22">
        <v>67</v>
      </c>
      <c r="D23" s="19">
        <v>188.5</v>
      </c>
      <c r="E23" s="22">
        <f t="shared" si="0"/>
        <v>116</v>
      </c>
      <c r="F23" s="19"/>
      <c r="G23" s="35">
        <v>165</v>
      </c>
      <c r="H23" s="19"/>
      <c r="I23" s="33">
        <v>214</v>
      </c>
      <c r="J23" s="19"/>
      <c r="L23" s="22">
        <v>18</v>
      </c>
      <c r="M23" s="19">
        <v>195.3</v>
      </c>
      <c r="N23" s="22">
        <v>67</v>
      </c>
      <c r="O23" s="19"/>
      <c r="P23" s="22">
        <f t="shared" si="1"/>
        <v>116</v>
      </c>
      <c r="Q23" s="19"/>
      <c r="R23" s="35">
        <v>165</v>
      </c>
      <c r="S23" s="19"/>
      <c r="T23" s="33">
        <v>214</v>
      </c>
      <c r="U23" s="19"/>
      <c r="W23" s="22">
        <v>18</v>
      </c>
      <c r="X23" s="19"/>
      <c r="Y23" s="22">
        <v>67</v>
      </c>
      <c r="Z23" s="19">
        <v>188.5</v>
      </c>
      <c r="AA23" s="22">
        <f t="shared" si="2"/>
        <v>116</v>
      </c>
      <c r="AB23" s="19"/>
      <c r="AC23" s="35">
        <v>165</v>
      </c>
      <c r="AD23" s="19"/>
      <c r="AE23" s="33">
        <v>214</v>
      </c>
      <c r="AF23" s="19"/>
    </row>
    <row r="24" spans="1:32" ht="15.75" x14ac:dyDescent="0.25">
      <c r="A24" s="22">
        <v>19</v>
      </c>
      <c r="B24" s="19">
        <v>203.3</v>
      </c>
      <c r="C24" s="22">
        <v>68</v>
      </c>
      <c r="D24" s="19">
        <v>187.5</v>
      </c>
      <c r="E24" s="22">
        <f t="shared" si="0"/>
        <v>117</v>
      </c>
      <c r="F24" s="19"/>
      <c r="G24" s="35">
        <v>166</v>
      </c>
      <c r="H24" s="19"/>
      <c r="I24" s="33">
        <v>215</v>
      </c>
      <c r="J24" s="19"/>
      <c r="L24" s="22">
        <v>19</v>
      </c>
      <c r="M24" s="19">
        <v>203.3</v>
      </c>
      <c r="N24" s="22">
        <v>68</v>
      </c>
      <c r="O24" s="19"/>
      <c r="P24" s="22">
        <f t="shared" si="1"/>
        <v>117</v>
      </c>
      <c r="Q24" s="19"/>
      <c r="R24" s="35">
        <v>166</v>
      </c>
      <c r="S24" s="19"/>
      <c r="T24" s="33">
        <v>215</v>
      </c>
      <c r="U24" s="19"/>
      <c r="W24" s="22">
        <v>19</v>
      </c>
      <c r="X24" s="19"/>
      <c r="Y24" s="22">
        <v>68</v>
      </c>
      <c r="Z24" s="19">
        <v>187.5</v>
      </c>
      <c r="AA24" s="22">
        <f t="shared" si="2"/>
        <v>117</v>
      </c>
      <c r="AB24" s="19"/>
      <c r="AC24" s="35">
        <v>166</v>
      </c>
      <c r="AD24" s="19"/>
      <c r="AE24" s="33">
        <v>215</v>
      </c>
      <c r="AF24" s="19"/>
    </row>
    <row r="25" spans="1:32" ht="15.75" x14ac:dyDescent="0.25">
      <c r="A25" s="22">
        <v>20</v>
      </c>
      <c r="B25" s="19">
        <v>202</v>
      </c>
      <c r="C25" s="22">
        <v>69</v>
      </c>
      <c r="D25" s="19">
        <v>203.8</v>
      </c>
      <c r="E25" s="22">
        <f t="shared" si="0"/>
        <v>118</v>
      </c>
      <c r="F25" s="19"/>
      <c r="G25" s="35">
        <v>167</v>
      </c>
      <c r="H25" s="19"/>
      <c r="I25" s="33">
        <v>216</v>
      </c>
      <c r="J25" s="19"/>
      <c r="L25" s="22">
        <v>20</v>
      </c>
      <c r="M25" s="19">
        <v>202</v>
      </c>
      <c r="N25" s="22">
        <v>69</v>
      </c>
      <c r="O25" s="19"/>
      <c r="P25" s="22">
        <f t="shared" si="1"/>
        <v>118</v>
      </c>
      <c r="Q25" s="19"/>
      <c r="R25" s="35">
        <v>167</v>
      </c>
      <c r="S25" s="19"/>
      <c r="T25" s="33">
        <v>216</v>
      </c>
      <c r="U25" s="19"/>
      <c r="W25" s="22">
        <v>20</v>
      </c>
      <c r="X25" s="19"/>
      <c r="Y25" s="22">
        <v>69</v>
      </c>
      <c r="Z25" s="19">
        <v>203.8</v>
      </c>
      <c r="AA25" s="22">
        <f t="shared" si="2"/>
        <v>118</v>
      </c>
      <c r="AB25" s="19"/>
      <c r="AC25" s="35">
        <v>167</v>
      </c>
      <c r="AD25" s="19"/>
      <c r="AE25" s="33">
        <v>216</v>
      </c>
      <c r="AF25" s="19"/>
    </row>
    <row r="26" spans="1:32" ht="15.75" x14ac:dyDescent="0.25">
      <c r="A26" s="22">
        <v>21</v>
      </c>
      <c r="B26" s="19">
        <v>202.6</v>
      </c>
      <c r="C26" s="22">
        <v>70</v>
      </c>
      <c r="D26" s="19">
        <v>190.2</v>
      </c>
      <c r="E26" s="22">
        <f t="shared" si="0"/>
        <v>119</v>
      </c>
      <c r="F26" s="19"/>
      <c r="G26" s="35">
        <v>168</v>
      </c>
      <c r="H26" s="19"/>
      <c r="I26" s="33">
        <v>217</v>
      </c>
      <c r="J26" s="19"/>
      <c r="L26" s="22">
        <v>21</v>
      </c>
      <c r="M26" s="19">
        <v>202.6</v>
      </c>
      <c r="N26" s="22">
        <v>70</v>
      </c>
      <c r="O26" s="19"/>
      <c r="P26" s="22">
        <f t="shared" si="1"/>
        <v>119</v>
      </c>
      <c r="Q26" s="19"/>
      <c r="R26" s="35">
        <v>168</v>
      </c>
      <c r="S26" s="19"/>
      <c r="T26" s="33">
        <v>217</v>
      </c>
      <c r="U26" s="19"/>
      <c r="W26" s="22">
        <v>21</v>
      </c>
      <c r="X26" s="19"/>
      <c r="Y26" s="22">
        <v>70</v>
      </c>
      <c r="Z26" s="19">
        <v>190.2</v>
      </c>
      <c r="AA26" s="22">
        <f t="shared" si="2"/>
        <v>119</v>
      </c>
      <c r="AB26" s="19"/>
      <c r="AC26" s="35">
        <v>168</v>
      </c>
      <c r="AD26" s="19"/>
      <c r="AE26" s="33">
        <v>217</v>
      </c>
      <c r="AF26" s="19"/>
    </row>
    <row r="27" spans="1:32" ht="15.75" x14ac:dyDescent="0.25">
      <c r="A27" s="22">
        <v>22</v>
      </c>
      <c r="B27" s="19">
        <v>202.5</v>
      </c>
      <c r="C27" s="22">
        <v>71</v>
      </c>
      <c r="D27" s="19">
        <v>202.9</v>
      </c>
      <c r="E27" s="22">
        <f t="shared" si="0"/>
        <v>120</v>
      </c>
      <c r="F27" s="19"/>
      <c r="G27" s="35">
        <v>169</v>
      </c>
      <c r="H27" s="19"/>
      <c r="I27" s="33">
        <v>218</v>
      </c>
      <c r="J27" s="19"/>
      <c r="L27" s="22">
        <v>22</v>
      </c>
      <c r="M27" s="19">
        <v>202.5</v>
      </c>
      <c r="N27" s="22">
        <v>71</v>
      </c>
      <c r="O27" s="19"/>
      <c r="P27" s="22">
        <f t="shared" si="1"/>
        <v>120</v>
      </c>
      <c r="Q27" s="19"/>
      <c r="R27" s="35">
        <v>169</v>
      </c>
      <c r="S27" s="19"/>
      <c r="T27" s="33">
        <v>218</v>
      </c>
      <c r="U27" s="19"/>
      <c r="W27" s="22">
        <v>22</v>
      </c>
      <c r="X27" s="19"/>
      <c r="Y27" s="22">
        <v>71</v>
      </c>
      <c r="Z27" s="19">
        <v>202.9</v>
      </c>
      <c r="AA27" s="22">
        <f t="shared" si="2"/>
        <v>120</v>
      </c>
      <c r="AB27" s="19"/>
      <c r="AC27" s="35">
        <v>169</v>
      </c>
      <c r="AD27" s="19"/>
      <c r="AE27" s="33">
        <v>218</v>
      </c>
      <c r="AF27" s="19"/>
    </row>
    <row r="28" spans="1:32" ht="15.75" x14ac:dyDescent="0.25">
      <c r="A28" s="22">
        <v>23</v>
      </c>
      <c r="B28" s="19">
        <v>202.2</v>
      </c>
      <c r="C28" s="22">
        <v>72</v>
      </c>
      <c r="D28" s="19">
        <v>193.2</v>
      </c>
      <c r="E28" s="22">
        <f t="shared" si="0"/>
        <v>121</v>
      </c>
      <c r="F28" s="19"/>
      <c r="G28" s="35">
        <v>170</v>
      </c>
      <c r="H28" s="19"/>
      <c r="I28" s="33">
        <v>219</v>
      </c>
      <c r="J28" s="19"/>
      <c r="L28" s="22">
        <v>23</v>
      </c>
      <c r="M28" s="19">
        <v>202.2</v>
      </c>
      <c r="N28" s="22">
        <v>72</v>
      </c>
      <c r="O28" s="19"/>
      <c r="P28" s="22">
        <f t="shared" si="1"/>
        <v>121</v>
      </c>
      <c r="Q28" s="19"/>
      <c r="R28" s="35">
        <v>170</v>
      </c>
      <c r="S28" s="19"/>
      <c r="T28" s="33">
        <v>219</v>
      </c>
      <c r="U28" s="19"/>
      <c r="W28" s="22">
        <v>23</v>
      </c>
      <c r="X28" s="19"/>
      <c r="Y28" s="22">
        <v>72</v>
      </c>
      <c r="Z28" s="19">
        <v>193.2</v>
      </c>
      <c r="AA28" s="22">
        <f t="shared" si="2"/>
        <v>121</v>
      </c>
      <c r="AB28" s="19"/>
      <c r="AC28" s="35">
        <v>170</v>
      </c>
      <c r="AD28" s="19"/>
      <c r="AE28" s="33">
        <v>219</v>
      </c>
      <c r="AF28" s="19"/>
    </row>
    <row r="29" spans="1:32" ht="15.75" x14ac:dyDescent="0.25">
      <c r="A29" s="22">
        <v>24</v>
      </c>
      <c r="B29" s="19">
        <v>203.9</v>
      </c>
      <c r="C29" s="22">
        <v>73</v>
      </c>
      <c r="D29" s="19">
        <v>205</v>
      </c>
      <c r="E29" s="22">
        <f t="shared" si="0"/>
        <v>122</v>
      </c>
      <c r="F29" s="19"/>
      <c r="G29" s="35">
        <v>171</v>
      </c>
      <c r="H29" s="19"/>
      <c r="I29" s="33">
        <v>220</v>
      </c>
      <c r="J29" s="19"/>
      <c r="L29" s="22">
        <v>24</v>
      </c>
      <c r="M29" s="19">
        <v>203.9</v>
      </c>
      <c r="N29" s="22">
        <v>73</v>
      </c>
      <c r="O29" s="19"/>
      <c r="P29" s="22">
        <f t="shared" si="1"/>
        <v>122</v>
      </c>
      <c r="Q29" s="19"/>
      <c r="R29" s="35">
        <v>171</v>
      </c>
      <c r="S29" s="19"/>
      <c r="T29" s="33">
        <v>220</v>
      </c>
      <c r="U29" s="19"/>
      <c r="W29" s="22">
        <v>24</v>
      </c>
      <c r="X29" s="19"/>
      <c r="Y29" s="22">
        <v>73</v>
      </c>
      <c r="Z29" s="19">
        <v>205</v>
      </c>
      <c r="AA29" s="22">
        <f t="shared" si="2"/>
        <v>122</v>
      </c>
      <c r="AB29" s="19"/>
      <c r="AC29" s="35">
        <v>171</v>
      </c>
      <c r="AD29" s="19"/>
      <c r="AE29" s="33">
        <v>220</v>
      </c>
      <c r="AF29" s="19"/>
    </row>
    <row r="30" spans="1:32" ht="15.75" x14ac:dyDescent="0.25">
      <c r="A30" s="22">
        <v>25</v>
      </c>
      <c r="B30" s="19">
        <v>194.6</v>
      </c>
      <c r="C30" s="22">
        <v>74</v>
      </c>
      <c r="D30" s="19">
        <v>194.3</v>
      </c>
      <c r="E30" s="22">
        <f t="shared" si="0"/>
        <v>123</v>
      </c>
      <c r="F30" s="19"/>
      <c r="G30" s="35">
        <v>172</v>
      </c>
      <c r="H30" s="19"/>
      <c r="I30" s="20"/>
      <c r="J30" s="36"/>
      <c r="L30" s="22">
        <v>25</v>
      </c>
      <c r="M30" s="19">
        <v>194.6</v>
      </c>
      <c r="N30" s="22">
        <v>74</v>
      </c>
      <c r="O30" s="19"/>
      <c r="P30" s="22">
        <f t="shared" si="1"/>
        <v>123</v>
      </c>
      <c r="Q30" s="19"/>
      <c r="R30" s="35">
        <v>172</v>
      </c>
      <c r="S30" s="19"/>
      <c r="T30" s="20"/>
      <c r="U30" s="36"/>
      <c r="W30" s="22">
        <v>25</v>
      </c>
      <c r="X30" s="19"/>
      <c r="Y30" s="22">
        <v>74</v>
      </c>
      <c r="Z30" s="19">
        <v>194.3</v>
      </c>
      <c r="AA30" s="22">
        <f t="shared" si="2"/>
        <v>123</v>
      </c>
      <c r="AB30" s="19"/>
      <c r="AC30" s="35">
        <v>172</v>
      </c>
      <c r="AD30" s="19"/>
      <c r="AE30" s="20"/>
      <c r="AF30" s="36"/>
    </row>
    <row r="31" spans="1:32" ht="15.75" x14ac:dyDescent="0.25">
      <c r="A31" s="22">
        <v>26</v>
      </c>
      <c r="B31" s="19">
        <v>202.3</v>
      </c>
      <c r="C31" s="22">
        <v>75</v>
      </c>
      <c r="D31" s="19">
        <v>191.6</v>
      </c>
      <c r="E31" s="22">
        <f t="shared" si="0"/>
        <v>124</v>
      </c>
      <c r="F31" s="19"/>
      <c r="G31" s="35">
        <v>173</v>
      </c>
      <c r="H31" s="19"/>
      <c r="I31" s="20"/>
      <c r="J31" s="36"/>
      <c r="L31" s="22">
        <v>26</v>
      </c>
      <c r="M31" s="19">
        <v>202.3</v>
      </c>
      <c r="N31" s="22">
        <v>75</v>
      </c>
      <c r="O31" s="19"/>
      <c r="P31" s="22">
        <f t="shared" si="1"/>
        <v>124</v>
      </c>
      <c r="Q31" s="19"/>
      <c r="R31" s="35">
        <v>173</v>
      </c>
      <c r="S31" s="19"/>
      <c r="T31" s="20"/>
      <c r="U31" s="36"/>
      <c r="W31" s="22">
        <v>26</v>
      </c>
      <c r="X31" s="19"/>
      <c r="Y31" s="22">
        <v>75</v>
      </c>
      <c r="Z31" s="19">
        <v>191.6</v>
      </c>
      <c r="AA31" s="22">
        <f t="shared" si="2"/>
        <v>124</v>
      </c>
      <c r="AB31" s="19"/>
      <c r="AC31" s="35">
        <v>173</v>
      </c>
      <c r="AD31" s="19"/>
      <c r="AE31" s="20"/>
      <c r="AF31" s="36"/>
    </row>
    <row r="32" spans="1:32" ht="15.75" x14ac:dyDescent="0.25">
      <c r="A32" s="22">
        <v>27</v>
      </c>
      <c r="B32" s="19">
        <v>194.1</v>
      </c>
      <c r="C32" s="22">
        <v>76</v>
      </c>
      <c r="D32" s="19">
        <v>203.6</v>
      </c>
      <c r="E32" s="22">
        <f t="shared" si="0"/>
        <v>125</v>
      </c>
      <c r="F32" s="19"/>
      <c r="G32" s="33">
        <v>174</v>
      </c>
      <c r="H32" s="19"/>
      <c r="I32" s="21"/>
      <c r="J32" s="36"/>
      <c r="L32" s="22">
        <v>27</v>
      </c>
      <c r="M32" s="19">
        <v>194.1</v>
      </c>
      <c r="N32" s="22">
        <v>76</v>
      </c>
      <c r="O32" s="19"/>
      <c r="P32" s="22">
        <f t="shared" si="1"/>
        <v>125</v>
      </c>
      <c r="Q32" s="19"/>
      <c r="R32" s="33">
        <v>174</v>
      </c>
      <c r="S32" s="19"/>
      <c r="T32" s="21"/>
      <c r="U32" s="36"/>
      <c r="W32" s="22">
        <v>27</v>
      </c>
      <c r="X32" s="19"/>
      <c r="Y32" s="22">
        <v>76</v>
      </c>
      <c r="Z32" s="19">
        <v>203.6</v>
      </c>
      <c r="AA32" s="22">
        <f t="shared" si="2"/>
        <v>125</v>
      </c>
      <c r="AB32" s="19"/>
      <c r="AC32" s="33">
        <v>174</v>
      </c>
      <c r="AD32" s="19"/>
      <c r="AE32" s="21"/>
      <c r="AF32" s="36"/>
    </row>
    <row r="33" spans="1:32" ht="15.75" x14ac:dyDescent="0.25">
      <c r="A33" s="22">
        <v>28</v>
      </c>
      <c r="B33" s="19">
        <v>190.6</v>
      </c>
      <c r="C33" s="22">
        <v>77</v>
      </c>
      <c r="D33" s="19">
        <v>188</v>
      </c>
      <c r="E33" s="22">
        <f t="shared" si="0"/>
        <v>126</v>
      </c>
      <c r="F33" s="19"/>
      <c r="G33" s="33">
        <v>175</v>
      </c>
      <c r="H33" s="19"/>
      <c r="I33" s="20"/>
      <c r="J33" s="36"/>
      <c r="L33" s="22">
        <v>28</v>
      </c>
      <c r="M33" s="19">
        <v>190.6</v>
      </c>
      <c r="N33" s="22">
        <v>77</v>
      </c>
      <c r="O33" s="19"/>
      <c r="P33" s="22">
        <f t="shared" si="1"/>
        <v>126</v>
      </c>
      <c r="Q33" s="19"/>
      <c r="R33" s="33">
        <v>175</v>
      </c>
      <c r="S33" s="19"/>
      <c r="T33" s="20"/>
      <c r="U33" s="36"/>
      <c r="W33" s="22">
        <v>28</v>
      </c>
      <c r="X33" s="19"/>
      <c r="Y33" s="22">
        <v>77</v>
      </c>
      <c r="Z33" s="19">
        <v>188</v>
      </c>
      <c r="AA33" s="22">
        <f t="shared" si="2"/>
        <v>126</v>
      </c>
      <c r="AB33" s="19"/>
      <c r="AC33" s="33">
        <v>175</v>
      </c>
      <c r="AD33" s="19"/>
      <c r="AE33" s="20"/>
      <c r="AF33" s="36"/>
    </row>
    <row r="34" spans="1:32" ht="15.75" x14ac:dyDescent="0.25">
      <c r="A34" s="22">
        <v>29</v>
      </c>
      <c r="B34" s="19">
        <v>197.8</v>
      </c>
      <c r="C34" s="22">
        <v>78</v>
      </c>
      <c r="D34" s="19">
        <v>195.7</v>
      </c>
      <c r="E34" s="22">
        <f t="shared" si="0"/>
        <v>127</v>
      </c>
      <c r="F34" s="19"/>
      <c r="G34" s="33">
        <v>176</v>
      </c>
      <c r="H34" s="19"/>
      <c r="I34" s="20"/>
      <c r="J34" s="36"/>
      <c r="L34" s="22">
        <v>29</v>
      </c>
      <c r="M34" s="19">
        <v>197.8</v>
      </c>
      <c r="N34" s="22">
        <v>78</v>
      </c>
      <c r="O34" s="19"/>
      <c r="P34" s="22">
        <f t="shared" si="1"/>
        <v>127</v>
      </c>
      <c r="Q34" s="19"/>
      <c r="R34" s="33">
        <v>176</v>
      </c>
      <c r="S34" s="19"/>
      <c r="T34" s="20"/>
      <c r="U34" s="36"/>
      <c r="W34" s="22">
        <v>29</v>
      </c>
      <c r="X34" s="19"/>
      <c r="Y34" s="22">
        <v>78</v>
      </c>
      <c r="Z34" s="19">
        <v>195.7</v>
      </c>
      <c r="AA34" s="22">
        <f t="shared" si="2"/>
        <v>127</v>
      </c>
      <c r="AB34" s="19"/>
      <c r="AC34" s="33">
        <v>176</v>
      </c>
      <c r="AD34" s="19"/>
      <c r="AE34" s="20"/>
      <c r="AF34" s="36"/>
    </row>
    <row r="35" spans="1:32" ht="15.75" x14ac:dyDescent="0.25">
      <c r="A35" s="22">
        <v>30</v>
      </c>
      <c r="B35" s="19">
        <v>191.6</v>
      </c>
      <c r="C35" s="22">
        <v>79</v>
      </c>
      <c r="D35" s="19">
        <v>193.2</v>
      </c>
      <c r="E35" s="22">
        <f t="shared" si="0"/>
        <v>128</v>
      </c>
      <c r="F35" s="19"/>
      <c r="G35" s="33">
        <v>177</v>
      </c>
      <c r="H35" s="19"/>
      <c r="I35" s="21"/>
      <c r="J35" s="36"/>
      <c r="L35" s="22">
        <v>30</v>
      </c>
      <c r="M35" s="19">
        <v>191.6</v>
      </c>
      <c r="N35" s="22">
        <v>79</v>
      </c>
      <c r="O35" s="19"/>
      <c r="P35" s="22">
        <f t="shared" si="1"/>
        <v>128</v>
      </c>
      <c r="Q35" s="19"/>
      <c r="R35" s="33">
        <v>177</v>
      </c>
      <c r="S35" s="19"/>
      <c r="T35" s="21"/>
      <c r="U35" s="36"/>
      <c r="W35" s="22">
        <v>30</v>
      </c>
      <c r="X35" s="19"/>
      <c r="Y35" s="22">
        <v>79</v>
      </c>
      <c r="Z35" s="19">
        <v>193.2</v>
      </c>
      <c r="AA35" s="22">
        <f t="shared" si="2"/>
        <v>128</v>
      </c>
      <c r="AB35" s="19"/>
      <c r="AC35" s="33">
        <v>177</v>
      </c>
      <c r="AD35" s="19"/>
      <c r="AE35" s="21"/>
      <c r="AF35" s="36"/>
    </row>
    <row r="36" spans="1:32" ht="15.75" x14ac:dyDescent="0.25">
      <c r="A36" s="22">
        <v>31</v>
      </c>
      <c r="B36" s="19">
        <v>196.8</v>
      </c>
      <c r="C36" s="22">
        <v>80</v>
      </c>
      <c r="D36" s="19">
        <v>200.2</v>
      </c>
      <c r="E36" s="22">
        <f t="shared" si="0"/>
        <v>129</v>
      </c>
      <c r="F36" s="19"/>
      <c r="G36" s="33">
        <v>178</v>
      </c>
      <c r="H36" s="19"/>
      <c r="I36" s="20"/>
      <c r="J36" s="36"/>
      <c r="L36" s="22">
        <v>31</v>
      </c>
      <c r="M36" s="19">
        <v>196.8</v>
      </c>
      <c r="N36" s="22">
        <v>80</v>
      </c>
      <c r="O36" s="19"/>
      <c r="P36" s="22">
        <f t="shared" si="1"/>
        <v>129</v>
      </c>
      <c r="Q36" s="19"/>
      <c r="R36" s="33">
        <v>178</v>
      </c>
      <c r="S36" s="19"/>
      <c r="T36" s="20"/>
      <c r="U36" s="36"/>
      <c r="W36" s="22">
        <v>31</v>
      </c>
      <c r="X36" s="19"/>
      <c r="Y36" s="22">
        <v>80</v>
      </c>
      <c r="Z36" s="19">
        <v>200.2</v>
      </c>
      <c r="AA36" s="22">
        <f t="shared" si="2"/>
        <v>129</v>
      </c>
      <c r="AB36" s="19"/>
      <c r="AC36" s="33">
        <v>178</v>
      </c>
      <c r="AD36" s="19"/>
      <c r="AE36" s="20"/>
      <c r="AF36" s="36"/>
    </row>
    <row r="37" spans="1:32" ht="15.75" x14ac:dyDescent="0.25">
      <c r="A37" s="22">
        <v>32</v>
      </c>
      <c r="B37" s="19">
        <v>199.9</v>
      </c>
      <c r="C37" s="22">
        <v>81</v>
      </c>
      <c r="D37" s="19">
        <v>190.6</v>
      </c>
      <c r="E37" s="22">
        <f t="shared" si="0"/>
        <v>130</v>
      </c>
      <c r="F37" s="19"/>
      <c r="G37" s="33">
        <v>179</v>
      </c>
      <c r="H37" s="19"/>
      <c r="I37" s="20"/>
      <c r="J37" s="36"/>
      <c r="L37" s="22">
        <v>32</v>
      </c>
      <c r="M37" s="19">
        <v>199.9</v>
      </c>
      <c r="N37" s="22">
        <v>81</v>
      </c>
      <c r="O37" s="19"/>
      <c r="P37" s="22">
        <f t="shared" si="1"/>
        <v>130</v>
      </c>
      <c r="Q37" s="19"/>
      <c r="R37" s="33">
        <v>179</v>
      </c>
      <c r="S37" s="19"/>
      <c r="T37" s="20"/>
      <c r="U37" s="36"/>
      <c r="W37" s="22">
        <v>32</v>
      </c>
      <c r="X37" s="19"/>
      <c r="Y37" s="22">
        <v>81</v>
      </c>
      <c r="Z37" s="19">
        <v>190.6</v>
      </c>
      <c r="AA37" s="22">
        <f t="shared" si="2"/>
        <v>130</v>
      </c>
      <c r="AB37" s="19"/>
      <c r="AC37" s="33">
        <v>179</v>
      </c>
      <c r="AD37" s="19"/>
      <c r="AE37" s="20"/>
      <c r="AF37" s="36"/>
    </row>
    <row r="38" spans="1:32" ht="15.75" x14ac:dyDescent="0.25">
      <c r="A38" s="22">
        <v>33</v>
      </c>
      <c r="B38" s="19">
        <v>195.1</v>
      </c>
      <c r="C38" s="22">
        <v>82</v>
      </c>
      <c r="D38" s="19">
        <v>195.4</v>
      </c>
      <c r="E38" s="22">
        <f t="shared" si="0"/>
        <v>131</v>
      </c>
      <c r="F38" s="19"/>
      <c r="G38" s="33">
        <v>180</v>
      </c>
      <c r="H38" s="19"/>
      <c r="I38" s="21"/>
      <c r="J38" s="36"/>
      <c r="L38" s="22">
        <v>33</v>
      </c>
      <c r="M38" s="19">
        <v>195.1</v>
      </c>
      <c r="N38" s="22">
        <v>82</v>
      </c>
      <c r="O38" s="19"/>
      <c r="P38" s="22">
        <f t="shared" si="1"/>
        <v>131</v>
      </c>
      <c r="Q38" s="19"/>
      <c r="R38" s="33">
        <v>180</v>
      </c>
      <c r="S38" s="19"/>
      <c r="T38" s="21"/>
      <c r="U38" s="36"/>
      <c r="W38" s="22">
        <v>33</v>
      </c>
      <c r="X38" s="19"/>
      <c r="Y38" s="22">
        <v>82</v>
      </c>
      <c r="Z38" s="19">
        <v>195.4</v>
      </c>
      <c r="AA38" s="22">
        <f t="shared" si="2"/>
        <v>131</v>
      </c>
      <c r="AB38" s="19"/>
      <c r="AC38" s="33">
        <v>180</v>
      </c>
      <c r="AD38" s="19"/>
      <c r="AE38" s="21"/>
      <c r="AF38" s="36"/>
    </row>
    <row r="39" spans="1:32" ht="15.75" x14ac:dyDescent="0.25">
      <c r="A39" s="22">
        <v>34</v>
      </c>
      <c r="B39" s="19">
        <v>189.6</v>
      </c>
      <c r="C39" s="22">
        <v>83</v>
      </c>
      <c r="D39" s="19">
        <v>191.7</v>
      </c>
      <c r="E39" s="22">
        <f t="shared" si="0"/>
        <v>132</v>
      </c>
      <c r="F39" s="19"/>
      <c r="G39" s="33">
        <v>181</v>
      </c>
      <c r="H39" s="19"/>
      <c r="I39" s="21"/>
      <c r="J39" s="36"/>
      <c r="L39" s="22">
        <v>34</v>
      </c>
      <c r="M39" s="19">
        <v>189.6</v>
      </c>
      <c r="N39" s="22">
        <v>83</v>
      </c>
      <c r="O39" s="19"/>
      <c r="P39" s="22">
        <f t="shared" si="1"/>
        <v>132</v>
      </c>
      <c r="Q39" s="19"/>
      <c r="R39" s="33">
        <v>181</v>
      </c>
      <c r="S39" s="19"/>
      <c r="T39" s="21"/>
      <c r="U39" s="36"/>
      <c r="W39" s="22">
        <v>34</v>
      </c>
      <c r="X39" s="19"/>
      <c r="Y39" s="22">
        <v>83</v>
      </c>
      <c r="Z39" s="19">
        <v>191.7</v>
      </c>
      <c r="AA39" s="22">
        <f t="shared" si="2"/>
        <v>132</v>
      </c>
      <c r="AB39" s="19"/>
      <c r="AC39" s="33">
        <v>181</v>
      </c>
      <c r="AD39" s="19"/>
      <c r="AE39" s="21"/>
      <c r="AF39" s="36"/>
    </row>
    <row r="40" spans="1:32" ht="15.75" x14ac:dyDescent="0.25">
      <c r="A40" s="22">
        <v>35</v>
      </c>
      <c r="B40" s="19">
        <v>195.1</v>
      </c>
      <c r="C40" s="22">
        <v>84</v>
      </c>
      <c r="D40" s="19">
        <v>191.8</v>
      </c>
      <c r="E40" s="22">
        <f t="shared" si="0"/>
        <v>133</v>
      </c>
      <c r="F40" s="19"/>
      <c r="G40" s="33">
        <v>182</v>
      </c>
      <c r="H40" s="19"/>
      <c r="I40" s="20"/>
      <c r="J40" s="36"/>
      <c r="L40" s="22">
        <v>35</v>
      </c>
      <c r="M40" s="19">
        <v>195.1</v>
      </c>
      <c r="N40" s="22">
        <v>84</v>
      </c>
      <c r="O40" s="19"/>
      <c r="P40" s="22">
        <f t="shared" si="1"/>
        <v>133</v>
      </c>
      <c r="Q40" s="19"/>
      <c r="R40" s="33">
        <v>182</v>
      </c>
      <c r="S40" s="19"/>
      <c r="T40" s="20"/>
      <c r="U40" s="36"/>
      <c r="W40" s="22">
        <v>35</v>
      </c>
      <c r="X40" s="19"/>
      <c r="Y40" s="22">
        <v>84</v>
      </c>
      <c r="Z40" s="19">
        <v>191.8</v>
      </c>
      <c r="AA40" s="22">
        <f t="shared" si="2"/>
        <v>133</v>
      </c>
      <c r="AB40" s="19"/>
      <c r="AC40" s="33">
        <v>182</v>
      </c>
      <c r="AD40" s="19"/>
      <c r="AE40" s="20"/>
      <c r="AF40" s="36"/>
    </row>
    <row r="41" spans="1:32" ht="15.75" x14ac:dyDescent="0.25">
      <c r="A41" s="22">
        <v>36</v>
      </c>
      <c r="B41" s="19">
        <v>197.2</v>
      </c>
      <c r="C41" s="22">
        <v>85</v>
      </c>
      <c r="D41" s="19">
        <v>187.3</v>
      </c>
      <c r="E41" s="22">
        <f t="shared" si="0"/>
        <v>134</v>
      </c>
      <c r="F41" s="19"/>
      <c r="G41" s="33">
        <v>183</v>
      </c>
      <c r="H41" s="19"/>
      <c r="I41" s="20"/>
      <c r="J41" s="36"/>
      <c r="L41" s="22">
        <v>36</v>
      </c>
      <c r="M41" s="19">
        <v>197.2</v>
      </c>
      <c r="N41" s="22">
        <v>85</v>
      </c>
      <c r="O41" s="19"/>
      <c r="P41" s="22">
        <f t="shared" si="1"/>
        <v>134</v>
      </c>
      <c r="Q41" s="19"/>
      <c r="R41" s="33">
        <v>183</v>
      </c>
      <c r="S41" s="19"/>
      <c r="T41" s="20"/>
      <c r="U41" s="36"/>
      <c r="W41" s="22">
        <v>36</v>
      </c>
      <c r="X41" s="19"/>
      <c r="Y41" s="22">
        <v>85</v>
      </c>
      <c r="Z41" s="19">
        <v>187.3</v>
      </c>
      <c r="AA41" s="22">
        <f t="shared" si="2"/>
        <v>134</v>
      </c>
      <c r="AB41" s="19"/>
      <c r="AC41" s="33">
        <v>183</v>
      </c>
      <c r="AD41" s="19"/>
      <c r="AE41" s="20"/>
      <c r="AF41" s="36"/>
    </row>
    <row r="42" spans="1:32" ht="15.75" x14ac:dyDescent="0.25">
      <c r="A42" s="22">
        <v>37</v>
      </c>
      <c r="B42" s="19">
        <v>195.6</v>
      </c>
      <c r="C42" s="22">
        <v>86</v>
      </c>
      <c r="D42" s="19">
        <v>192.7</v>
      </c>
      <c r="E42" s="22">
        <f t="shared" si="0"/>
        <v>135</v>
      </c>
      <c r="F42" s="19"/>
      <c r="G42" s="33">
        <v>184</v>
      </c>
      <c r="H42" s="19"/>
      <c r="I42" s="21"/>
      <c r="J42" s="36"/>
      <c r="L42" s="22">
        <v>37</v>
      </c>
      <c r="M42" s="19">
        <v>195.6</v>
      </c>
      <c r="N42" s="22">
        <v>86</v>
      </c>
      <c r="O42" s="19"/>
      <c r="P42" s="22">
        <f t="shared" si="1"/>
        <v>135</v>
      </c>
      <c r="Q42" s="19"/>
      <c r="R42" s="33">
        <v>184</v>
      </c>
      <c r="S42" s="19"/>
      <c r="T42" s="21"/>
      <c r="U42" s="36"/>
      <c r="W42" s="22">
        <v>37</v>
      </c>
      <c r="X42" s="19"/>
      <c r="Y42" s="22">
        <v>86</v>
      </c>
      <c r="Z42" s="19">
        <v>192.7</v>
      </c>
      <c r="AA42" s="22">
        <f t="shared" si="2"/>
        <v>135</v>
      </c>
      <c r="AB42" s="19"/>
      <c r="AC42" s="33">
        <v>184</v>
      </c>
      <c r="AD42" s="19"/>
      <c r="AE42" s="21"/>
      <c r="AF42" s="36"/>
    </row>
    <row r="43" spans="1:32" ht="15.75" x14ac:dyDescent="0.25">
      <c r="A43" s="22">
        <v>38</v>
      </c>
      <c r="B43" s="19">
        <v>196.8</v>
      </c>
      <c r="C43" s="22">
        <v>87</v>
      </c>
      <c r="D43" s="19">
        <v>195.4</v>
      </c>
      <c r="E43" s="22">
        <f t="shared" si="0"/>
        <v>136</v>
      </c>
      <c r="F43" s="19"/>
      <c r="G43" s="33">
        <v>185</v>
      </c>
      <c r="H43" s="19"/>
      <c r="I43" s="20"/>
      <c r="J43" s="36"/>
      <c r="L43" s="22">
        <v>38</v>
      </c>
      <c r="M43" s="19">
        <v>196.8</v>
      </c>
      <c r="N43" s="22">
        <v>87</v>
      </c>
      <c r="O43" s="19"/>
      <c r="P43" s="22">
        <f t="shared" si="1"/>
        <v>136</v>
      </c>
      <c r="Q43" s="19"/>
      <c r="R43" s="33">
        <v>185</v>
      </c>
      <c r="S43" s="19"/>
      <c r="T43" s="20"/>
      <c r="U43" s="36"/>
      <c r="W43" s="22">
        <v>38</v>
      </c>
      <c r="X43" s="19"/>
      <c r="Y43" s="22">
        <v>87</v>
      </c>
      <c r="Z43" s="19">
        <v>195.4</v>
      </c>
      <c r="AA43" s="22">
        <f t="shared" si="2"/>
        <v>136</v>
      </c>
      <c r="AB43" s="19"/>
      <c r="AC43" s="33">
        <v>185</v>
      </c>
      <c r="AD43" s="19"/>
      <c r="AE43" s="20"/>
      <c r="AF43" s="36"/>
    </row>
    <row r="44" spans="1:32" ht="15.75" x14ac:dyDescent="0.25">
      <c r="A44" s="22">
        <v>39</v>
      </c>
      <c r="B44" s="19">
        <v>197.2</v>
      </c>
      <c r="C44" s="22">
        <v>88</v>
      </c>
      <c r="D44" s="19"/>
      <c r="E44" s="22">
        <f t="shared" si="0"/>
        <v>137</v>
      </c>
      <c r="F44" s="19"/>
      <c r="G44" s="33">
        <v>186</v>
      </c>
      <c r="H44" s="19"/>
      <c r="I44" s="20"/>
      <c r="J44" s="36"/>
      <c r="L44" s="22">
        <v>39</v>
      </c>
      <c r="M44" s="19">
        <v>197.2</v>
      </c>
      <c r="N44" s="22">
        <v>88</v>
      </c>
      <c r="O44" s="19"/>
      <c r="P44" s="22">
        <f t="shared" si="1"/>
        <v>137</v>
      </c>
      <c r="Q44" s="19"/>
      <c r="R44" s="33">
        <v>186</v>
      </c>
      <c r="S44" s="19"/>
      <c r="T44" s="20"/>
      <c r="U44" s="36"/>
      <c r="W44" s="22">
        <v>39</v>
      </c>
      <c r="X44" s="19"/>
      <c r="Y44" s="22">
        <v>88</v>
      </c>
      <c r="Z44" s="19"/>
      <c r="AA44" s="22">
        <f t="shared" si="2"/>
        <v>137</v>
      </c>
      <c r="AB44" s="19"/>
      <c r="AC44" s="33">
        <v>186</v>
      </c>
      <c r="AD44" s="19"/>
      <c r="AE44" s="20"/>
      <c r="AF44" s="36"/>
    </row>
    <row r="45" spans="1:32" ht="15.75" x14ac:dyDescent="0.25">
      <c r="A45" s="22">
        <v>40</v>
      </c>
      <c r="B45" s="19">
        <v>190.5</v>
      </c>
      <c r="C45" s="22">
        <v>89</v>
      </c>
      <c r="D45" s="19"/>
      <c r="E45" s="22">
        <f t="shared" si="0"/>
        <v>138</v>
      </c>
      <c r="F45" s="19"/>
      <c r="G45" s="33">
        <v>187</v>
      </c>
      <c r="H45" s="19"/>
      <c r="I45" s="21"/>
      <c r="J45" s="36"/>
      <c r="L45" s="22">
        <v>40</v>
      </c>
      <c r="M45" s="19">
        <v>190.5</v>
      </c>
      <c r="N45" s="22">
        <v>89</v>
      </c>
      <c r="O45" s="19"/>
      <c r="P45" s="22">
        <f t="shared" si="1"/>
        <v>138</v>
      </c>
      <c r="Q45" s="19"/>
      <c r="R45" s="33">
        <v>187</v>
      </c>
      <c r="S45" s="19"/>
      <c r="T45" s="21"/>
      <c r="U45" s="36"/>
      <c r="W45" s="22">
        <v>40</v>
      </c>
      <c r="X45" s="19"/>
      <c r="Y45" s="22">
        <v>89</v>
      </c>
      <c r="Z45" s="19"/>
      <c r="AA45" s="22">
        <f t="shared" si="2"/>
        <v>138</v>
      </c>
      <c r="AB45" s="19"/>
      <c r="AC45" s="33">
        <v>187</v>
      </c>
      <c r="AD45" s="19"/>
      <c r="AE45" s="21"/>
      <c r="AF45" s="36"/>
    </row>
    <row r="46" spans="1:32" ht="15.75" x14ac:dyDescent="0.25">
      <c r="A46" s="22">
        <v>41</v>
      </c>
      <c r="B46" s="19">
        <v>195.2</v>
      </c>
      <c r="C46" s="22">
        <v>90</v>
      </c>
      <c r="D46" s="19"/>
      <c r="E46" s="22">
        <f t="shared" si="0"/>
        <v>139</v>
      </c>
      <c r="F46" s="19"/>
      <c r="G46" s="33">
        <v>188</v>
      </c>
      <c r="H46" s="19"/>
      <c r="I46" s="20"/>
      <c r="J46" s="36"/>
      <c r="L46" s="22">
        <v>41</v>
      </c>
      <c r="M46" s="19">
        <v>195.2</v>
      </c>
      <c r="N46" s="22">
        <v>90</v>
      </c>
      <c r="O46" s="19"/>
      <c r="P46" s="22">
        <f t="shared" si="1"/>
        <v>139</v>
      </c>
      <c r="Q46" s="19"/>
      <c r="R46" s="33">
        <v>188</v>
      </c>
      <c r="S46" s="19"/>
      <c r="T46" s="20"/>
      <c r="U46" s="36"/>
      <c r="W46" s="22">
        <v>41</v>
      </c>
      <c r="X46" s="19"/>
      <c r="Y46" s="22">
        <v>90</v>
      </c>
      <c r="Z46" s="19"/>
      <c r="AA46" s="22">
        <f t="shared" si="2"/>
        <v>139</v>
      </c>
      <c r="AB46" s="19"/>
      <c r="AC46" s="33">
        <v>188</v>
      </c>
      <c r="AD46" s="19"/>
      <c r="AE46" s="20"/>
      <c r="AF46" s="36"/>
    </row>
    <row r="47" spans="1:32" ht="15.75" x14ac:dyDescent="0.25">
      <c r="A47" s="22">
        <v>42</v>
      </c>
      <c r="B47" s="19">
        <v>199</v>
      </c>
      <c r="C47" s="22">
        <v>91</v>
      </c>
      <c r="D47" s="19"/>
      <c r="E47" s="22">
        <f t="shared" si="0"/>
        <v>140</v>
      </c>
      <c r="F47" s="19"/>
      <c r="G47" s="33">
        <v>189</v>
      </c>
      <c r="H47" s="19"/>
      <c r="I47" s="20"/>
      <c r="J47" s="36"/>
      <c r="L47" s="22">
        <v>42</v>
      </c>
      <c r="M47" s="19">
        <v>199</v>
      </c>
      <c r="N47" s="22">
        <v>91</v>
      </c>
      <c r="O47" s="19"/>
      <c r="P47" s="22">
        <f t="shared" si="1"/>
        <v>140</v>
      </c>
      <c r="Q47" s="19"/>
      <c r="R47" s="33">
        <v>189</v>
      </c>
      <c r="S47" s="19"/>
      <c r="T47" s="20"/>
      <c r="U47" s="36"/>
      <c r="W47" s="22">
        <v>42</v>
      </c>
      <c r="X47" s="19"/>
      <c r="Y47" s="22">
        <v>91</v>
      </c>
      <c r="Z47" s="19"/>
      <c r="AA47" s="22">
        <f t="shared" si="2"/>
        <v>140</v>
      </c>
      <c r="AB47" s="19"/>
      <c r="AC47" s="33">
        <v>189</v>
      </c>
      <c r="AD47" s="19"/>
      <c r="AE47" s="20"/>
      <c r="AF47" s="36"/>
    </row>
    <row r="48" spans="1:32" ht="15.75" x14ac:dyDescent="0.25">
      <c r="A48" s="22">
        <v>43</v>
      </c>
      <c r="B48" s="19">
        <v>190.9</v>
      </c>
      <c r="C48" s="22">
        <v>92</v>
      </c>
      <c r="D48" s="19"/>
      <c r="E48" s="22">
        <f t="shared" si="0"/>
        <v>141</v>
      </c>
      <c r="F48" s="19"/>
      <c r="G48" s="33">
        <v>190</v>
      </c>
      <c r="H48" s="19"/>
      <c r="I48" s="21"/>
      <c r="J48" s="36"/>
      <c r="L48" s="22">
        <v>43</v>
      </c>
      <c r="M48" s="19">
        <v>190.9</v>
      </c>
      <c r="N48" s="22">
        <v>92</v>
      </c>
      <c r="O48" s="19"/>
      <c r="P48" s="22">
        <f t="shared" si="1"/>
        <v>141</v>
      </c>
      <c r="Q48" s="19"/>
      <c r="R48" s="33">
        <v>190</v>
      </c>
      <c r="S48" s="19"/>
      <c r="T48" s="21"/>
      <c r="U48" s="36"/>
      <c r="W48" s="22">
        <v>43</v>
      </c>
      <c r="X48" s="19"/>
      <c r="Y48" s="22">
        <v>92</v>
      </c>
      <c r="Z48" s="19"/>
      <c r="AA48" s="22">
        <f t="shared" si="2"/>
        <v>141</v>
      </c>
      <c r="AB48" s="19"/>
      <c r="AC48" s="33">
        <v>190</v>
      </c>
      <c r="AD48" s="19"/>
      <c r="AE48" s="21"/>
      <c r="AF48" s="36"/>
    </row>
    <row r="49" spans="1:32" ht="15.75" x14ac:dyDescent="0.25">
      <c r="A49" s="22">
        <v>44</v>
      </c>
      <c r="B49" s="19">
        <v>189.8</v>
      </c>
      <c r="C49" s="22">
        <v>93</v>
      </c>
      <c r="D49" s="19"/>
      <c r="E49" s="22">
        <f t="shared" si="0"/>
        <v>142</v>
      </c>
      <c r="F49" s="19"/>
      <c r="G49" s="33">
        <v>191</v>
      </c>
      <c r="H49" s="19"/>
      <c r="I49" s="21"/>
      <c r="J49" s="36"/>
      <c r="L49" s="22">
        <v>44</v>
      </c>
      <c r="M49" s="19">
        <v>189.8</v>
      </c>
      <c r="N49" s="22">
        <v>93</v>
      </c>
      <c r="O49" s="19"/>
      <c r="P49" s="22">
        <f t="shared" si="1"/>
        <v>142</v>
      </c>
      <c r="Q49" s="19"/>
      <c r="R49" s="33">
        <v>191</v>
      </c>
      <c r="S49" s="19"/>
      <c r="T49" s="21"/>
      <c r="U49" s="36"/>
      <c r="W49" s="22">
        <v>44</v>
      </c>
      <c r="X49" s="19"/>
      <c r="Y49" s="22">
        <v>93</v>
      </c>
      <c r="Z49" s="19"/>
      <c r="AA49" s="22">
        <f t="shared" si="2"/>
        <v>142</v>
      </c>
      <c r="AB49" s="19"/>
      <c r="AC49" s="33">
        <v>191</v>
      </c>
      <c r="AD49" s="19"/>
      <c r="AE49" s="21"/>
      <c r="AF49" s="36"/>
    </row>
    <row r="50" spans="1:32" ht="15.75" x14ac:dyDescent="0.25">
      <c r="A50" s="22">
        <v>45</v>
      </c>
      <c r="B50" s="19">
        <v>197.6</v>
      </c>
      <c r="C50" s="22">
        <v>94</v>
      </c>
      <c r="D50" s="19"/>
      <c r="E50" s="22">
        <f t="shared" si="0"/>
        <v>143</v>
      </c>
      <c r="F50" s="19"/>
      <c r="G50" s="33">
        <v>192</v>
      </c>
      <c r="H50" s="19"/>
      <c r="I50" s="20"/>
      <c r="J50" s="36"/>
      <c r="L50" s="22">
        <v>45</v>
      </c>
      <c r="M50" s="19">
        <v>197.6</v>
      </c>
      <c r="N50" s="22">
        <v>94</v>
      </c>
      <c r="O50" s="19"/>
      <c r="P50" s="22">
        <f t="shared" si="1"/>
        <v>143</v>
      </c>
      <c r="Q50" s="19"/>
      <c r="R50" s="33">
        <v>192</v>
      </c>
      <c r="S50" s="19"/>
      <c r="T50" s="20"/>
      <c r="U50" s="36"/>
      <c r="W50" s="22">
        <v>45</v>
      </c>
      <c r="X50" s="19"/>
      <c r="Y50" s="22">
        <v>94</v>
      </c>
      <c r="Z50" s="19"/>
      <c r="AA50" s="22">
        <f t="shared" si="2"/>
        <v>143</v>
      </c>
      <c r="AB50" s="19"/>
      <c r="AC50" s="33">
        <v>192</v>
      </c>
      <c r="AD50" s="19"/>
      <c r="AE50" s="20"/>
      <c r="AF50" s="36"/>
    </row>
    <row r="51" spans="1:32" ht="15.75" x14ac:dyDescent="0.25">
      <c r="A51" s="22">
        <v>46</v>
      </c>
      <c r="B51" s="19">
        <v>193.4</v>
      </c>
      <c r="C51" s="22">
        <v>95</v>
      </c>
      <c r="D51" s="19"/>
      <c r="E51" s="22">
        <f t="shared" si="0"/>
        <v>144</v>
      </c>
      <c r="F51" s="19"/>
      <c r="G51" s="33">
        <v>193</v>
      </c>
      <c r="H51" s="19"/>
      <c r="I51" s="20"/>
      <c r="J51" s="36"/>
      <c r="L51" s="22">
        <v>46</v>
      </c>
      <c r="M51" s="19">
        <v>193.4</v>
      </c>
      <c r="N51" s="22">
        <v>95</v>
      </c>
      <c r="O51" s="19"/>
      <c r="P51" s="22">
        <f t="shared" si="1"/>
        <v>144</v>
      </c>
      <c r="Q51" s="19"/>
      <c r="R51" s="33">
        <v>193</v>
      </c>
      <c r="S51" s="19"/>
      <c r="T51" s="20"/>
      <c r="U51" s="36"/>
      <c r="W51" s="22">
        <v>46</v>
      </c>
      <c r="X51" s="19"/>
      <c r="Y51" s="22">
        <v>95</v>
      </c>
      <c r="Z51" s="19"/>
      <c r="AA51" s="22">
        <f t="shared" si="2"/>
        <v>144</v>
      </c>
      <c r="AB51" s="19"/>
      <c r="AC51" s="33">
        <v>193</v>
      </c>
      <c r="AD51" s="19"/>
      <c r="AE51" s="20"/>
      <c r="AF51" s="36"/>
    </row>
    <row r="52" spans="1:32" ht="15.75" x14ac:dyDescent="0.25">
      <c r="A52" s="22">
        <v>47</v>
      </c>
      <c r="B52" s="19">
        <v>195.3</v>
      </c>
      <c r="C52" s="22">
        <v>96</v>
      </c>
      <c r="D52" s="19"/>
      <c r="E52" s="22">
        <f t="shared" si="0"/>
        <v>145</v>
      </c>
      <c r="F52" s="19"/>
      <c r="G52" s="33">
        <v>194</v>
      </c>
      <c r="H52" s="19"/>
      <c r="I52" s="21"/>
      <c r="J52" s="36"/>
      <c r="L52" s="22">
        <v>47</v>
      </c>
      <c r="M52" s="19">
        <v>195.3</v>
      </c>
      <c r="N52" s="22">
        <v>96</v>
      </c>
      <c r="O52" s="19"/>
      <c r="P52" s="22">
        <f t="shared" si="1"/>
        <v>145</v>
      </c>
      <c r="Q52" s="19"/>
      <c r="R52" s="33">
        <v>194</v>
      </c>
      <c r="S52" s="19"/>
      <c r="T52" s="21"/>
      <c r="U52" s="36"/>
      <c r="W52" s="22">
        <v>47</v>
      </c>
      <c r="X52" s="19"/>
      <c r="Y52" s="22">
        <v>96</v>
      </c>
      <c r="Z52" s="19"/>
      <c r="AA52" s="22">
        <f t="shared" si="2"/>
        <v>145</v>
      </c>
      <c r="AB52" s="19"/>
      <c r="AC52" s="33">
        <v>194</v>
      </c>
      <c r="AD52" s="19"/>
      <c r="AE52" s="21"/>
      <c r="AF52" s="36"/>
    </row>
    <row r="53" spans="1:32" ht="15.75" x14ac:dyDescent="0.25">
      <c r="A53" s="22">
        <v>48</v>
      </c>
      <c r="B53" s="19">
        <v>199.4</v>
      </c>
      <c r="C53" s="22">
        <v>97</v>
      </c>
      <c r="D53" s="19"/>
      <c r="E53" s="22">
        <f t="shared" si="0"/>
        <v>146</v>
      </c>
      <c r="F53" s="19"/>
      <c r="G53" s="33">
        <v>195</v>
      </c>
      <c r="H53" s="19"/>
      <c r="I53" s="20"/>
      <c r="J53" s="36"/>
      <c r="L53" s="22">
        <v>48</v>
      </c>
      <c r="M53" s="19">
        <v>199.4</v>
      </c>
      <c r="N53" s="22">
        <v>97</v>
      </c>
      <c r="O53" s="19"/>
      <c r="P53" s="22">
        <f t="shared" si="1"/>
        <v>146</v>
      </c>
      <c r="Q53" s="19"/>
      <c r="R53" s="33">
        <v>195</v>
      </c>
      <c r="S53" s="19"/>
      <c r="T53" s="20"/>
      <c r="U53" s="36"/>
      <c r="W53" s="22">
        <v>48</v>
      </c>
      <c r="X53" s="19"/>
      <c r="Y53" s="22">
        <v>97</v>
      </c>
      <c r="Z53" s="19"/>
      <c r="AA53" s="22">
        <f t="shared" si="2"/>
        <v>146</v>
      </c>
      <c r="AB53" s="19"/>
      <c r="AC53" s="33">
        <v>195</v>
      </c>
      <c r="AD53" s="19"/>
      <c r="AE53" s="20"/>
      <c r="AF53" s="36"/>
    </row>
    <row r="54" spans="1:32" ht="15.75" x14ac:dyDescent="0.25">
      <c r="A54" s="37">
        <v>49</v>
      </c>
      <c r="B54" s="19">
        <v>193.8</v>
      </c>
      <c r="C54" s="37">
        <v>98</v>
      </c>
      <c r="D54" s="19"/>
      <c r="E54" s="22">
        <f t="shared" si="0"/>
        <v>147</v>
      </c>
      <c r="F54" s="19"/>
      <c r="G54" s="38">
        <v>196</v>
      </c>
      <c r="H54" s="19"/>
      <c r="I54" s="39"/>
      <c r="J54" s="40"/>
      <c r="L54" s="37">
        <v>49</v>
      </c>
      <c r="M54" s="19">
        <v>193.8</v>
      </c>
      <c r="N54" s="37">
        <v>98</v>
      </c>
      <c r="O54" s="19"/>
      <c r="P54" s="22">
        <f t="shared" si="1"/>
        <v>147</v>
      </c>
      <c r="Q54" s="19"/>
      <c r="R54" s="38">
        <v>196</v>
      </c>
      <c r="S54" s="19"/>
      <c r="T54" s="39"/>
      <c r="U54" s="40"/>
      <c r="W54" s="37">
        <v>49</v>
      </c>
      <c r="X54" s="19"/>
      <c r="Y54" s="37">
        <v>98</v>
      </c>
      <c r="Z54" s="19"/>
      <c r="AA54" s="22">
        <f t="shared" si="2"/>
        <v>147</v>
      </c>
      <c r="AB54" s="19"/>
      <c r="AC54" s="38">
        <v>196</v>
      </c>
      <c r="AD54" s="19"/>
      <c r="AE54" s="39"/>
      <c r="AF54" s="40"/>
    </row>
    <row r="55" spans="1:32" ht="15.75" x14ac:dyDescent="0.25">
      <c r="A55" s="41"/>
      <c r="B55" s="23">
        <f>SUM(B6:B54)</f>
        <v>9628.2000000000007</v>
      </c>
      <c r="C55" s="23"/>
      <c r="D55" s="23">
        <f>SUM(D6:D54)</f>
        <v>7443.2</v>
      </c>
      <c r="E55" s="23"/>
      <c r="F55" s="23">
        <f>SUM(F6:F54)</f>
        <v>0</v>
      </c>
      <c r="G55" s="23"/>
      <c r="H55" s="23">
        <f>SUM(H6:H54)</f>
        <v>0</v>
      </c>
      <c r="I55" s="41"/>
      <c r="J55" s="41">
        <f>SUM(J6:J54)</f>
        <v>0</v>
      </c>
      <c r="L55" s="41"/>
      <c r="M55" s="23">
        <f>SUM(M6:M54)</f>
        <v>9628.2000000000007</v>
      </c>
      <c r="N55" s="23"/>
      <c r="O55" s="23">
        <f>SUM(O6:O54)</f>
        <v>2350.3999999999996</v>
      </c>
      <c r="P55" s="23"/>
      <c r="Q55" s="23">
        <f>SUM(Q6:Q54)</f>
        <v>0</v>
      </c>
      <c r="R55" s="23"/>
      <c r="S55" s="23">
        <f>SUM(S6:S54)</f>
        <v>0</v>
      </c>
      <c r="T55" s="41"/>
      <c r="U55" s="41">
        <f>SUM(U6:U54)</f>
        <v>0</v>
      </c>
      <c r="W55" s="41"/>
      <c r="X55" s="23">
        <f>SUM(X6:X54)</f>
        <v>0</v>
      </c>
      <c r="Y55" s="23"/>
      <c r="Z55" s="23">
        <f>SUM(Z6:Z54)</f>
        <v>5092.7999999999993</v>
      </c>
      <c r="AA55" s="23"/>
      <c r="AB55" s="23">
        <f>SUM(AB6:AB54)</f>
        <v>0</v>
      </c>
      <c r="AC55" s="23"/>
      <c r="AD55" s="23">
        <f>SUM(AD6:AD54)</f>
        <v>0</v>
      </c>
      <c r="AE55" s="41"/>
      <c r="AF55" s="41">
        <f>SUM(AF6:AF54)</f>
        <v>0</v>
      </c>
    </row>
    <row r="56" spans="1:32" ht="15.75" x14ac:dyDescent="0.25">
      <c r="A56" s="42" t="s">
        <v>5</v>
      </c>
      <c r="B56" s="43">
        <f>COUNT(B6:B54,D6:D54,F6:F54,H6:H54,J6:J54)</f>
        <v>87</v>
      </c>
      <c r="C56" s="13" t="s">
        <v>6</v>
      </c>
      <c r="D56" s="44"/>
      <c r="E56" s="45">
        <f>B55+D55+F55+H55+J55</f>
        <v>17071.400000000001</v>
      </c>
      <c r="F56" s="24" t="s">
        <v>7</v>
      </c>
      <c r="G56" s="1">
        <f>B56*2.2</f>
        <v>191.4</v>
      </c>
      <c r="H56" s="13" t="s">
        <v>8</v>
      </c>
      <c r="I56" s="44"/>
      <c r="J56" s="45">
        <f>E56-G56</f>
        <v>16880</v>
      </c>
      <c r="L56" s="42" t="s">
        <v>5</v>
      </c>
      <c r="M56" s="43">
        <f>COUNT(M6:M54,O6:O54,Q6:Q54,S6:S54,U6:U54)</f>
        <v>61</v>
      </c>
      <c r="N56" s="13" t="s">
        <v>6</v>
      </c>
      <c r="O56" s="44"/>
      <c r="P56" s="45">
        <f>M55+O55+Q55+S55+U55</f>
        <v>11978.6</v>
      </c>
      <c r="Q56" s="24" t="s">
        <v>7</v>
      </c>
      <c r="R56" s="1">
        <f>M56*2.2</f>
        <v>134.20000000000002</v>
      </c>
      <c r="S56" s="13" t="s">
        <v>8</v>
      </c>
      <c r="T56" s="44"/>
      <c r="U56" s="45">
        <f>P56-R56</f>
        <v>11844.4</v>
      </c>
      <c r="W56" s="42" t="s">
        <v>5</v>
      </c>
      <c r="X56" s="43">
        <f>COUNT(X6:X54,Z6:Z54,AB6:AB54,AD6:AD54,AF6:AF54)</f>
        <v>26</v>
      </c>
      <c r="Y56" s="13" t="s">
        <v>6</v>
      </c>
      <c r="Z56" s="44"/>
      <c r="AA56" s="45">
        <f>X55+Z55+AB55+AD55+AF55</f>
        <v>5092.7999999999993</v>
      </c>
      <c r="AB56" s="24" t="s">
        <v>7</v>
      </c>
      <c r="AC56" s="1">
        <f>X56*2.2</f>
        <v>57.2</v>
      </c>
      <c r="AD56" s="13" t="s">
        <v>8</v>
      </c>
      <c r="AE56" s="44"/>
      <c r="AF56" s="45">
        <f>AA56-AC56</f>
        <v>5035.5999999999995</v>
      </c>
    </row>
    <row r="57" spans="1:32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  <c r="L57" s="42" t="s">
        <v>9</v>
      </c>
      <c r="M57" s="25"/>
      <c r="N57" s="46"/>
      <c r="O57" s="44"/>
      <c r="P57" s="47"/>
      <c r="Q57" s="25"/>
      <c r="R57" s="48"/>
      <c r="S57" s="46"/>
      <c r="T57" s="44"/>
      <c r="U57" s="49"/>
      <c r="W57" s="42" t="s">
        <v>9</v>
      </c>
      <c r="X57" s="25"/>
      <c r="Y57" s="46"/>
      <c r="Z57" s="44"/>
      <c r="AA57" s="47"/>
      <c r="AB57" s="25"/>
      <c r="AC57" s="48"/>
      <c r="AD57" s="46"/>
      <c r="AE57" s="44"/>
      <c r="AF57" s="49"/>
    </row>
    <row r="59" spans="1:32" x14ac:dyDescent="0.25">
      <c r="F59" s="112" t="s">
        <v>61</v>
      </c>
      <c r="G59" s="112">
        <v>2.2000000000000002</v>
      </c>
      <c r="Q59" s="112" t="s">
        <v>61</v>
      </c>
      <c r="R59" s="112">
        <v>2.2000000000000002</v>
      </c>
      <c r="AB59" s="112" t="s">
        <v>61</v>
      </c>
      <c r="AC59" s="112">
        <v>2.2000000000000002</v>
      </c>
    </row>
  </sheetData>
  <protectedRanges>
    <protectedRange password="CCE1" sqref="C6:C54 G6:G54 E6:E54 I6:I29 N6:N54 R6:R54 P6:P54 T6:T29 Y6:Y54 AC6:AC54 AA6:AA54 AE6:AE29" name="Диапазон1_3_1_7_2_1_1_1_1_1_1_1"/>
  </protectedRanges>
  <mergeCells count="6">
    <mergeCell ref="A1:J1"/>
    <mergeCell ref="I4:J4"/>
    <mergeCell ref="L1:U1"/>
    <mergeCell ref="T4:U4"/>
    <mergeCell ref="W1:AF1"/>
    <mergeCell ref="AE4:AF4"/>
  </mergeCells>
  <pageMargins left="0.7" right="0.7" top="0.75" bottom="0.75" header="0.3" footer="0.3"/>
  <pageSetup paperSize="9" scale="82" orientation="portrait" verticalDpi="0" r:id="rId1"/>
  <colBreaks count="2" manualBreakCount="2">
    <brk id="10" max="57" man="1"/>
    <brk id="21" max="57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opLeftCell="T43" zoomScale="80" zoomScaleNormal="80" workbookViewId="0">
      <selection activeCell="AT57" sqref="AT57"/>
    </sheetView>
  </sheetViews>
  <sheetFormatPr defaultRowHeight="15" x14ac:dyDescent="0.25"/>
  <cols>
    <col min="5" max="5" width="10" customWidth="1"/>
    <col min="10" max="10" width="10.28515625" customWidth="1"/>
    <col min="11" max="11" width="2.7109375" customWidth="1"/>
    <col min="16" max="16" width="11" customWidth="1"/>
    <col min="21" max="21" width="9.7109375" customWidth="1"/>
    <col min="22" max="22" width="2.5703125" customWidth="1"/>
    <col min="33" max="33" width="1.7109375" customWidth="1"/>
    <col min="44" max="44" width="3.28515625" customWidth="1"/>
  </cols>
  <sheetData>
    <row r="1" spans="1:54" ht="18.75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L1" s="204" t="s">
        <v>0</v>
      </c>
      <c r="M1" s="204"/>
      <c r="N1" s="204"/>
      <c r="O1" s="204"/>
      <c r="P1" s="204"/>
      <c r="Q1" s="204"/>
      <c r="R1" s="204"/>
      <c r="S1" s="204"/>
      <c r="T1" s="204"/>
      <c r="U1" s="204"/>
      <c r="W1" s="204" t="s">
        <v>0</v>
      </c>
      <c r="X1" s="204"/>
      <c r="Y1" s="204"/>
      <c r="Z1" s="204"/>
      <c r="AA1" s="204"/>
      <c r="AB1" s="204"/>
      <c r="AC1" s="204"/>
      <c r="AD1" s="204"/>
      <c r="AE1" s="204"/>
      <c r="AF1" s="204"/>
      <c r="AH1" s="204" t="s">
        <v>0</v>
      </c>
      <c r="AI1" s="204"/>
      <c r="AJ1" s="204"/>
      <c r="AK1" s="204"/>
      <c r="AL1" s="204"/>
      <c r="AM1" s="204"/>
      <c r="AN1" s="204"/>
      <c r="AO1" s="204"/>
      <c r="AP1" s="204"/>
      <c r="AQ1" s="204"/>
      <c r="AS1" s="204" t="s">
        <v>0</v>
      </c>
      <c r="AT1" s="204"/>
      <c r="AU1" s="204"/>
      <c r="AV1" s="204"/>
      <c r="AW1" s="204"/>
      <c r="AX1" s="204"/>
      <c r="AY1" s="204"/>
      <c r="AZ1" s="204"/>
      <c r="BA1" s="204"/>
      <c r="BB1" s="204"/>
    </row>
    <row r="2" spans="1:54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  <c r="L2" s="13" t="s">
        <v>1</v>
      </c>
      <c r="M2" s="13"/>
      <c r="N2" s="13"/>
      <c r="O2" s="13"/>
      <c r="P2" s="13"/>
      <c r="Q2" s="13"/>
      <c r="R2" s="27"/>
      <c r="S2" s="13"/>
      <c r="T2" s="13"/>
      <c r="U2" s="13"/>
      <c r="W2" s="13" t="s">
        <v>1</v>
      </c>
      <c r="X2" s="13"/>
      <c r="Y2" s="13"/>
      <c r="Z2" s="13"/>
      <c r="AA2" s="13"/>
      <c r="AB2" s="13"/>
      <c r="AC2" s="27"/>
      <c r="AD2" s="13"/>
      <c r="AE2" s="13"/>
      <c r="AF2" s="13"/>
      <c r="AH2" s="13" t="s">
        <v>1</v>
      </c>
      <c r="AI2" s="13"/>
      <c r="AJ2" s="13"/>
      <c r="AK2" s="13"/>
      <c r="AL2" s="13"/>
      <c r="AM2" s="13"/>
      <c r="AN2" s="27"/>
      <c r="AO2" s="13"/>
      <c r="AP2" s="13"/>
      <c r="AQ2" s="13"/>
      <c r="AS2" s="13" t="s">
        <v>1</v>
      </c>
      <c r="AT2" s="13"/>
      <c r="AU2" s="13"/>
      <c r="AV2" s="13"/>
      <c r="AW2" s="13"/>
      <c r="AX2" s="13"/>
      <c r="AY2" s="27"/>
      <c r="AZ2" s="13"/>
      <c r="BA2" s="13"/>
      <c r="BB2" s="13"/>
    </row>
    <row r="3" spans="1:54" ht="15.75" x14ac:dyDescent="0.25">
      <c r="A3" s="25" t="s">
        <v>2</v>
      </c>
      <c r="B3" s="27">
        <v>207</v>
      </c>
      <c r="C3" s="14"/>
      <c r="D3" s="15"/>
      <c r="E3" s="16"/>
      <c r="F3" s="16"/>
      <c r="G3" s="16"/>
      <c r="H3" s="16"/>
      <c r="I3" s="16" t="s">
        <v>33</v>
      </c>
      <c r="J3" s="16"/>
      <c r="L3" s="25" t="s">
        <v>2</v>
      </c>
      <c r="M3" s="27">
        <v>207</v>
      </c>
      <c r="N3" s="14"/>
      <c r="O3" s="15"/>
      <c r="P3" s="16"/>
      <c r="Q3" s="16"/>
      <c r="R3" s="16"/>
      <c r="S3" s="16"/>
      <c r="T3" s="16" t="s">
        <v>33</v>
      </c>
      <c r="U3" s="16"/>
      <c r="W3" s="25" t="s">
        <v>2</v>
      </c>
      <c r="X3" s="27">
        <v>207</v>
      </c>
      <c r="Y3" s="14"/>
      <c r="Z3" s="15"/>
      <c r="AA3" s="16"/>
      <c r="AB3" s="16"/>
      <c r="AC3" s="16"/>
      <c r="AD3" s="16"/>
      <c r="AE3" s="16" t="s">
        <v>33</v>
      </c>
      <c r="AF3" s="16"/>
      <c r="AH3" s="25" t="s">
        <v>2</v>
      </c>
      <c r="AI3" s="27">
        <v>207</v>
      </c>
      <c r="AJ3" s="14"/>
      <c r="AK3" s="15"/>
      <c r="AL3" s="16"/>
      <c r="AM3" s="16"/>
      <c r="AN3" s="16"/>
      <c r="AO3" s="16"/>
      <c r="AP3" s="16" t="s">
        <v>33</v>
      </c>
      <c r="AQ3" s="16"/>
      <c r="AS3" s="25" t="s">
        <v>2</v>
      </c>
      <c r="AT3" s="27">
        <v>207</v>
      </c>
      <c r="AU3" s="14"/>
      <c r="AV3" s="15"/>
      <c r="AW3" s="16"/>
      <c r="AX3" s="16"/>
      <c r="AY3" s="16"/>
      <c r="AZ3" s="16"/>
      <c r="BA3" s="16" t="s">
        <v>33</v>
      </c>
      <c r="BB3" s="16"/>
    </row>
    <row r="4" spans="1:54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  <c r="L4" s="17"/>
      <c r="M4" s="17"/>
      <c r="N4" s="17"/>
      <c r="O4" s="17"/>
      <c r="P4" s="17"/>
      <c r="Q4" s="17"/>
      <c r="R4" s="17"/>
      <c r="S4" s="28"/>
      <c r="T4" s="205" t="s">
        <v>10</v>
      </c>
      <c r="U4" s="206"/>
      <c r="W4" s="17"/>
      <c r="X4" s="17"/>
      <c r="Y4" s="17"/>
      <c r="Z4" s="17"/>
      <c r="AA4" s="17"/>
      <c r="AB4" s="17"/>
      <c r="AC4" s="17"/>
      <c r="AD4" s="28"/>
      <c r="AE4" s="205" t="s">
        <v>47</v>
      </c>
      <c r="AF4" s="206"/>
      <c r="AH4" s="17"/>
      <c r="AI4" s="17"/>
      <c r="AJ4" s="17"/>
      <c r="AK4" s="17"/>
      <c r="AL4" s="17"/>
      <c r="AM4" s="17"/>
      <c r="AN4" s="17"/>
      <c r="AO4" s="28"/>
      <c r="AP4" s="205" t="s">
        <v>47</v>
      </c>
      <c r="AQ4" s="206"/>
      <c r="AS4" s="17"/>
      <c r="AT4" s="17"/>
      <c r="AU4" s="17"/>
      <c r="AV4" s="17"/>
      <c r="AW4" s="17"/>
      <c r="AX4" s="17"/>
      <c r="AY4" s="17"/>
      <c r="AZ4" s="28"/>
      <c r="BA4" s="205" t="s">
        <v>50</v>
      </c>
      <c r="BB4" s="206"/>
    </row>
    <row r="5" spans="1:54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  <c r="L5" s="29" t="s">
        <v>3</v>
      </c>
      <c r="M5" s="18" t="s">
        <v>4</v>
      </c>
      <c r="N5" s="29" t="s">
        <v>3</v>
      </c>
      <c r="O5" s="18" t="s">
        <v>4</v>
      </c>
      <c r="P5" s="29" t="s">
        <v>3</v>
      </c>
      <c r="Q5" s="18" t="s">
        <v>4</v>
      </c>
      <c r="R5" s="29" t="s">
        <v>3</v>
      </c>
      <c r="S5" s="30" t="s">
        <v>4</v>
      </c>
      <c r="T5" s="31" t="s">
        <v>3</v>
      </c>
      <c r="U5" s="32" t="s">
        <v>4</v>
      </c>
      <c r="W5" s="29" t="s">
        <v>3</v>
      </c>
      <c r="X5" s="18" t="s">
        <v>4</v>
      </c>
      <c r="Y5" s="29" t="s">
        <v>3</v>
      </c>
      <c r="Z5" s="18" t="s">
        <v>4</v>
      </c>
      <c r="AA5" s="29" t="s">
        <v>3</v>
      </c>
      <c r="AB5" s="18" t="s">
        <v>4</v>
      </c>
      <c r="AC5" s="29" t="s">
        <v>3</v>
      </c>
      <c r="AD5" s="30" t="s">
        <v>4</v>
      </c>
      <c r="AE5" s="31" t="s">
        <v>3</v>
      </c>
      <c r="AF5" s="32" t="s">
        <v>4</v>
      </c>
      <c r="AH5" s="29" t="s">
        <v>3</v>
      </c>
      <c r="AI5" s="18" t="s">
        <v>4</v>
      </c>
      <c r="AJ5" s="29" t="s">
        <v>3</v>
      </c>
      <c r="AK5" s="18" t="s">
        <v>4</v>
      </c>
      <c r="AL5" s="29" t="s">
        <v>3</v>
      </c>
      <c r="AM5" s="18" t="s">
        <v>4</v>
      </c>
      <c r="AN5" s="29" t="s">
        <v>3</v>
      </c>
      <c r="AO5" s="30" t="s">
        <v>4</v>
      </c>
      <c r="AP5" s="31" t="s">
        <v>3</v>
      </c>
      <c r="AQ5" s="32" t="s">
        <v>4</v>
      </c>
      <c r="AS5" s="29" t="s">
        <v>3</v>
      </c>
      <c r="AT5" s="18" t="s">
        <v>4</v>
      </c>
      <c r="AU5" s="29" t="s">
        <v>3</v>
      </c>
      <c r="AV5" s="18" t="s">
        <v>4</v>
      </c>
      <c r="AW5" s="29" t="s">
        <v>3</v>
      </c>
      <c r="AX5" s="18" t="s">
        <v>4</v>
      </c>
      <c r="AY5" s="29" t="s">
        <v>3</v>
      </c>
      <c r="AZ5" s="30" t="s">
        <v>4</v>
      </c>
      <c r="BA5" s="31" t="s">
        <v>3</v>
      </c>
      <c r="BB5" s="32" t="s">
        <v>4</v>
      </c>
    </row>
    <row r="6" spans="1:54" ht="15.75" x14ac:dyDescent="0.25">
      <c r="A6" s="22">
        <v>1</v>
      </c>
      <c r="B6" s="19">
        <v>209.1</v>
      </c>
      <c r="C6" s="22">
        <v>50</v>
      </c>
      <c r="D6" s="19"/>
      <c r="E6" s="22">
        <v>99</v>
      </c>
      <c r="F6" s="19"/>
      <c r="G6" s="33">
        <v>148</v>
      </c>
      <c r="H6" s="19"/>
      <c r="I6" s="34">
        <v>197</v>
      </c>
      <c r="J6" s="19"/>
      <c r="L6" s="22">
        <v>1</v>
      </c>
      <c r="M6" s="19"/>
      <c r="N6" s="22">
        <v>50</v>
      </c>
      <c r="O6" s="19">
        <v>196.6</v>
      </c>
      <c r="P6" s="22">
        <v>99</v>
      </c>
      <c r="Q6" s="19">
        <v>197.4</v>
      </c>
      <c r="R6" s="33">
        <v>148</v>
      </c>
      <c r="S6" s="19">
        <v>186.9</v>
      </c>
      <c r="T6" s="34">
        <v>197</v>
      </c>
      <c r="U6" s="19">
        <v>206.4</v>
      </c>
      <c r="W6" s="22">
        <v>1</v>
      </c>
      <c r="X6" s="19">
        <v>209.1</v>
      </c>
      <c r="Y6" s="22">
        <v>50</v>
      </c>
      <c r="Z6" s="19"/>
      <c r="AA6" s="22">
        <v>99</v>
      </c>
      <c r="AB6" s="19"/>
      <c r="AC6" s="33">
        <v>148</v>
      </c>
      <c r="AD6" s="19"/>
      <c r="AE6" s="34">
        <v>197</v>
      </c>
      <c r="AF6" s="19"/>
      <c r="AH6" s="22">
        <v>1</v>
      </c>
      <c r="AI6" s="19"/>
      <c r="AJ6" s="22">
        <v>50</v>
      </c>
      <c r="AK6" s="19">
        <v>196.6</v>
      </c>
      <c r="AL6" s="22">
        <v>99</v>
      </c>
      <c r="AM6" s="19">
        <v>197.4</v>
      </c>
      <c r="AN6" s="33">
        <v>148</v>
      </c>
      <c r="AO6" s="19"/>
      <c r="AP6" s="34">
        <v>197</v>
      </c>
      <c r="AQ6" s="19"/>
      <c r="AS6" s="22">
        <v>1</v>
      </c>
      <c r="AT6" s="19"/>
      <c r="AU6" s="22">
        <v>50</v>
      </c>
      <c r="AV6" s="19"/>
      <c r="AW6" s="22">
        <v>99</v>
      </c>
      <c r="AX6" s="19"/>
      <c r="AY6" s="33">
        <v>148</v>
      </c>
      <c r="AZ6" s="19">
        <v>186.9</v>
      </c>
      <c r="BA6" s="34">
        <v>197</v>
      </c>
      <c r="BB6" s="19">
        <v>206.4</v>
      </c>
    </row>
    <row r="7" spans="1:54" ht="15.75" x14ac:dyDescent="0.25">
      <c r="A7" s="22">
        <v>2</v>
      </c>
      <c r="B7" s="19"/>
      <c r="C7" s="22">
        <v>51</v>
      </c>
      <c r="D7" s="19"/>
      <c r="E7" s="22">
        <v>100</v>
      </c>
      <c r="F7" s="19"/>
      <c r="G7" s="33">
        <v>149</v>
      </c>
      <c r="H7" s="19"/>
      <c r="I7" s="33">
        <v>198</v>
      </c>
      <c r="J7" s="19"/>
      <c r="L7" s="22">
        <v>2</v>
      </c>
      <c r="M7" s="19">
        <v>198.2</v>
      </c>
      <c r="N7" s="22">
        <v>51</v>
      </c>
      <c r="O7" s="19">
        <v>197.7</v>
      </c>
      <c r="P7" s="22">
        <v>100</v>
      </c>
      <c r="Q7" s="19">
        <v>198.5</v>
      </c>
      <c r="R7" s="33">
        <v>149</v>
      </c>
      <c r="S7" s="19">
        <v>194.6</v>
      </c>
      <c r="T7" s="33">
        <v>198</v>
      </c>
      <c r="U7" s="19">
        <v>196.9</v>
      </c>
      <c r="W7" s="22">
        <v>2</v>
      </c>
      <c r="X7" s="19"/>
      <c r="Y7" s="22">
        <v>51</v>
      </c>
      <c r="Z7" s="19"/>
      <c r="AA7" s="22">
        <v>100</v>
      </c>
      <c r="AB7" s="19"/>
      <c r="AC7" s="33">
        <v>149</v>
      </c>
      <c r="AD7" s="19"/>
      <c r="AE7" s="33">
        <v>198</v>
      </c>
      <c r="AF7" s="19"/>
      <c r="AH7" s="22">
        <v>2</v>
      </c>
      <c r="AI7" s="19">
        <v>198.2</v>
      </c>
      <c r="AJ7" s="22">
        <v>51</v>
      </c>
      <c r="AK7" s="19">
        <v>197.7</v>
      </c>
      <c r="AL7" s="22">
        <v>100</v>
      </c>
      <c r="AM7" s="19">
        <v>198.5</v>
      </c>
      <c r="AN7" s="33">
        <v>149</v>
      </c>
      <c r="AO7" s="19"/>
      <c r="AP7" s="33">
        <v>198</v>
      </c>
      <c r="AQ7" s="19"/>
      <c r="AS7" s="22">
        <v>2</v>
      </c>
      <c r="AT7" s="19"/>
      <c r="AU7" s="22">
        <v>51</v>
      </c>
      <c r="AV7" s="19"/>
      <c r="AW7" s="22">
        <v>100</v>
      </c>
      <c r="AX7" s="19"/>
      <c r="AY7" s="33">
        <v>149</v>
      </c>
      <c r="AZ7" s="19">
        <v>194.6</v>
      </c>
      <c r="BA7" s="33">
        <v>198</v>
      </c>
      <c r="BB7" s="19">
        <v>196.9</v>
      </c>
    </row>
    <row r="8" spans="1:54" ht="15.75" x14ac:dyDescent="0.25">
      <c r="A8" s="22">
        <v>3</v>
      </c>
      <c r="B8" s="19"/>
      <c r="C8" s="22">
        <v>52</v>
      </c>
      <c r="D8" s="19"/>
      <c r="E8" s="22">
        <f t="shared" ref="E8:E54" si="0">+E7+1</f>
        <v>101</v>
      </c>
      <c r="F8" s="19"/>
      <c r="G8" s="33">
        <v>150</v>
      </c>
      <c r="H8" s="19"/>
      <c r="I8" s="33">
        <v>199</v>
      </c>
      <c r="J8" s="19"/>
      <c r="L8" s="22">
        <v>3</v>
      </c>
      <c r="M8" s="19">
        <v>203.7</v>
      </c>
      <c r="N8" s="22">
        <v>52</v>
      </c>
      <c r="O8" s="19">
        <v>198.8</v>
      </c>
      <c r="P8" s="22">
        <f t="shared" ref="P8:P54" si="1">+P7+1</f>
        <v>101</v>
      </c>
      <c r="Q8" s="19">
        <v>205.4</v>
      </c>
      <c r="R8" s="33">
        <v>150</v>
      </c>
      <c r="S8" s="19">
        <v>194.1</v>
      </c>
      <c r="T8" s="33">
        <v>199</v>
      </c>
      <c r="U8" s="19">
        <v>204.9</v>
      </c>
      <c r="W8" s="22">
        <v>3</v>
      </c>
      <c r="X8" s="19"/>
      <c r="Y8" s="22">
        <v>52</v>
      </c>
      <c r="Z8" s="19"/>
      <c r="AA8" s="22">
        <f t="shared" ref="AA8:AA54" si="2">+AA7+1</f>
        <v>101</v>
      </c>
      <c r="AB8" s="19"/>
      <c r="AC8" s="33">
        <v>150</v>
      </c>
      <c r="AD8" s="19"/>
      <c r="AE8" s="33">
        <v>199</v>
      </c>
      <c r="AF8" s="19"/>
      <c r="AH8" s="22">
        <v>3</v>
      </c>
      <c r="AI8" s="19">
        <v>203.7</v>
      </c>
      <c r="AJ8" s="22">
        <v>52</v>
      </c>
      <c r="AK8" s="19">
        <v>198.8</v>
      </c>
      <c r="AL8" s="22">
        <f t="shared" ref="AL8:AL54" si="3">+AL7+1</f>
        <v>101</v>
      </c>
      <c r="AM8" s="19">
        <v>205.4</v>
      </c>
      <c r="AN8" s="33">
        <v>150</v>
      </c>
      <c r="AO8" s="19"/>
      <c r="AP8" s="33">
        <v>199</v>
      </c>
      <c r="AQ8" s="19"/>
      <c r="AS8" s="22">
        <v>3</v>
      </c>
      <c r="AT8" s="19"/>
      <c r="AU8" s="22">
        <v>52</v>
      </c>
      <c r="AV8" s="19"/>
      <c r="AW8" s="22">
        <f t="shared" ref="AW8:AW54" si="4">+AW7+1</f>
        <v>101</v>
      </c>
      <c r="AX8" s="19"/>
      <c r="AY8" s="33">
        <v>150</v>
      </c>
      <c r="AZ8" s="19">
        <v>194.1</v>
      </c>
      <c r="BA8" s="33">
        <v>199</v>
      </c>
      <c r="BB8" s="19">
        <v>204.9</v>
      </c>
    </row>
    <row r="9" spans="1:54" ht="15.75" x14ac:dyDescent="0.25">
      <c r="A9" s="22">
        <v>4</v>
      </c>
      <c r="B9" s="19"/>
      <c r="C9" s="22">
        <v>53</v>
      </c>
      <c r="D9" s="19"/>
      <c r="E9" s="22">
        <f t="shared" si="0"/>
        <v>102</v>
      </c>
      <c r="F9" s="19"/>
      <c r="G9" s="33">
        <v>151</v>
      </c>
      <c r="H9" s="19"/>
      <c r="I9" s="33">
        <v>200</v>
      </c>
      <c r="J9" s="19"/>
      <c r="L9" s="22">
        <v>4</v>
      </c>
      <c r="M9" s="19">
        <v>207.7</v>
      </c>
      <c r="N9" s="22">
        <v>53</v>
      </c>
      <c r="O9" s="19">
        <v>190.3</v>
      </c>
      <c r="P9" s="22">
        <f t="shared" si="1"/>
        <v>102</v>
      </c>
      <c r="Q9" s="19">
        <v>204.1</v>
      </c>
      <c r="R9" s="33">
        <v>151</v>
      </c>
      <c r="S9" s="19">
        <v>192.2</v>
      </c>
      <c r="T9" s="33">
        <v>200</v>
      </c>
      <c r="U9" s="19">
        <v>200.7</v>
      </c>
      <c r="W9" s="22">
        <v>4</v>
      </c>
      <c r="X9" s="19"/>
      <c r="Y9" s="22">
        <v>53</v>
      </c>
      <c r="Z9" s="19"/>
      <c r="AA9" s="22">
        <f t="shared" si="2"/>
        <v>102</v>
      </c>
      <c r="AB9" s="19"/>
      <c r="AC9" s="33">
        <v>151</v>
      </c>
      <c r="AD9" s="19"/>
      <c r="AE9" s="33">
        <v>200</v>
      </c>
      <c r="AF9" s="19"/>
      <c r="AH9" s="22">
        <v>4</v>
      </c>
      <c r="AI9" s="19">
        <v>207.7</v>
      </c>
      <c r="AJ9" s="22">
        <v>53</v>
      </c>
      <c r="AK9" s="19">
        <v>190.3</v>
      </c>
      <c r="AL9" s="22">
        <f t="shared" si="3"/>
        <v>102</v>
      </c>
      <c r="AM9" s="19">
        <v>204.1</v>
      </c>
      <c r="AN9" s="33">
        <v>151</v>
      </c>
      <c r="AO9" s="19"/>
      <c r="AP9" s="33">
        <v>200</v>
      </c>
      <c r="AQ9" s="19"/>
      <c r="AS9" s="22">
        <v>4</v>
      </c>
      <c r="AT9" s="19"/>
      <c r="AU9" s="22">
        <v>53</v>
      </c>
      <c r="AV9" s="19"/>
      <c r="AW9" s="22">
        <f t="shared" si="4"/>
        <v>102</v>
      </c>
      <c r="AX9" s="19"/>
      <c r="AY9" s="33">
        <v>151</v>
      </c>
      <c r="AZ9" s="19">
        <v>192.2</v>
      </c>
      <c r="BA9" s="33">
        <v>200</v>
      </c>
      <c r="BB9" s="19">
        <v>200.7</v>
      </c>
    </row>
    <row r="10" spans="1:54" ht="15.75" x14ac:dyDescent="0.25">
      <c r="A10" s="22">
        <v>5</v>
      </c>
      <c r="B10" s="19"/>
      <c r="C10" s="22">
        <v>54</v>
      </c>
      <c r="D10" s="19"/>
      <c r="E10" s="22">
        <f t="shared" si="0"/>
        <v>103</v>
      </c>
      <c r="F10" s="19"/>
      <c r="G10" s="33">
        <v>152</v>
      </c>
      <c r="H10" s="19"/>
      <c r="I10" s="33">
        <v>201</v>
      </c>
      <c r="J10" s="19"/>
      <c r="L10" s="22">
        <v>5</v>
      </c>
      <c r="M10" s="19">
        <v>203.3</v>
      </c>
      <c r="N10" s="22">
        <v>54</v>
      </c>
      <c r="O10" s="19">
        <v>197.8</v>
      </c>
      <c r="P10" s="22">
        <f t="shared" si="1"/>
        <v>103</v>
      </c>
      <c r="Q10" s="19">
        <v>204.6</v>
      </c>
      <c r="R10" s="33">
        <v>152</v>
      </c>
      <c r="S10" s="19">
        <v>199.3</v>
      </c>
      <c r="T10" s="33">
        <v>201</v>
      </c>
      <c r="U10" s="19">
        <v>208.2</v>
      </c>
      <c r="W10" s="22">
        <v>5</v>
      </c>
      <c r="X10" s="19"/>
      <c r="Y10" s="22">
        <v>54</v>
      </c>
      <c r="Z10" s="19"/>
      <c r="AA10" s="22">
        <f t="shared" si="2"/>
        <v>103</v>
      </c>
      <c r="AB10" s="19"/>
      <c r="AC10" s="33">
        <v>152</v>
      </c>
      <c r="AD10" s="19"/>
      <c r="AE10" s="33">
        <v>201</v>
      </c>
      <c r="AF10" s="19"/>
      <c r="AH10" s="22">
        <v>5</v>
      </c>
      <c r="AI10" s="19">
        <v>203.3</v>
      </c>
      <c r="AJ10" s="22">
        <v>54</v>
      </c>
      <c r="AK10" s="19">
        <v>197.8</v>
      </c>
      <c r="AL10" s="22">
        <f t="shared" si="3"/>
        <v>103</v>
      </c>
      <c r="AM10" s="19">
        <v>204.6</v>
      </c>
      <c r="AN10" s="33">
        <v>152</v>
      </c>
      <c r="AO10" s="19"/>
      <c r="AP10" s="33">
        <v>201</v>
      </c>
      <c r="AQ10" s="19"/>
      <c r="AS10" s="22">
        <v>5</v>
      </c>
      <c r="AT10" s="19"/>
      <c r="AU10" s="22">
        <v>54</v>
      </c>
      <c r="AV10" s="19"/>
      <c r="AW10" s="22">
        <f t="shared" si="4"/>
        <v>103</v>
      </c>
      <c r="AX10" s="19"/>
      <c r="AY10" s="33">
        <v>152</v>
      </c>
      <c r="AZ10" s="19">
        <v>199.3</v>
      </c>
      <c r="BA10" s="33">
        <v>201</v>
      </c>
      <c r="BB10" s="19">
        <v>208.2</v>
      </c>
    </row>
    <row r="11" spans="1:54" ht="15.75" x14ac:dyDescent="0.25">
      <c r="A11" s="22">
        <v>6</v>
      </c>
      <c r="B11" s="19"/>
      <c r="C11" s="22">
        <v>55</v>
      </c>
      <c r="D11" s="19"/>
      <c r="E11" s="22">
        <f t="shared" si="0"/>
        <v>104</v>
      </c>
      <c r="F11" s="19"/>
      <c r="G11" s="33">
        <v>153</v>
      </c>
      <c r="H11" s="19"/>
      <c r="I11" s="33">
        <v>202</v>
      </c>
      <c r="J11" s="19"/>
      <c r="L11" s="22">
        <v>6</v>
      </c>
      <c r="M11" s="19">
        <v>198.8</v>
      </c>
      <c r="N11" s="22">
        <v>55</v>
      </c>
      <c r="O11" s="19">
        <v>199</v>
      </c>
      <c r="P11" s="22">
        <f t="shared" si="1"/>
        <v>104</v>
      </c>
      <c r="Q11" s="19">
        <v>199.9</v>
      </c>
      <c r="R11" s="33">
        <v>153</v>
      </c>
      <c r="S11" s="19">
        <v>191.9</v>
      </c>
      <c r="T11" s="33">
        <v>202</v>
      </c>
      <c r="U11" s="19">
        <v>205.7</v>
      </c>
      <c r="W11" s="22">
        <v>6</v>
      </c>
      <c r="X11" s="19"/>
      <c r="Y11" s="22">
        <v>55</v>
      </c>
      <c r="Z11" s="19"/>
      <c r="AA11" s="22">
        <f t="shared" si="2"/>
        <v>104</v>
      </c>
      <c r="AB11" s="19"/>
      <c r="AC11" s="33">
        <v>153</v>
      </c>
      <c r="AD11" s="19"/>
      <c r="AE11" s="33">
        <v>202</v>
      </c>
      <c r="AF11" s="19"/>
      <c r="AH11" s="22">
        <v>6</v>
      </c>
      <c r="AI11" s="19">
        <v>198.8</v>
      </c>
      <c r="AJ11" s="22">
        <v>55</v>
      </c>
      <c r="AK11" s="19">
        <v>199</v>
      </c>
      <c r="AL11" s="22">
        <f t="shared" si="3"/>
        <v>104</v>
      </c>
      <c r="AM11" s="19">
        <v>199.9</v>
      </c>
      <c r="AN11" s="33">
        <v>153</v>
      </c>
      <c r="AO11" s="19"/>
      <c r="AP11" s="33">
        <v>202</v>
      </c>
      <c r="AQ11" s="19"/>
      <c r="AS11" s="22">
        <v>6</v>
      </c>
      <c r="AT11" s="19"/>
      <c r="AU11" s="22">
        <v>55</v>
      </c>
      <c r="AV11" s="19"/>
      <c r="AW11" s="22">
        <f t="shared" si="4"/>
        <v>104</v>
      </c>
      <c r="AX11" s="19"/>
      <c r="AY11" s="33">
        <v>153</v>
      </c>
      <c r="AZ11" s="19">
        <v>191.9</v>
      </c>
      <c r="BA11" s="33">
        <v>202</v>
      </c>
      <c r="BB11" s="19">
        <v>205.7</v>
      </c>
    </row>
    <row r="12" spans="1:54" ht="15.75" x14ac:dyDescent="0.25">
      <c r="A12" s="22">
        <v>7</v>
      </c>
      <c r="B12" s="19"/>
      <c r="C12" s="22">
        <v>56</v>
      </c>
      <c r="D12" s="19"/>
      <c r="E12" s="22">
        <f t="shared" si="0"/>
        <v>105</v>
      </c>
      <c r="F12" s="19"/>
      <c r="G12" s="33">
        <v>154</v>
      </c>
      <c r="H12" s="19"/>
      <c r="I12" s="33">
        <v>203</v>
      </c>
      <c r="J12" s="19"/>
      <c r="L12" s="22">
        <v>7</v>
      </c>
      <c r="M12" s="19">
        <v>212.7</v>
      </c>
      <c r="N12" s="22">
        <v>56</v>
      </c>
      <c r="O12" s="19">
        <v>191.7</v>
      </c>
      <c r="P12" s="22">
        <f t="shared" si="1"/>
        <v>105</v>
      </c>
      <c r="Q12" s="19">
        <v>198.6</v>
      </c>
      <c r="R12" s="33">
        <v>154</v>
      </c>
      <c r="S12" s="19">
        <v>199.1</v>
      </c>
      <c r="T12" s="33">
        <v>203</v>
      </c>
      <c r="U12" s="19">
        <v>202.4</v>
      </c>
      <c r="W12" s="22">
        <v>7</v>
      </c>
      <c r="X12" s="19"/>
      <c r="Y12" s="22">
        <v>56</v>
      </c>
      <c r="Z12" s="19"/>
      <c r="AA12" s="22">
        <f t="shared" si="2"/>
        <v>105</v>
      </c>
      <c r="AB12" s="19"/>
      <c r="AC12" s="33">
        <v>154</v>
      </c>
      <c r="AD12" s="19"/>
      <c r="AE12" s="33">
        <v>203</v>
      </c>
      <c r="AF12" s="19"/>
      <c r="AH12" s="22">
        <v>7</v>
      </c>
      <c r="AI12" s="19">
        <v>212.7</v>
      </c>
      <c r="AJ12" s="22">
        <v>56</v>
      </c>
      <c r="AK12" s="19">
        <v>191.7</v>
      </c>
      <c r="AL12" s="22">
        <f t="shared" si="3"/>
        <v>105</v>
      </c>
      <c r="AM12" s="19">
        <v>198.6</v>
      </c>
      <c r="AN12" s="33">
        <v>154</v>
      </c>
      <c r="AO12" s="19"/>
      <c r="AP12" s="33">
        <v>203</v>
      </c>
      <c r="AQ12" s="19"/>
      <c r="AS12" s="22">
        <v>7</v>
      </c>
      <c r="AT12" s="19"/>
      <c r="AU12" s="22">
        <v>56</v>
      </c>
      <c r="AV12" s="19"/>
      <c r="AW12" s="22">
        <f t="shared" si="4"/>
        <v>105</v>
      </c>
      <c r="AX12" s="19"/>
      <c r="AY12" s="33">
        <v>154</v>
      </c>
      <c r="AZ12" s="19">
        <v>199.1</v>
      </c>
      <c r="BA12" s="33">
        <v>203</v>
      </c>
      <c r="BB12" s="19">
        <v>202.4</v>
      </c>
    </row>
    <row r="13" spans="1:54" ht="15.75" x14ac:dyDescent="0.25">
      <c r="A13" s="22">
        <v>8</v>
      </c>
      <c r="B13" s="19"/>
      <c r="C13" s="22">
        <v>57</v>
      </c>
      <c r="D13" s="19"/>
      <c r="E13" s="22">
        <f t="shared" si="0"/>
        <v>106</v>
      </c>
      <c r="F13" s="19"/>
      <c r="G13" s="33">
        <v>155</v>
      </c>
      <c r="H13" s="19"/>
      <c r="I13" s="33">
        <v>204</v>
      </c>
      <c r="J13" s="19"/>
      <c r="L13" s="22">
        <v>8</v>
      </c>
      <c r="M13" s="19">
        <v>200.9</v>
      </c>
      <c r="N13" s="22">
        <v>57</v>
      </c>
      <c r="O13" s="19">
        <v>199.7</v>
      </c>
      <c r="P13" s="22">
        <f t="shared" si="1"/>
        <v>106</v>
      </c>
      <c r="Q13" s="19">
        <v>204.3</v>
      </c>
      <c r="R13" s="33">
        <v>155</v>
      </c>
      <c r="S13" s="19">
        <v>191.1</v>
      </c>
      <c r="T13" s="33">
        <v>204</v>
      </c>
      <c r="U13" s="19">
        <v>199.2</v>
      </c>
      <c r="W13" s="22">
        <v>8</v>
      </c>
      <c r="X13" s="19"/>
      <c r="Y13" s="22">
        <v>57</v>
      </c>
      <c r="Z13" s="19"/>
      <c r="AA13" s="22">
        <f t="shared" si="2"/>
        <v>106</v>
      </c>
      <c r="AB13" s="19"/>
      <c r="AC13" s="33">
        <v>155</v>
      </c>
      <c r="AD13" s="19"/>
      <c r="AE13" s="33">
        <v>204</v>
      </c>
      <c r="AF13" s="19"/>
      <c r="AH13" s="22">
        <v>8</v>
      </c>
      <c r="AI13" s="19">
        <v>200.9</v>
      </c>
      <c r="AJ13" s="22">
        <v>57</v>
      </c>
      <c r="AK13" s="19">
        <v>199.7</v>
      </c>
      <c r="AL13" s="22">
        <f t="shared" si="3"/>
        <v>106</v>
      </c>
      <c r="AM13" s="19">
        <v>204.3</v>
      </c>
      <c r="AN13" s="33">
        <v>155</v>
      </c>
      <c r="AO13" s="19"/>
      <c r="AP13" s="33">
        <v>204</v>
      </c>
      <c r="AQ13" s="19"/>
      <c r="AS13" s="22">
        <v>8</v>
      </c>
      <c r="AT13" s="19"/>
      <c r="AU13" s="22">
        <v>57</v>
      </c>
      <c r="AV13" s="19"/>
      <c r="AW13" s="22">
        <f t="shared" si="4"/>
        <v>106</v>
      </c>
      <c r="AX13" s="19"/>
      <c r="AY13" s="33">
        <v>155</v>
      </c>
      <c r="AZ13" s="19">
        <v>191.1</v>
      </c>
      <c r="BA13" s="33">
        <v>204</v>
      </c>
      <c r="BB13" s="19">
        <v>199.2</v>
      </c>
    </row>
    <row r="14" spans="1:54" ht="15.75" x14ac:dyDescent="0.25">
      <c r="A14" s="22">
        <v>9</v>
      </c>
      <c r="B14" s="19"/>
      <c r="C14" s="22">
        <v>58</v>
      </c>
      <c r="D14" s="19"/>
      <c r="E14" s="22">
        <f t="shared" si="0"/>
        <v>107</v>
      </c>
      <c r="F14" s="19"/>
      <c r="G14" s="33">
        <v>156</v>
      </c>
      <c r="H14" s="19"/>
      <c r="I14" s="33">
        <v>205</v>
      </c>
      <c r="J14" s="19"/>
      <c r="L14" s="22">
        <v>9</v>
      </c>
      <c r="M14" s="19">
        <v>202.7</v>
      </c>
      <c r="N14" s="22">
        <v>58</v>
      </c>
      <c r="O14" s="19">
        <v>200.7</v>
      </c>
      <c r="P14" s="22">
        <f t="shared" si="1"/>
        <v>107</v>
      </c>
      <c r="Q14" s="19">
        <v>199.3</v>
      </c>
      <c r="R14" s="33">
        <v>156</v>
      </c>
      <c r="S14" s="19">
        <v>198</v>
      </c>
      <c r="T14" s="33">
        <v>205</v>
      </c>
      <c r="U14" s="19">
        <v>203.9</v>
      </c>
      <c r="W14" s="22">
        <v>9</v>
      </c>
      <c r="X14" s="19"/>
      <c r="Y14" s="22">
        <v>58</v>
      </c>
      <c r="Z14" s="19"/>
      <c r="AA14" s="22">
        <f t="shared" si="2"/>
        <v>107</v>
      </c>
      <c r="AB14" s="19"/>
      <c r="AC14" s="33">
        <v>156</v>
      </c>
      <c r="AD14" s="19"/>
      <c r="AE14" s="33">
        <v>205</v>
      </c>
      <c r="AF14" s="19"/>
      <c r="AH14" s="22">
        <v>9</v>
      </c>
      <c r="AI14" s="19">
        <v>202.7</v>
      </c>
      <c r="AJ14" s="22">
        <v>58</v>
      </c>
      <c r="AK14" s="19">
        <v>200.7</v>
      </c>
      <c r="AL14" s="22">
        <f t="shared" si="3"/>
        <v>107</v>
      </c>
      <c r="AM14" s="19">
        <v>199.3</v>
      </c>
      <c r="AN14" s="33">
        <v>156</v>
      </c>
      <c r="AO14" s="19"/>
      <c r="AP14" s="33">
        <v>205</v>
      </c>
      <c r="AQ14" s="19"/>
      <c r="AS14" s="22">
        <v>9</v>
      </c>
      <c r="AT14" s="19"/>
      <c r="AU14" s="22">
        <v>58</v>
      </c>
      <c r="AV14" s="19"/>
      <c r="AW14" s="22">
        <f t="shared" si="4"/>
        <v>107</v>
      </c>
      <c r="AX14" s="19"/>
      <c r="AY14" s="33">
        <v>156</v>
      </c>
      <c r="AZ14" s="19">
        <v>198</v>
      </c>
      <c r="BA14" s="33">
        <v>205</v>
      </c>
      <c r="BB14" s="19">
        <v>203.9</v>
      </c>
    </row>
    <row r="15" spans="1:54" ht="15.75" x14ac:dyDescent="0.25">
      <c r="A15" s="22">
        <v>10</v>
      </c>
      <c r="B15" s="19"/>
      <c r="C15" s="22">
        <v>59</v>
      </c>
      <c r="D15" s="19"/>
      <c r="E15" s="22">
        <f t="shared" si="0"/>
        <v>108</v>
      </c>
      <c r="F15" s="19"/>
      <c r="G15" s="33">
        <v>157</v>
      </c>
      <c r="H15" s="19"/>
      <c r="I15" s="33">
        <v>206</v>
      </c>
      <c r="J15" s="19"/>
      <c r="L15" s="22">
        <v>10</v>
      </c>
      <c r="M15" s="19">
        <v>204.4</v>
      </c>
      <c r="N15" s="22">
        <v>59</v>
      </c>
      <c r="O15" s="19">
        <v>195.4</v>
      </c>
      <c r="P15" s="22">
        <f t="shared" si="1"/>
        <v>108</v>
      </c>
      <c r="Q15" s="19">
        <v>203.4</v>
      </c>
      <c r="R15" s="33">
        <v>157</v>
      </c>
      <c r="S15" s="19">
        <v>200.5</v>
      </c>
      <c r="T15" s="33">
        <v>206</v>
      </c>
      <c r="U15" s="19">
        <v>193.7</v>
      </c>
      <c r="W15" s="22">
        <v>10</v>
      </c>
      <c r="X15" s="19"/>
      <c r="Y15" s="22">
        <v>59</v>
      </c>
      <c r="Z15" s="19"/>
      <c r="AA15" s="22">
        <f t="shared" si="2"/>
        <v>108</v>
      </c>
      <c r="AB15" s="19"/>
      <c r="AC15" s="33">
        <v>157</v>
      </c>
      <c r="AD15" s="19"/>
      <c r="AE15" s="33">
        <v>206</v>
      </c>
      <c r="AF15" s="19"/>
      <c r="AH15" s="22">
        <v>10</v>
      </c>
      <c r="AI15" s="19">
        <v>204.4</v>
      </c>
      <c r="AJ15" s="22">
        <v>59</v>
      </c>
      <c r="AK15" s="19">
        <v>195.4</v>
      </c>
      <c r="AL15" s="22">
        <f t="shared" si="3"/>
        <v>108</v>
      </c>
      <c r="AM15" s="19">
        <v>203.4</v>
      </c>
      <c r="AN15" s="33">
        <v>157</v>
      </c>
      <c r="AO15" s="19"/>
      <c r="AP15" s="33">
        <v>206</v>
      </c>
      <c r="AQ15" s="19"/>
      <c r="AS15" s="22">
        <v>10</v>
      </c>
      <c r="AT15" s="19"/>
      <c r="AU15" s="22">
        <v>59</v>
      </c>
      <c r="AV15" s="19"/>
      <c r="AW15" s="22">
        <f t="shared" si="4"/>
        <v>108</v>
      </c>
      <c r="AX15" s="19"/>
      <c r="AY15" s="33">
        <v>157</v>
      </c>
      <c r="AZ15" s="19">
        <v>200.5</v>
      </c>
      <c r="BA15" s="33">
        <v>206</v>
      </c>
      <c r="BB15" s="19">
        <v>193.7</v>
      </c>
    </row>
    <row r="16" spans="1:54" ht="15.75" x14ac:dyDescent="0.25">
      <c r="A16" s="22">
        <v>11</v>
      </c>
      <c r="B16" s="19"/>
      <c r="C16" s="22">
        <v>60</v>
      </c>
      <c r="D16" s="19"/>
      <c r="E16" s="22">
        <f t="shared" si="0"/>
        <v>109</v>
      </c>
      <c r="F16" s="19"/>
      <c r="G16" s="33">
        <v>158</v>
      </c>
      <c r="H16" s="19"/>
      <c r="I16" s="33">
        <v>207</v>
      </c>
      <c r="J16" s="19"/>
      <c r="L16" s="22">
        <v>11</v>
      </c>
      <c r="M16" s="19">
        <v>205.7</v>
      </c>
      <c r="N16" s="22">
        <v>60</v>
      </c>
      <c r="O16" s="19">
        <v>196.9</v>
      </c>
      <c r="P16" s="22">
        <f t="shared" si="1"/>
        <v>109</v>
      </c>
      <c r="Q16" s="19">
        <v>200.2</v>
      </c>
      <c r="R16" s="33">
        <v>158</v>
      </c>
      <c r="S16" s="19">
        <v>198.5</v>
      </c>
      <c r="T16" s="33">
        <v>207</v>
      </c>
      <c r="U16" s="19">
        <v>206.4</v>
      </c>
      <c r="W16" s="22">
        <v>11</v>
      </c>
      <c r="X16" s="19"/>
      <c r="Y16" s="22">
        <v>60</v>
      </c>
      <c r="Z16" s="19"/>
      <c r="AA16" s="22">
        <f t="shared" si="2"/>
        <v>109</v>
      </c>
      <c r="AB16" s="19"/>
      <c r="AC16" s="33">
        <v>158</v>
      </c>
      <c r="AD16" s="19"/>
      <c r="AE16" s="33">
        <v>207</v>
      </c>
      <c r="AF16" s="19"/>
      <c r="AH16" s="22">
        <v>11</v>
      </c>
      <c r="AI16" s="19">
        <v>205.7</v>
      </c>
      <c r="AJ16" s="22">
        <v>60</v>
      </c>
      <c r="AK16" s="19">
        <v>196.9</v>
      </c>
      <c r="AL16" s="22">
        <f t="shared" si="3"/>
        <v>109</v>
      </c>
      <c r="AM16" s="19">
        <v>200.2</v>
      </c>
      <c r="AN16" s="33">
        <v>158</v>
      </c>
      <c r="AO16" s="19"/>
      <c r="AP16" s="33">
        <v>207</v>
      </c>
      <c r="AQ16" s="19"/>
      <c r="AS16" s="22">
        <v>11</v>
      </c>
      <c r="AT16" s="19"/>
      <c r="AU16" s="22">
        <v>60</v>
      </c>
      <c r="AV16" s="19"/>
      <c r="AW16" s="22">
        <f t="shared" si="4"/>
        <v>109</v>
      </c>
      <c r="AX16" s="19"/>
      <c r="AY16" s="33">
        <v>158</v>
      </c>
      <c r="AZ16" s="19">
        <v>198.5</v>
      </c>
      <c r="BA16" s="33">
        <v>207</v>
      </c>
      <c r="BB16" s="19">
        <v>206.4</v>
      </c>
    </row>
    <row r="17" spans="1:54" s="57" customFormat="1" ht="15.75" x14ac:dyDescent="0.25">
      <c r="A17" s="22">
        <v>12</v>
      </c>
      <c r="B17" s="19"/>
      <c r="C17" s="22">
        <v>61</v>
      </c>
      <c r="D17" s="19"/>
      <c r="E17" s="22">
        <f t="shared" si="0"/>
        <v>110</v>
      </c>
      <c r="F17" s="19"/>
      <c r="G17" s="33">
        <v>159</v>
      </c>
      <c r="H17" s="19"/>
      <c r="I17" s="33">
        <v>208</v>
      </c>
      <c r="J17" s="19"/>
      <c r="L17" s="22">
        <v>12</v>
      </c>
      <c r="M17" s="19">
        <v>210.2</v>
      </c>
      <c r="N17" s="22">
        <v>61</v>
      </c>
      <c r="O17" s="19">
        <v>194.8</v>
      </c>
      <c r="P17" s="22">
        <f t="shared" si="1"/>
        <v>110</v>
      </c>
      <c r="Q17" s="19">
        <v>198</v>
      </c>
      <c r="R17" s="33">
        <v>159</v>
      </c>
      <c r="S17" s="19">
        <v>196.1</v>
      </c>
      <c r="T17" s="33">
        <v>208</v>
      </c>
      <c r="U17" s="19">
        <v>198.4</v>
      </c>
      <c r="W17" s="22">
        <v>12</v>
      </c>
      <c r="X17" s="19"/>
      <c r="Y17" s="22">
        <v>61</v>
      </c>
      <c r="Z17" s="19"/>
      <c r="AA17" s="22">
        <f t="shared" si="2"/>
        <v>110</v>
      </c>
      <c r="AB17" s="19"/>
      <c r="AC17" s="33">
        <v>159</v>
      </c>
      <c r="AD17" s="19"/>
      <c r="AE17" s="33">
        <v>208</v>
      </c>
      <c r="AF17" s="19"/>
      <c r="AH17" s="22">
        <v>12</v>
      </c>
      <c r="AI17" s="19">
        <v>210.2</v>
      </c>
      <c r="AJ17" s="22">
        <v>61</v>
      </c>
      <c r="AK17" s="19">
        <v>194.8</v>
      </c>
      <c r="AL17" s="22">
        <f t="shared" si="3"/>
        <v>110</v>
      </c>
      <c r="AM17" s="19">
        <v>198</v>
      </c>
      <c r="AN17" s="33">
        <v>159</v>
      </c>
      <c r="AO17" s="19"/>
      <c r="AP17" s="33">
        <v>208</v>
      </c>
      <c r="AQ17" s="19"/>
      <c r="AS17" s="22">
        <v>12</v>
      </c>
      <c r="AT17" s="19"/>
      <c r="AU17" s="22">
        <v>61</v>
      </c>
      <c r="AV17" s="19"/>
      <c r="AW17" s="22">
        <f t="shared" si="4"/>
        <v>110</v>
      </c>
      <c r="AX17" s="19"/>
      <c r="AY17" s="33">
        <v>159</v>
      </c>
      <c r="AZ17" s="19">
        <v>196.1</v>
      </c>
      <c r="BA17" s="33">
        <v>208</v>
      </c>
      <c r="BB17" s="19">
        <v>198.4</v>
      </c>
    </row>
    <row r="18" spans="1:54" ht="15.75" x14ac:dyDescent="0.25">
      <c r="A18" s="22">
        <v>13</v>
      </c>
      <c r="B18" s="19"/>
      <c r="C18" s="22">
        <v>62</v>
      </c>
      <c r="D18" s="19"/>
      <c r="E18" s="22">
        <f t="shared" si="0"/>
        <v>111</v>
      </c>
      <c r="F18" s="19"/>
      <c r="G18" s="33">
        <v>160</v>
      </c>
      <c r="H18" s="19"/>
      <c r="I18" s="33">
        <v>209</v>
      </c>
      <c r="J18" s="19"/>
      <c r="L18" s="22">
        <v>13</v>
      </c>
      <c r="M18" s="19">
        <v>211.9</v>
      </c>
      <c r="N18" s="22">
        <v>62</v>
      </c>
      <c r="O18" s="19">
        <v>199.7</v>
      </c>
      <c r="P18" s="22">
        <f t="shared" si="1"/>
        <v>111</v>
      </c>
      <c r="Q18" s="19">
        <v>197.8</v>
      </c>
      <c r="R18" s="33">
        <v>160</v>
      </c>
      <c r="S18" s="19">
        <v>198.1</v>
      </c>
      <c r="T18" s="33">
        <v>209</v>
      </c>
      <c r="U18" s="19">
        <v>192.5</v>
      </c>
      <c r="W18" s="22">
        <v>13</v>
      </c>
      <c r="X18" s="19"/>
      <c r="Y18" s="22">
        <v>62</v>
      </c>
      <c r="Z18" s="19"/>
      <c r="AA18" s="22">
        <f t="shared" si="2"/>
        <v>111</v>
      </c>
      <c r="AB18" s="19"/>
      <c r="AC18" s="33">
        <v>160</v>
      </c>
      <c r="AD18" s="19"/>
      <c r="AE18" s="33">
        <v>209</v>
      </c>
      <c r="AF18" s="19"/>
      <c r="AH18" s="22">
        <v>13</v>
      </c>
      <c r="AI18" s="19">
        <v>211.9</v>
      </c>
      <c r="AJ18" s="22">
        <v>62</v>
      </c>
      <c r="AK18" s="19">
        <v>199.7</v>
      </c>
      <c r="AL18" s="22">
        <f t="shared" si="3"/>
        <v>111</v>
      </c>
      <c r="AM18" s="19">
        <v>197.8</v>
      </c>
      <c r="AN18" s="33">
        <v>160</v>
      </c>
      <c r="AO18" s="19"/>
      <c r="AP18" s="33">
        <v>209</v>
      </c>
      <c r="AQ18" s="19"/>
      <c r="AS18" s="22">
        <v>13</v>
      </c>
      <c r="AT18" s="19"/>
      <c r="AU18" s="22">
        <v>62</v>
      </c>
      <c r="AV18" s="19"/>
      <c r="AW18" s="22">
        <f t="shared" si="4"/>
        <v>111</v>
      </c>
      <c r="AX18" s="19"/>
      <c r="AY18" s="33">
        <v>160</v>
      </c>
      <c r="AZ18" s="19">
        <v>198.1</v>
      </c>
      <c r="BA18" s="33">
        <v>209</v>
      </c>
      <c r="BB18" s="19">
        <v>192.5</v>
      </c>
    </row>
    <row r="19" spans="1:54" ht="15.75" x14ac:dyDescent="0.25">
      <c r="A19" s="22">
        <v>14</v>
      </c>
      <c r="B19" s="19"/>
      <c r="C19" s="22">
        <v>63</v>
      </c>
      <c r="D19" s="19"/>
      <c r="E19" s="22">
        <f t="shared" si="0"/>
        <v>112</v>
      </c>
      <c r="F19" s="19"/>
      <c r="G19" s="33">
        <v>161</v>
      </c>
      <c r="H19" s="19"/>
      <c r="I19" s="33">
        <v>210</v>
      </c>
      <c r="J19" s="19"/>
      <c r="L19" s="22">
        <v>14</v>
      </c>
      <c r="M19" s="19">
        <v>198.3</v>
      </c>
      <c r="N19" s="22">
        <v>63</v>
      </c>
      <c r="O19" s="19">
        <v>196.9</v>
      </c>
      <c r="P19" s="22">
        <f t="shared" si="1"/>
        <v>112</v>
      </c>
      <c r="Q19" s="19">
        <v>200.3</v>
      </c>
      <c r="R19" s="33">
        <v>161</v>
      </c>
      <c r="S19" s="19">
        <v>199.7</v>
      </c>
      <c r="T19" s="33">
        <v>210</v>
      </c>
      <c r="U19" s="19">
        <v>202.9</v>
      </c>
      <c r="W19" s="22">
        <v>14</v>
      </c>
      <c r="X19" s="19"/>
      <c r="Y19" s="22">
        <v>63</v>
      </c>
      <c r="Z19" s="19"/>
      <c r="AA19" s="22">
        <f t="shared" si="2"/>
        <v>112</v>
      </c>
      <c r="AB19" s="19"/>
      <c r="AC19" s="33">
        <v>161</v>
      </c>
      <c r="AD19" s="19"/>
      <c r="AE19" s="33">
        <v>210</v>
      </c>
      <c r="AF19" s="19"/>
      <c r="AH19" s="22">
        <v>14</v>
      </c>
      <c r="AI19" s="19">
        <v>198.3</v>
      </c>
      <c r="AJ19" s="22">
        <v>63</v>
      </c>
      <c r="AK19" s="19">
        <v>196.9</v>
      </c>
      <c r="AL19" s="22">
        <f t="shared" si="3"/>
        <v>112</v>
      </c>
      <c r="AM19" s="19">
        <v>200.3</v>
      </c>
      <c r="AN19" s="33">
        <v>161</v>
      </c>
      <c r="AO19" s="19"/>
      <c r="AP19" s="33">
        <v>210</v>
      </c>
      <c r="AQ19" s="19"/>
      <c r="AS19" s="22">
        <v>14</v>
      </c>
      <c r="AT19" s="19"/>
      <c r="AU19" s="22">
        <v>63</v>
      </c>
      <c r="AV19" s="19"/>
      <c r="AW19" s="22">
        <f t="shared" si="4"/>
        <v>112</v>
      </c>
      <c r="AX19" s="19"/>
      <c r="AY19" s="33">
        <v>161</v>
      </c>
      <c r="AZ19" s="19">
        <v>199.7</v>
      </c>
      <c r="BA19" s="33">
        <v>210</v>
      </c>
      <c r="BB19" s="19">
        <v>202.9</v>
      </c>
    </row>
    <row r="20" spans="1:54" ht="15.75" x14ac:dyDescent="0.25">
      <c r="A20" s="22">
        <v>15</v>
      </c>
      <c r="B20" s="19"/>
      <c r="C20" s="22">
        <v>64</v>
      </c>
      <c r="D20" s="19"/>
      <c r="E20" s="22">
        <f t="shared" si="0"/>
        <v>113</v>
      </c>
      <c r="F20" s="19"/>
      <c r="G20" s="35">
        <v>162</v>
      </c>
      <c r="H20" s="19"/>
      <c r="I20" s="33">
        <v>211</v>
      </c>
      <c r="J20" s="19"/>
      <c r="L20" s="22">
        <v>15</v>
      </c>
      <c r="M20" s="19">
        <v>212.7</v>
      </c>
      <c r="N20" s="22">
        <v>64</v>
      </c>
      <c r="O20" s="19">
        <v>195.2</v>
      </c>
      <c r="P20" s="22">
        <f t="shared" si="1"/>
        <v>113</v>
      </c>
      <c r="Q20" s="19">
        <v>207.1</v>
      </c>
      <c r="R20" s="35">
        <v>162</v>
      </c>
      <c r="S20" s="19">
        <v>189</v>
      </c>
      <c r="T20" s="33">
        <v>211</v>
      </c>
      <c r="U20" s="19">
        <v>201.2</v>
      </c>
      <c r="W20" s="22">
        <v>15</v>
      </c>
      <c r="X20" s="19"/>
      <c r="Y20" s="22">
        <v>64</v>
      </c>
      <c r="Z20" s="19"/>
      <c r="AA20" s="22">
        <f t="shared" si="2"/>
        <v>113</v>
      </c>
      <c r="AB20" s="19"/>
      <c r="AC20" s="35">
        <v>162</v>
      </c>
      <c r="AD20" s="19"/>
      <c r="AE20" s="33">
        <v>211</v>
      </c>
      <c r="AF20" s="19"/>
      <c r="AH20" s="22">
        <v>15</v>
      </c>
      <c r="AI20" s="19">
        <v>212.7</v>
      </c>
      <c r="AJ20" s="22">
        <v>64</v>
      </c>
      <c r="AK20" s="19">
        <v>195.2</v>
      </c>
      <c r="AL20" s="22">
        <f t="shared" si="3"/>
        <v>113</v>
      </c>
      <c r="AM20" s="19">
        <v>207.1</v>
      </c>
      <c r="AN20" s="35">
        <v>162</v>
      </c>
      <c r="AO20" s="19"/>
      <c r="AP20" s="33">
        <v>211</v>
      </c>
      <c r="AQ20" s="19"/>
      <c r="AS20" s="22">
        <v>15</v>
      </c>
      <c r="AT20" s="19"/>
      <c r="AU20" s="22">
        <v>64</v>
      </c>
      <c r="AV20" s="19"/>
      <c r="AW20" s="22">
        <f t="shared" si="4"/>
        <v>113</v>
      </c>
      <c r="AX20" s="19"/>
      <c r="AY20" s="35">
        <v>162</v>
      </c>
      <c r="AZ20" s="19">
        <v>189</v>
      </c>
      <c r="BA20" s="33">
        <v>211</v>
      </c>
      <c r="BB20" s="19">
        <v>201.2</v>
      </c>
    </row>
    <row r="21" spans="1:54" ht="15.75" x14ac:dyDescent="0.25">
      <c r="A21" s="22">
        <v>16</v>
      </c>
      <c r="B21" s="19"/>
      <c r="C21" s="22">
        <v>65</v>
      </c>
      <c r="D21" s="19"/>
      <c r="E21" s="22">
        <f t="shared" si="0"/>
        <v>114</v>
      </c>
      <c r="F21" s="19"/>
      <c r="G21" s="35">
        <v>163</v>
      </c>
      <c r="H21" s="19"/>
      <c r="I21" s="33">
        <v>212</v>
      </c>
      <c r="J21" s="19"/>
      <c r="L21" s="22">
        <v>16</v>
      </c>
      <c r="M21" s="19">
        <v>197.4</v>
      </c>
      <c r="N21" s="22">
        <v>65</v>
      </c>
      <c r="O21" s="19">
        <v>197.8</v>
      </c>
      <c r="P21" s="22">
        <f t="shared" si="1"/>
        <v>114</v>
      </c>
      <c r="Q21" s="19">
        <v>204.6</v>
      </c>
      <c r="R21" s="35">
        <v>163</v>
      </c>
      <c r="S21" s="19">
        <v>200.4</v>
      </c>
      <c r="T21" s="33">
        <v>212</v>
      </c>
      <c r="U21" s="19">
        <v>200.5</v>
      </c>
      <c r="W21" s="22">
        <v>16</v>
      </c>
      <c r="X21" s="19"/>
      <c r="Y21" s="22">
        <v>65</v>
      </c>
      <c r="Z21" s="19"/>
      <c r="AA21" s="22">
        <f t="shared" si="2"/>
        <v>114</v>
      </c>
      <c r="AB21" s="19"/>
      <c r="AC21" s="35">
        <v>163</v>
      </c>
      <c r="AD21" s="19"/>
      <c r="AE21" s="33">
        <v>212</v>
      </c>
      <c r="AF21" s="19"/>
      <c r="AH21" s="22">
        <v>16</v>
      </c>
      <c r="AI21" s="19">
        <v>197.4</v>
      </c>
      <c r="AJ21" s="22">
        <v>65</v>
      </c>
      <c r="AK21" s="19">
        <v>197.8</v>
      </c>
      <c r="AL21" s="22">
        <f t="shared" si="3"/>
        <v>114</v>
      </c>
      <c r="AM21" s="19">
        <v>204.6</v>
      </c>
      <c r="AN21" s="35">
        <v>163</v>
      </c>
      <c r="AO21" s="19"/>
      <c r="AP21" s="33">
        <v>212</v>
      </c>
      <c r="AQ21" s="19"/>
      <c r="AS21" s="22">
        <v>16</v>
      </c>
      <c r="AT21" s="19"/>
      <c r="AU21" s="22">
        <v>65</v>
      </c>
      <c r="AV21" s="19"/>
      <c r="AW21" s="22">
        <f t="shared" si="4"/>
        <v>114</v>
      </c>
      <c r="AX21" s="19"/>
      <c r="AY21" s="35">
        <v>163</v>
      </c>
      <c r="AZ21" s="19">
        <v>200.4</v>
      </c>
      <c r="BA21" s="33">
        <v>212</v>
      </c>
      <c r="BB21" s="19">
        <v>200.5</v>
      </c>
    </row>
    <row r="22" spans="1:54" ht="15.75" x14ac:dyDescent="0.25">
      <c r="A22" s="22">
        <v>17</v>
      </c>
      <c r="B22" s="19"/>
      <c r="C22" s="22">
        <v>66</v>
      </c>
      <c r="D22" s="19"/>
      <c r="E22" s="22">
        <f t="shared" si="0"/>
        <v>115</v>
      </c>
      <c r="F22" s="19"/>
      <c r="G22" s="35">
        <v>164</v>
      </c>
      <c r="H22" s="19"/>
      <c r="I22" s="33">
        <v>213</v>
      </c>
      <c r="J22" s="19"/>
      <c r="L22" s="22">
        <v>17</v>
      </c>
      <c r="M22" s="19">
        <v>199</v>
      </c>
      <c r="N22" s="22">
        <v>66</v>
      </c>
      <c r="O22" s="19">
        <v>200</v>
      </c>
      <c r="P22" s="22">
        <f t="shared" si="1"/>
        <v>115</v>
      </c>
      <c r="Q22" s="19">
        <v>196.8</v>
      </c>
      <c r="R22" s="35">
        <v>164</v>
      </c>
      <c r="S22" s="19">
        <v>191.6</v>
      </c>
      <c r="T22" s="33">
        <v>213</v>
      </c>
      <c r="U22" s="19">
        <v>197.9</v>
      </c>
      <c r="W22" s="22">
        <v>17</v>
      </c>
      <c r="X22" s="19"/>
      <c r="Y22" s="22">
        <v>66</v>
      </c>
      <c r="Z22" s="19"/>
      <c r="AA22" s="22">
        <f t="shared" si="2"/>
        <v>115</v>
      </c>
      <c r="AB22" s="19"/>
      <c r="AC22" s="35">
        <v>164</v>
      </c>
      <c r="AD22" s="19"/>
      <c r="AE22" s="33">
        <v>213</v>
      </c>
      <c r="AF22" s="19"/>
      <c r="AH22" s="22">
        <v>17</v>
      </c>
      <c r="AI22" s="19">
        <v>199</v>
      </c>
      <c r="AJ22" s="22">
        <v>66</v>
      </c>
      <c r="AK22" s="19">
        <v>200</v>
      </c>
      <c r="AL22" s="22">
        <f t="shared" si="3"/>
        <v>115</v>
      </c>
      <c r="AM22" s="19">
        <v>196.8</v>
      </c>
      <c r="AN22" s="35">
        <v>164</v>
      </c>
      <c r="AO22" s="19"/>
      <c r="AP22" s="33">
        <v>213</v>
      </c>
      <c r="AQ22" s="19"/>
      <c r="AS22" s="22">
        <v>17</v>
      </c>
      <c r="AT22" s="19"/>
      <c r="AU22" s="22">
        <v>66</v>
      </c>
      <c r="AV22" s="19"/>
      <c r="AW22" s="22">
        <f t="shared" si="4"/>
        <v>115</v>
      </c>
      <c r="AX22" s="19"/>
      <c r="AY22" s="35">
        <v>164</v>
      </c>
      <c r="AZ22" s="19">
        <v>191.6</v>
      </c>
      <c r="BA22" s="33">
        <v>213</v>
      </c>
      <c r="BB22" s="19">
        <v>197.9</v>
      </c>
    </row>
    <row r="23" spans="1:54" ht="15.75" x14ac:dyDescent="0.25">
      <c r="A23" s="22">
        <v>18</v>
      </c>
      <c r="B23" s="19"/>
      <c r="C23" s="22">
        <v>67</v>
      </c>
      <c r="D23" s="19"/>
      <c r="E23" s="22">
        <f t="shared" si="0"/>
        <v>116</v>
      </c>
      <c r="F23" s="19"/>
      <c r="G23" s="35">
        <v>165</v>
      </c>
      <c r="H23" s="19"/>
      <c r="I23" s="33">
        <v>214</v>
      </c>
      <c r="J23" s="19"/>
      <c r="L23" s="22">
        <v>18</v>
      </c>
      <c r="M23" s="19">
        <v>201.5</v>
      </c>
      <c r="N23" s="22">
        <v>67</v>
      </c>
      <c r="O23" s="19">
        <v>199.9</v>
      </c>
      <c r="P23" s="22">
        <f t="shared" si="1"/>
        <v>116</v>
      </c>
      <c r="Q23" s="19">
        <v>197.3</v>
      </c>
      <c r="R23" s="35">
        <v>165</v>
      </c>
      <c r="S23" s="19">
        <v>195.1</v>
      </c>
      <c r="T23" s="33">
        <v>214</v>
      </c>
      <c r="U23" s="19">
        <v>199.4</v>
      </c>
      <c r="W23" s="22">
        <v>18</v>
      </c>
      <c r="X23" s="19"/>
      <c r="Y23" s="22">
        <v>67</v>
      </c>
      <c r="Z23" s="19"/>
      <c r="AA23" s="22">
        <f t="shared" si="2"/>
        <v>116</v>
      </c>
      <c r="AB23" s="19"/>
      <c r="AC23" s="35">
        <v>165</v>
      </c>
      <c r="AD23" s="19"/>
      <c r="AE23" s="33">
        <v>214</v>
      </c>
      <c r="AF23" s="19"/>
      <c r="AH23" s="22">
        <v>18</v>
      </c>
      <c r="AI23" s="19">
        <v>201.5</v>
      </c>
      <c r="AJ23" s="22">
        <v>67</v>
      </c>
      <c r="AK23" s="19">
        <v>199.9</v>
      </c>
      <c r="AL23" s="22">
        <f t="shared" si="3"/>
        <v>116</v>
      </c>
      <c r="AM23" s="19">
        <v>197.3</v>
      </c>
      <c r="AN23" s="35">
        <v>165</v>
      </c>
      <c r="AO23" s="19"/>
      <c r="AP23" s="33">
        <v>214</v>
      </c>
      <c r="AQ23" s="19"/>
      <c r="AS23" s="22">
        <v>18</v>
      </c>
      <c r="AT23" s="19"/>
      <c r="AU23" s="22">
        <v>67</v>
      </c>
      <c r="AV23" s="19"/>
      <c r="AW23" s="22">
        <f t="shared" si="4"/>
        <v>116</v>
      </c>
      <c r="AX23" s="19"/>
      <c r="AY23" s="35">
        <v>165</v>
      </c>
      <c r="AZ23" s="19">
        <v>195.1</v>
      </c>
      <c r="BA23" s="33">
        <v>214</v>
      </c>
      <c r="BB23" s="19">
        <v>199.4</v>
      </c>
    </row>
    <row r="24" spans="1:54" ht="15.75" x14ac:dyDescent="0.25">
      <c r="A24" s="22">
        <v>19</v>
      </c>
      <c r="B24" s="19"/>
      <c r="C24" s="22">
        <v>68</v>
      </c>
      <c r="D24" s="19"/>
      <c r="E24" s="22">
        <f t="shared" si="0"/>
        <v>117</v>
      </c>
      <c r="F24" s="19"/>
      <c r="G24" s="35">
        <v>166</v>
      </c>
      <c r="H24" s="19"/>
      <c r="I24" s="33">
        <v>215</v>
      </c>
      <c r="J24" s="19"/>
      <c r="L24" s="22">
        <v>19</v>
      </c>
      <c r="M24" s="19">
        <v>207.3</v>
      </c>
      <c r="N24" s="22">
        <v>68</v>
      </c>
      <c r="O24" s="19">
        <v>199.4</v>
      </c>
      <c r="P24" s="22">
        <f t="shared" si="1"/>
        <v>117</v>
      </c>
      <c r="Q24" s="19">
        <v>195.8</v>
      </c>
      <c r="R24" s="35">
        <v>166</v>
      </c>
      <c r="S24" s="19">
        <v>199.2</v>
      </c>
      <c r="T24" s="33">
        <v>215</v>
      </c>
      <c r="U24" s="19">
        <v>201.4</v>
      </c>
      <c r="W24" s="22">
        <v>19</v>
      </c>
      <c r="X24" s="19"/>
      <c r="Y24" s="22">
        <v>68</v>
      </c>
      <c r="Z24" s="19"/>
      <c r="AA24" s="22">
        <f t="shared" si="2"/>
        <v>117</v>
      </c>
      <c r="AB24" s="19"/>
      <c r="AC24" s="35">
        <v>166</v>
      </c>
      <c r="AD24" s="19"/>
      <c r="AE24" s="33">
        <v>215</v>
      </c>
      <c r="AF24" s="19"/>
      <c r="AH24" s="22">
        <v>19</v>
      </c>
      <c r="AI24" s="19">
        <v>207.3</v>
      </c>
      <c r="AJ24" s="22">
        <v>68</v>
      </c>
      <c r="AK24" s="19">
        <v>199.4</v>
      </c>
      <c r="AL24" s="22">
        <f t="shared" si="3"/>
        <v>117</v>
      </c>
      <c r="AM24" s="19">
        <v>195.8</v>
      </c>
      <c r="AN24" s="35">
        <v>166</v>
      </c>
      <c r="AO24" s="19"/>
      <c r="AP24" s="33">
        <v>215</v>
      </c>
      <c r="AQ24" s="19"/>
      <c r="AS24" s="22">
        <v>19</v>
      </c>
      <c r="AT24" s="19"/>
      <c r="AU24" s="22">
        <v>68</v>
      </c>
      <c r="AV24" s="19"/>
      <c r="AW24" s="22">
        <f t="shared" si="4"/>
        <v>117</v>
      </c>
      <c r="AX24" s="19"/>
      <c r="AY24" s="35">
        <v>166</v>
      </c>
      <c r="AZ24" s="19">
        <v>199.2</v>
      </c>
      <c r="BA24" s="33">
        <v>215</v>
      </c>
      <c r="BB24" s="19">
        <v>201.4</v>
      </c>
    </row>
    <row r="25" spans="1:54" ht="15.75" x14ac:dyDescent="0.25">
      <c r="A25" s="22">
        <v>20</v>
      </c>
      <c r="B25" s="19"/>
      <c r="C25" s="22">
        <v>69</v>
      </c>
      <c r="D25" s="19"/>
      <c r="E25" s="22">
        <f t="shared" si="0"/>
        <v>118</v>
      </c>
      <c r="F25" s="19"/>
      <c r="G25" s="35">
        <v>167</v>
      </c>
      <c r="H25" s="19"/>
      <c r="I25" s="33">
        <v>216</v>
      </c>
      <c r="J25" s="19"/>
      <c r="L25" s="22">
        <v>20</v>
      </c>
      <c r="M25" s="19">
        <v>202.8</v>
      </c>
      <c r="N25" s="22">
        <v>69</v>
      </c>
      <c r="O25" s="19">
        <v>196</v>
      </c>
      <c r="P25" s="22">
        <f t="shared" si="1"/>
        <v>118</v>
      </c>
      <c r="Q25" s="19">
        <v>199.9</v>
      </c>
      <c r="R25" s="35">
        <v>167</v>
      </c>
      <c r="S25" s="19">
        <v>192.1</v>
      </c>
      <c r="T25" s="33">
        <v>216</v>
      </c>
      <c r="U25" s="19">
        <v>195.5</v>
      </c>
      <c r="W25" s="22">
        <v>20</v>
      </c>
      <c r="X25" s="19"/>
      <c r="Y25" s="22">
        <v>69</v>
      </c>
      <c r="Z25" s="19"/>
      <c r="AA25" s="22">
        <f t="shared" si="2"/>
        <v>118</v>
      </c>
      <c r="AB25" s="19"/>
      <c r="AC25" s="35">
        <v>167</v>
      </c>
      <c r="AD25" s="19"/>
      <c r="AE25" s="33">
        <v>216</v>
      </c>
      <c r="AF25" s="19"/>
      <c r="AH25" s="22">
        <v>20</v>
      </c>
      <c r="AI25" s="19">
        <v>202.8</v>
      </c>
      <c r="AJ25" s="22">
        <v>69</v>
      </c>
      <c r="AK25" s="19">
        <v>196</v>
      </c>
      <c r="AL25" s="22">
        <f t="shared" si="3"/>
        <v>118</v>
      </c>
      <c r="AM25" s="19">
        <v>199.9</v>
      </c>
      <c r="AN25" s="35">
        <v>167</v>
      </c>
      <c r="AO25" s="19"/>
      <c r="AP25" s="33">
        <v>216</v>
      </c>
      <c r="AQ25" s="19"/>
      <c r="AS25" s="22">
        <v>20</v>
      </c>
      <c r="AT25" s="19"/>
      <c r="AU25" s="22">
        <v>69</v>
      </c>
      <c r="AV25" s="19"/>
      <c r="AW25" s="22">
        <f t="shared" si="4"/>
        <v>118</v>
      </c>
      <c r="AX25" s="19"/>
      <c r="AY25" s="35">
        <v>167</v>
      </c>
      <c r="AZ25" s="19">
        <v>192.1</v>
      </c>
      <c r="BA25" s="33">
        <v>216</v>
      </c>
      <c r="BB25" s="19">
        <v>195.5</v>
      </c>
    </row>
    <row r="26" spans="1:54" ht="15.75" x14ac:dyDescent="0.25">
      <c r="A26" s="22">
        <v>21</v>
      </c>
      <c r="B26" s="19"/>
      <c r="C26" s="22">
        <v>70</v>
      </c>
      <c r="D26" s="19"/>
      <c r="E26" s="22">
        <f t="shared" si="0"/>
        <v>119</v>
      </c>
      <c r="F26" s="19"/>
      <c r="G26" s="35">
        <v>168</v>
      </c>
      <c r="H26" s="19"/>
      <c r="I26" s="33">
        <v>217</v>
      </c>
      <c r="J26" s="19"/>
      <c r="L26" s="22">
        <v>21</v>
      </c>
      <c r="M26" s="19">
        <v>203.2</v>
      </c>
      <c r="N26" s="22">
        <v>70</v>
      </c>
      <c r="O26" s="19">
        <v>198.4</v>
      </c>
      <c r="P26" s="22">
        <f t="shared" si="1"/>
        <v>119</v>
      </c>
      <c r="Q26" s="19">
        <v>210.3</v>
      </c>
      <c r="R26" s="35">
        <v>168</v>
      </c>
      <c r="S26" s="19">
        <v>199.8</v>
      </c>
      <c r="T26" s="33">
        <v>217</v>
      </c>
      <c r="U26" s="19">
        <v>214</v>
      </c>
      <c r="W26" s="22">
        <v>21</v>
      </c>
      <c r="X26" s="19"/>
      <c r="Y26" s="22">
        <v>70</v>
      </c>
      <c r="Z26" s="19"/>
      <c r="AA26" s="22">
        <f t="shared" si="2"/>
        <v>119</v>
      </c>
      <c r="AB26" s="19"/>
      <c r="AC26" s="35">
        <v>168</v>
      </c>
      <c r="AD26" s="19"/>
      <c r="AE26" s="33">
        <v>217</v>
      </c>
      <c r="AF26" s="19"/>
      <c r="AH26" s="22">
        <v>21</v>
      </c>
      <c r="AI26" s="19">
        <v>203.2</v>
      </c>
      <c r="AJ26" s="22">
        <v>70</v>
      </c>
      <c r="AK26" s="19">
        <v>198.4</v>
      </c>
      <c r="AL26" s="22">
        <f t="shared" si="3"/>
        <v>119</v>
      </c>
      <c r="AM26" s="19">
        <v>210.3</v>
      </c>
      <c r="AN26" s="35">
        <v>168</v>
      </c>
      <c r="AO26" s="19"/>
      <c r="AP26" s="33">
        <v>217</v>
      </c>
      <c r="AQ26" s="19"/>
      <c r="AS26" s="22">
        <v>21</v>
      </c>
      <c r="AT26" s="19"/>
      <c r="AU26" s="22">
        <v>70</v>
      </c>
      <c r="AV26" s="19"/>
      <c r="AW26" s="22">
        <f t="shared" si="4"/>
        <v>119</v>
      </c>
      <c r="AX26" s="19"/>
      <c r="AY26" s="35">
        <v>168</v>
      </c>
      <c r="AZ26" s="19">
        <v>199.8</v>
      </c>
      <c r="BA26" s="33">
        <v>217</v>
      </c>
      <c r="BB26" s="19">
        <v>214</v>
      </c>
    </row>
    <row r="27" spans="1:54" ht="15.75" x14ac:dyDescent="0.25">
      <c r="A27" s="22">
        <v>22</v>
      </c>
      <c r="B27" s="19"/>
      <c r="C27" s="22">
        <v>71</v>
      </c>
      <c r="D27" s="19"/>
      <c r="E27" s="22">
        <f t="shared" si="0"/>
        <v>120</v>
      </c>
      <c r="F27" s="19"/>
      <c r="G27" s="35">
        <v>169</v>
      </c>
      <c r="H27" s="19"/>
      <c r="I27" s="33">
        <v>218</v>
      </c>
      <c r="J27" s="19"/>
      <c r="L27" s="22">
        <v>22</v>
      </c>
      <c r="M27" s="19">
        <v>200.6</v>
      </c>
      <c r="N27" s="22">
        <v>71</v>
      </c>
      <c r="O27" s="19">
        <v>203.5</v>
      </c>
      <c r="P27" s="22">
        <f t="shared" si="1"/>
        <v>120</v>
      </c>
      <c r="Q27" s="19">
        <v>198.8</v>
      </c>
      <c r="R27" s="35">
        <v>169</v>
      </c>
      <c r="S27" s="19">
        <v>198.1</v>
      </c>
      <c r="T27" s="33">
        <v>218</v>
      </c>
      <c r="U27" s="19">
        <v>198.4</v>
      </c>
      <c r="W27" s="22">
        <v>22</v>
      </c>
      <c r="X27" s="19"/>
      <c r="Y27" s="22">
        <v>71</v>
      </c>
      <c r="Z27" s="19"/>
      <c r="AA27" s="22">
        <f t="shared" si="2"/>
        <v>120</v>
      </c>
      <c r="AB27" s="19"/>
      <c r="AC27" s="35">
        <v>169</v>
      </c>
      <c r="AD27" s="19"/>
      <c r="AE27" s="33">
        <v>218</v>
      </c>
      <c r="AF27" s="19"/>
      <c r="AH27" s="22">
        <v>22</v>
      </c>
      <c r="AI27" s="19">
        <v>200.6</v>
      </c>
      <c r="AJ27" s="22">
        <v>71</v>
      </c>
      <c r="AK27" s="19">
        <v>203.5</v>
      </c>
      <c r="AL27" s="22">
        <f t="shared" si="3"/>
        <v>120</v>
      </c>
      <c r="AM27" s="19">
        <v>198.8</v>
      </c>
      <c r="AN27" s="35">
        <v>169</v>
      </c>
      <c r="AO27" s="19"/>
      <c r="AP27" s="33">
        <v>218</v>
      </c>
      <c r="AQ27" s="19"/>
      <c r="AS27" s="22">
        <v>22</v>
      </c>
      <c r="AT27" s="19"/>
      <c r="AU27" s="22">
        <v>71</v>
      </c>
      <c r="AV27" s="19"/>
      <c r="AW27" s="22">
        <f t="shared" si="4"/>
        <v>120</v>
      </c>
      <c r="AX27" s="19"/>
      <c r="AY27" s="35">
        <v>169</v>
      </c>
      <c r="AZ27" s="19">
        <v>198.1</v>
      </c>
      <c r="BA27" s="33">
        <v>218</v>
      </c>
      <c r="BB27" s="19">
        <v>198.4</v>
      </c>
    </row>
    <row r="28" spans="1:54" ht="15.75" x14ac:dyDescent="0.25">
      <c r="A28" s="22">
        <v>23</v>
      </c>
      <c r="B28" s="19"/>
      <c r="C28" s="22">
        <v>72</v>
      </c>
      <c r="D28" s="19"/>
      <c r="E28" s="22">
        <f t="shared" si="0"/>
        <v>121</v>
      </c>
      <c r="F28" s="19"/>
      <c r="G28" s="35">
        <v>170</v>
      </c>
      <c r="H28" s="19"/>
      <c r="I28" s="33">
        <v>219</v>
      </c>
      <c r="J28" s="19"/>
      <c r="L28" s="22">
        <v>23</v>
      </c>
      <c r="M28" s="19">
        <v>205.1</v>
      </c>
      <c r="N28" s="22">
        <v>72</v>
      </c>
      <c r="O28" s="19">
        <v>195</v>
      </c>
      <c r="P28" s="22">
        <f t="shared" si="1"/>
        <v>121</v>
      </c>
      <c r="Q28" s="19">
        <v>205.8</v>
      </c>
      <c r="R28" s="35">
        <v>170</v>
      </c>
      <c r="S28" s="19">
        <v>197.7</v>
      </c>
      <c r="T28" s="33">
        <v>219</v>
      </c>
      <c r="U28" s="19">
        <v>200.5</v>
      </c>
      <c r="W28" s="22">
        <v>23</v>
      </c>
      <c r="X28" s="19"/>
      <c r="Y28" s="22">
        <v>72</v>
      </c>
      <c r="Z28" s="19"/>
      <c r="AA28" s="22">
        <f t="shared" si="2"/>
        <v>121</v>
      </c>
      <c r="AB28" s="19"/>
      <c r="AC28" s="35">
        <v>170</v>
      </c>
      <c r="AD28" s="19"/>
      <c r="AE28" s="33">
        <v>219</v>
      </c>
      <c r="AF28" s="19"/>
      <c r="AH28" s="22">
        <v>23</v>
      </c>
      <c r="AI28" s="19">
        <v>205.1</v>
      </c>
      <c r="AJ28" s="22">
        <v>72</v>
      </c>
      <c r="AK28" s="19">
        <v>195</v>
      </c>
      <c r="AL28" s="22">
        <f t="shared" si="3"/>
        <v>121</v>
      </c>
      <c r="AM28" s="19">
        <v>205.8</v>
      </c>
      <c r="AN28" s="35">
        <v>170</v>
      </c>
      <c r="AO28" s="19"/>
      <c r="AP28" s="33">
        <v>219</v>
      </c>
      <c r="AQ28" s="19"/>
      <c r="AS28" s="22">
        <v>23</v>
      </c>
      <c r="AT28" s="19"/>
      <c r="AU28" s="22">
        <v>72</v>
      </c>
      <c r="AV28" s="19"/>
      <c r="AW28" s="22">
        <f t="shared" si="4"/>
        <v>121</v>
      </c>
      <c r="AX28" s="19"/>
      <c r="AY28" s="35">
        <v>170</v>
      </c>
      <c r="AZ28" s="19">
        <v>197.7</v>
      </c>
      <c r="BA28" s="33">
        <v>219</v>
      </c>
      <c r="BB28" s="19">
        <v>200.5</v>
      </c>
    </row>
    <row r="29" spans="1:54" ht="15.75" x14ac:dyDescent="0.25">
      <c r="A29" s="22">
        <v>24</v>
      </c>
      <c r="B29" s="19"/>
      <c r="C29" s="22">
        <v>73</v>
      </c>
      <c r="D29" s="19"/>
      <c r="E29" s="22">
        <f t="shared" si="0"/>
        <v>122</v>
      </c>
      <c r="F29" s="19"/>
      <c r="G29" s="35">
        <v>171</v>
      </c>
      <c r="H29" s="19"/>
      <c r="I29" s="33">
        <v>220</v>
      </c>
      <c r="J29" s="19"/>
      <c r="L29" s="22">
        <v>24</v>
      </c>
      <c r="M29" s="19">
        <v>205.2</v>
      </c>
      <c r="N29" s="22">
        <v>73</v>
      </c>
      <c r="O29" s="19">
        <v>204.4</v>
      </c>
      <c r="P29" s="22">
        <f t="shared" si="1"/>
        <v>122</v>
      </c>
      <c r="Q29" s="19">
        <v>197.1</v>
      </c>
      <c r="R29" s="35">
        <v>171</v>
      </c>
      <c r="S29" s="19">
        <v>200.9</v>
      </c>
      <c r="T29" s="33">
        <v>220</v>
      </c>
      <c r="U29" s="19">
        <v>200.6</v>
      </c>
      <c r="W29" s="22">
        <v>24</v>
      </c>
      <c r="X29" s="19"/>
      <c r="Y29" s="22">
        <v>73</v>
      </c>
      <c r="Z29" s="19"/>
      <c r="AA29" s="22">
        <f t="shared" si="2"/>
        <v>122</v>
      </c>
      <c r="AB29" s="19"/>
      <c r="AC29" s="35">
        <v>171</v>
      </c>
      <c r="AD29" s="19"/>
      <c r="AE29" s="33">
        <v>220</v>
      </c>
      <c r="AF29" s="19"/>
      <c r="AH29" s="22">
        <v>24</v>
      </c>
      <c r="AI29" s="19">
        <v>205.2</v>
      </c>
      <c r="AJ29" s="22">
        <v>73</v>
      </c>
      <c r="AK29" s="19">
        <v>204.4</v>
      </c>
      <c r="AL29" s="22">
        <f t="shared" si="3"/>
        <v>122</v>
      </c>
      <c r="AM29" s="19">
        <v>197.1</v>
      </c>
      <c r="AN29" s="35">
        <v>171</v>
      </c>
      <c r="AO29" s="19"/>
      <c r="AP29" s="33">
        <v>220</v>
      </c>
      <c r="AQ29" s="19"/>
      <c r="AS29" s="22">
        <v>24</v>
      </c>
      <c r="AT29" s="19"/>
      <c r="AU29" s="22">
        <v>73</v>
      </c>
      <c r="AV29" s="19"/>
      <c r="AW29" s="22">
        <f t="shared" si="4"/>
        <v>122</v>
      </c>
      <c r="AX29" s="19"/>
      <c r="AY29" s="35">
        <v>171</v>
      </c>
      <c r="AZ29" s="19">
        <v>200.9</v>
      </c>
      <c r="BA29" s="33">
        <v>220</v>
      </c>
      <c r="BB29" s="19">
        <v>200.6</v>
      </c>
    </row>
    <row r="30" spans="1:54" ht="15.75" x14ac:dyDescent="0.25">
      <c r="A30" s="22">
        <v>25</v>
      </c>
      <c r="B30" s="19"/>
      <c r="C30" s="22">
        <v>74</v>
      </c>
      <c r="D30" s="19"/>
      <c r="E30" s="22">
        <f t="shared" si="0"/>
        <v>123</v>
      </c>
      <c r="F30" s="19"/>
      <c r="G30" s="35">
        <v>172</v>
      </c>
      <c r="H30" s="19"/>
      <c r="I30" s="20"/>
      <c r="J30" s="36"/>
      <c r="L30" s="22">
        <v>25</v>
      </c>
      <c r="M30" s="19">
        <v>205.1</v>
      </c>
      <c r="N30" s="22">
        <v>74</v>
      </c>
      <c r="O30" s="19">
        <v>201</v>
      </c>
      <c r="P30" s="22">
        <f t="shared" si="1"/>
        <v>123</v>
      </c>
      <c r="Q30" s="19">
        <v>209.3</v>
      </c>
      <c r="R30" s="35">
        <v>172</v>
      </c>
      <c r="S30" s="19">
        <v>197.8</v>
      </c>
      <c r="T30" s="20"/>
      <c r="U30" s="36"/>
      <c r="W30" s="22">
        <v>25</v>
      </c>
      <c r="X30" s="19"/>
      <c r="Y30" s="22">
        <v>74</v>
      </c>
      <c r="Z30" s="19"/>
      <c r="AA30" s="22">
        <f t="shared" si="2"/>
        <v>123</v>
      </c>
      <c r="AB30" s="19"/>
      <c r="AC30" s="35">
        <v>172</v>
      </c>
      <c r="AD30" s="19"/>
      <c r="AE30" s="20"/>
      <c r="AF30" s="36"/>
      <c r="AH30" s="22">
        <v>25</v>
      </c>
      <c r="AI30" s="19">
        <v>205.1</v>
      </c>
      <c r="AJ30" s="22">
        <v>74</v>
      </c>
      <c r="AK30" s="19">
        <v>201</v>
      </c>
      <c r="AL30" s="22">
        <f t="shared" si="3"/>
        <v>123</v>
      </c>
      <c r="AM30" s="19">
        <v>209.3</v>
      </c>
      <c r="AN30" s="35">
        <v>172</v>
      </c>
      <c r="AO30" s="19"/>
      <c r="AP30" s="20"/>
      <c r="AQ30" s="36"/>
      <c r="AS30" s="22">
        <v>25</v>
      </c>
      <c r="AT30" s="19"/>
      <c r="AU30" s="22">
        <v>74</v>
      </c>
      <c r="AV30" s="19"/>
      <c r="AW30" s="22">
        <f t="shared" si="4"/>
        <v>123</v>
      </c>
      <c r="AX30" s="19"/>
      <c r="AY30" s="35">
        <v>172</v>
      </c>
      <c r="AZ30" s="19">
        <v>197.8</v>
      </c>
      <c r="BA30" s="20"/>
      <c r="BB30" s="36"/>
    </row>
    <row r="31" spans="1:54" ht="15.75" x14ac:dyDescent="0.25">
      <c r="A31" s="22">
        <v>26</v>
      </c>
      <c r="B31" s="19"/>
      <c r="C31" s="22">
        <v>75</v>
      </c>
      <c r="D31" s="19"/>
      <c r="E31" s="22">
        <f t="shared" si="0"/>
        <v>124</v>
      </c>
      <c r="F31" s="19"/>
      <c r="G31" s="35">
        <v>173</v>
      </c>
      <c r="H31" s="19"/>
      <c r="I31" s="20"/>
      <c r="J31" s="36"/>
      <c r="L31" s="22">
        <v>26</v>
      </c>
      <c r="M31" s="19">
        <v>204.8</v>
      </c>
      <c r="N31" s="22">
        <v>75</v>
      </c>
      <c r="O31" s="19">
        <v>197.1</v>
      </c>
      <c r="P31" s="22">
        <f t="shared" si="1"/>
        <v>124</v>
      </c>
      <c r="Q31" s="19">
        <v>202.7</v>
      </c>
      <c r="R31" s="35">
        <v>173</v>
      </c>
      <c r="S31" s="19">
        <v>200.1</v>
      </c>
      <c r="T31" s="20"/>
      <c r="U31" s="36"/>
      <c r="W31" s="22">
        <v>26</v>
      </c>
      <c r="X31" s="19"/>
      <c r="Y31" s="22">
        <v>75</v>
      </c>
      <c r="Z31" s="19"/>
      <c r="AA31" s="22">
        <f t="shared" si="2"/>
        <v>124</v>
      </c>
      <c r="AB31" s="19"/>
      <c r="AC31" s="35">
        <v>173</v>
      </c>
      <c r="AD31" s="19"/>
      <c r="AE31" s="20"/>
      <c r="AF31" s="36"/>
      <c r="AH31" s="22">
        <v>26</v>
      </c>
      <c r="AI31" s="19">
        <v>204.8</v>
      </c>
      <c r="AJ31" s="22">
        <v>75</v>
      </c>
      <c r="AK31" s="19">
        <v>197.1</v>
      </c>
      <c r="AL31" s="22">
        <f t="shared" si="3"/>
        <v>124</v>
      </c>
      <c r="AM31" s="19">
        <v>202.7</v>
      </c>
      <c r="AN31" s="35">
        <v>173</v>
      </c>
      <c r="AO31" s="19"/>
      <c r="AP31" s="20"/>
      <c r="AQ31" s="36"/>
      <c r="AS31" s="22">
        <v>26</v>
      </c>
      <c r="AT31" s="19"/>
      <c r="AU31" s="22">
        <v>75</v>
      </c>
      <c r="AV31" s="19"/>
      <c r="AW31" s="22">
        <f t="shared" si="4"/>
        <v>124</v>
      </c>
      <c r="AX31" s="19"/>
      <c r="AY31" s="35">
        <v>173</v>
      </c>
      <c r="AZ31" s="19">
        <v>200.1</v>
      </c>
      <c r="BA31" s="20"/>
      <c r="BB31" s="36"/>
    </row>
    <row r="32" spans="1:54" ht="15.75" x14ac:dyDescent="0.25">
      <c r="A32" s="22">
        <v>27</v>
      </c>
      <c r="B32" s="19"/>
      <c r="C32" s="22">
        <v>76</v>
      </c>
      <c r="D32" s="19"/>
      <c r="E32" s="22">
        <f t="shared" si="0"/>
        <v>125</v>
      </c>
      <c r="F32" s="19"/>
      <c r="G32" s="33">
        <v>174</v>
      </c>
      <c r="H32" s="19"/>
      <c r="I32" s="21"/>
      <c r="J32" s="36"/>
      <c r="L32" s="22">
        <v>27</v>
      </c>
      <c r="M32" s="19">
        <v>201.7</v>
      </c>
      <c r="N32" s="22">
        <v>76</v>
      </c>
      <c r="O32" s="19">
        <v>202.6</v>
      </c>
      <c r="P32" s="22">
        <f t="shared" si="1"/>
        <v>125</v>
      </c>
      <c r="Q32" s="19">
        <v>199.2</v>
      </c>
      <c r="R32" s="33">
        <v>174</v>
      </c>
      <c r="S32" s="19">
        <v>204.3</v>
      </c>
      <c r="T32" s="21"/>
      <c r="U32" s="36"/>
      <c r="W32" s="22">
        <v>27</v>
      </c>
      <c r="X32" s="19"/>
      <c r="Y32" s="22">
        <v>76</v>
      </c>
      <c r="Z32" s="19"/>
      <c r="AA32" s="22">
        <f t="shared" si="2"/>
        <v>125</v>
      </c>
      <c r="AB32" s="19"/>
      <c r="AC32" s="33">
        <v>174</v>
      </c>
      <c r="AD32" s="19"/>
      <c r="AE32" s="21"/>
      <c r="AF32" s="36"/>
      <c r="AH32" s="22">
        <v>27</v>
      </c>
      <c r="AI32" s="19">
        <v>201.7</v>
      </c>
      <c r="AJ32" s="22">
        <v>76</v>
      </c>
      <c r="AK32" s="19">
        <v>202.6</v>
      </c>
      <c r="AL32" s="22">
        <f t="shared" si="3"/>
        <v>125</v>
      </c>
      <c r="AM32" s="19">
        <v>199.2</v>
      </c>
      <c r="AN32" s="33">
        <v>174</v>
      </c>
      <c r="AO32" s="19"/>
      <c r="AP32" s="21"/>
      <c r="AQ32" s="36"/>
      <c r="AS32" s="22">
        <v>27</v>
      </c>
      <c r="AT32" s="19"/>
      <c r="AU32" s="22">
        <v>76</v>
      </c>
      <c r="AV32" s="19"/>
      <c r="AW32" s="22">
        <f t="shared" si="4"/>
        <v>125</v>
      </c>
      <c r="AX32" s="19"/>
      <c r="AY32" s="33">
        <v>174</v>
      </c>
      <c r="AZ32" s="19">
        <v>204.3</v>
      </c>
      <c r="BA32" s="21"/>
      <c r="BB32" s="36"/>
    </row>
    <row r="33" spans="1:54" ht="15.75" x14ac:dyDescent="0.25">
      <c r="A33" s="22">
        <v>28</v>
      </c>
      <c r="B33" s="19"/>
      <c r="C33" s="22">
        <v>77</v>
      </c>
      <c r="D33" s="19"/>
      <c r="E33" s="22">
        <f t="shared" si="0"/>
        <v>126</v>
      </c>
      <c r="F33" s="19"/>
      <c r="G33" s="33">
        <v>175</v>
      </c>
      <c r="H33" s="19"/>
      <c r="I33" s="20"/>
      <c r="J33" s="36"/>
      <c r="L33" s="22">
        <v>28</v>
      </c>
      <c r="M33" s="19">
        <v>199.7</v>
      </c>
      <c r="N33" s="22">
        <v>77</v>
      </c>
      <c r="O33" s="19">
        <v>203.7</v>
      </c>
      <c r="P33" s="22">
        <f t="shared" si="1"/>
        <v>126</v>
      </c>
      <c r="Q33" s="19">
        <v>196.9</v>
      </c>
      <c r="R33" s="33">
        <v>175</v>
      </c>
      <c r="S33" s="19">
        <v>204.8</v>
      </c>
      <c r="T33" s="20"/>
      <c r="U33" s="36"/>
      <c r="W33" s="22">
        <v>28</v>
      </c>
      <c r="X33" s="19"/>
      <c r="Y33" s="22">
        <v>77</v>
      </c>
      <c r="Z33" s="19"/>
      <c r="AA33" s="22">
        <f t="shared" si="2"/>
        <v>126</v>
      </c>
      <c r="AB33" s="19"/>
      <c r="AC33" s="33">
        <v>175</v>
      </c>
      <c r="AD33" s="19"/>
      <c r="AE33" s="20"/>
      <c r="AF33" s="36"/>
      <c r="AH33" s="22">
        <v>28</v>
      </c>
      <c r="AI33" s="19">
        <v>199.7</v>
      </c>
      <c r="AJ33" s="22">
        <v>77</v>
      </c>
      <c r="AK33" s="19">
        <v>203.7</v>
      </c>
      <c r="AL33" s="22">
        <f t="shared" si="3"/>
        <v>126</v>
      </c>
      <c r="AM33" s="19">
        <v>196.9</v>
      </c>
      <c r="AN33" s="33">
        <v>175</v>
      </c>
      <c r="AO33" s="19"/>
      <c r="AP33" s="20"/>
      <c r="AQ33" s="36"/>
      <c r="AS33" s="22">
        <v>28</v>
      </c>
      <c r="AT33" s="19"/>
      <c r="AU33" s="22">
        <v>77</v>
      </c>
      <c r="AV33" s="19"/>
      <c r="AW33" s="22">
        <f t="shared" si="4"/>
        <v>126</v>
      </c>
      <c r="AX33" s="19"/>
      <c r="AY33" s="33">
        <v>175</v>
      </c>
      <c r="AZ33" s="19">
        <v>204.8</v>
      </c>
      <c r="BA33" s="20"/>
      <c r="BB33" s="36"/>
    </row>
    <row r="34" spans="1:54" ht="15.75" x14ac:dyDescent="0.25">
      <c r="A34" s="22">
        <v>29</v>
      </c>
      <c r="B34" s="19"/>
      <c r="C34" s="22">
        <v>78</v>
      </c>
      <c r="D34" s="19"/>
      <c r="E34" s="22">
        <f t="shared" si="0"/>
        <v>127</v>
      </c>
      <c r="F34" s="19"/>
      <c r="G34" s="33">
        <v>176</v>
      </c>
      <c r="H34" s="19"/>
      <c r="I34" s="20"/>
      <c r="J34" s="36"/>
      <c r="L34" s="22">
        <v>29</v>
      </c>
      <c r="M34" s="19">
        <v>226.9</v>
      </c>
      <c r="N34" s="22">
        <v>78</v>
      </c>
      <c r="O34" s="19">
        <v>209.8</v>
      </c>
      <c r="P34" s="22">
        <f t="shared" si="1"/>
        <v>127</v>
      </c>
      <c r="Q34" s="19">
        <v>202.2</v>
      </c>
      <c r="R34" s="33">
        <v>176</v>
      </c>
      <c r="S34" s="19">
        <v>199.5</v>
      </c>
      <c r="T34" s="20"/>
      <c r="U34" s="36"/>
      <c r="W34" s="22">
        <v>29</v>
      </c>
      <c r="X34" s="19"/>
      <c r="Y34" s="22">
        <v>78</v>
      </c>
      <c r="Z34" s="19"/>
      <c r="AA34" s="22">
        <f t="shared" si="2"/>
        <v>127</v>
      </c>
      <c r="AB34" s="19"/>
      <c r="AC34" s="33">
        <v>176</v>
      </c>
      <c r="AD34" s="19"/>
      <c r="AE34" s="20"/>
      <c r="AF34" s="36"/>
      <c r="AH34" s="22">
        <v>29</v>
      </c>
      <c r="AI34" s="19">
        <v>226.9</v>
      </c>
      <c r="AJ34" s="22">
        <v>78</v>
      </c>
      <c r="AK34" s="19">
        <v>209.8</v>
      </c>
      <c r="AL34" s="22">
        <f t="shared" si="3"/>
        <v>127</v>
      </c>
      <c r="AM34" s="19">
        <v>202.2</v>
      </c>
      <c r="AN34" s="33">
        <v>176</v>
      </c>
      <c r="AO34" s="19"/>
      <c r="AP34" s="20"/>
      <c r="AQ34" s="36"/>
      <c r="AS34" s="22">
        <v>29</v>
      </c>
      <c r="AT34" s="19"/>
      <c r="AU34" s="22">
        <v>78</v>
      </c>
      <c r="AV34" s="19"/>
      <c r="AW34" s="22">
        <f t="shared" si="4"/>
        <v>127</v>
      </c>
      <c r="AX34" s="19"/>
      <c r="AY34" s="33">
        <v>176</v>
      </c>
      <c r="AZ34" s="19">
        <v>199.5</v>
      </c>
      <c r="BA34" s="20"/>
      <c r="BB34" s="36"/>
    </row>
    <row r="35" spans="1:54" ht="15.75" x14ac:dyDescent="0.25">
      <c r="A35" s="22">
        <v>30</v>
      </c>
      <c r="B35" s="19"/>
      <c r="C35" s="22">
        <v>79</v>
      </c>
      <c r="D35" s="19"/>
      <c r="E35" s="22">
        <f t="shared" si="0"/>
        <v>128</v>
      </c>
      <c r="F35" s="19"/>
      <c r="G35" s="33">
        <v>177</v>
      </c>
      <c r="H35" s="19"/>
      <c r="I35" s="21"/>
      <c r="J35" s="36"/>
      <c r="L35" s="22">
        <v>30</v>
      </c>
      <c r="M35" s="19">
        <v>202.2</v>
      </c>
      <c r="N35" s="22">
        <v>79</v>
      </c>
      <c r="O35" s="19">
        <v>195.3</v>
      </c>
      <c r="P35" s="22">
        <f t="shared" si="1"/>
        <v>128</v>
      </c>
      <c r="Q35" s="19">
        <v>208.5</v>
      </c>
      <c r="R35" s="33">
        <v>177</v>
      </c>
      <c r="S35" s="19">
        <v>204.1</v>
      </c>
      <c r="T35" s="21"/>
      <c r="U35" s="36"/>
      <c r="W35" s="22">
        <v>30</v>
      </c>
      <c r="X35" s="19"/>
      <c r="Y35" s="22">
        <v>79</v>
      </c>
      <c r="Z35" s="19"/>
      <c r="AA35" s="22">
        <f t="shared" si="2"/>
        <v>128</v>
      </c>
      <c r="AB35" s="19"/>
      <c r="AC35" s="33">
        <v>177</v>
      </c>
      <c r="AD35" s="19"/>
      <c r="AE35" s="21"/>
      <c r="AF35" s="36"/>
      <c r="AH35" s="22">
        <v>30</v>
      </c>
      <c r="AI35" s="19">
        <v>202.2</v>
      </c>
      <c r="AJ35" s="22">
        <v>79</v>
      </c>
      <c r="AK35" s="19">
        <v>195.3</v>
      </c>
      <c r="AL35" s="22">
        <f t="shared" si="3"/>
        <v>128</v>
      </c>
      <c r="AM35" s="19">
        <v>208.5</v>
      </c>
      <c r="AN35" s="33">
        <v>177</v>
      </c>
      <c r="AO35" s="19"/>
      <c r="AP35" s="21"/>
      <c r="AQ35" s="36"/>
      <c r="AS35" s="22">
        <v>30</v>
      </c>
      <c r="AT35" s="19"/>
      <c r="AU35" s="22">
        <v>79</v>
      </c>
      <c r="AV35" s="19"/>
      <c r="AW35" s="22">
        <f t="shared" si="4"/>
        <v>128</v>
      </c>
      <c r="AX35" s="19"/>
      <c r="AY35" s="33">
        <v>177</v>
      </c>
      <c r="AZ35" s="19">
        <v>204.1</v>
      </c>
      <c r="BA35" s="21"/>
      <c r="BB35" s="36"/>
    </row>
    <row r="36" spans="1:54" ht="15.75" x14ac:dyDescent="0.25">
      <c r="A36" s="22">
        <v>31</v>
      </c>
      <c r="B36" s="19"/>
      <c r="C36" s="22">
        <v>80</v>
      </c>
      <c r="D36" s="19"/>
      <c r="E36" s="22">
        <f t="shared" si="0"/>
        <v>129</v>
      </c>
      <c r="F36" s="19"/>
      <c r="G36" s="33">
        <v>178</v>
      </c>
      <c r="H36" s="19"/>
      <c r="I36" s="20"/>
      <c r="J36" s="36"/>
      <c r="L36" s="22">
        <v>31</v>
      </c>
      <c r="M36" s="19">
        <v>201.7</v>
      </c>
      <c r="N36" s="22">
        <v>80</v>
      </c>
      <c r="O36" s="19">
        <v>203</v>
      </c>
      <c r="P36" s="22">
        <f t="shared" si="1"/>
        <v>129</v>
      </c>
      <c r="Q36" s="19">
        <v>198.3</v>
      </c>
      <c r="R36" s="33">
        <v>178</v>
      </c>
      <c r="S36" s="19">
        <v>203.9</v>
      </c>
      <c r="T36" s="20"/>
      <c r="U36" s="36"/>
      <c r="W36" s="22">
        <v>31</v>
      </c>
      <c r="X36" s="19"/>
      <c r="Y36" s="22">
        <v>80</v>
      </c>
      <c r="Z36" s="19"/>
      <c r="AA36" s="22">
        <f t="shared" si="2"/>
        <v>129</v>
      </c>
      <c r="AB36" s="19"/>
      <c r="AC36" s="33">
        <v>178</v>
      </c>
      <c r="AD36" s="19"/>
      <c r="AE36" s="20"/>
      <c r="AF36" s="36"/>
      <c r="AH36" s="22">
        <v>31</v>
      </c>
      <c r="AI36" s="19">
        <v>201.7</v>
      </c>
      <c r="AJ36" s="22">
        <v>80</v>
      </c>
      <c r="AK36" s="19">
        <v>203</v>
      </c>
      <c r="AL36" s="22">
        <f t="shared" si="3"/>
        <v>129</v>
      </c>
      <c r="AM36" s="19">
        <v>198.3</v>
      </c>
      <c r="AN36" s="33">
        <v>178</v>
      </c>
      <c r="AO36" s="19"/>
      <c r="AP36" s="20"/>
      <c r="AQ36" s="36"/>
      <c r="AS36" s="22">
        <v>31</v>
      </c>
      <c r="AT36" s="19"/>
      <c r="AU36" s="22">
        <v>80</v>
      </c>
      <c r="AV36" s="19"/>
      <c r="AW36" s="22">
        <f t="shared" si="4"/>
        <v>129</v>
      </c>
      <c r="AX36" s="19"/>
      <c r="AY36" s="33">
        <v>178</v>
      </c>
      <c r="AZ36" s="19">
        <v>203.9</v>
      </c>
      <c r="BA36" s="20"/>
      <c r="BB36" s="36"/>
    </row>
    <row r="37" spans="1:54" ht="15.75" x14ac:dyDescent="0.25">
      <c r="A37" s="22">
        <v>32</v>
      </c>
      <c r="B37" s="19"/>
      <c r="C37" s="22">
        <v>81</v>
      </c>
      <c r="D37" s="19"/>
      <c r="E37" s="22">
        <f t="shared" si="0"/>
        <v>130</v>
      </c>
      <c r="F37" s="19"/>
      <c r="G37" s="33">
        <v>179</v>
      </c>
      <c r="H37" s="19"/>
      <c r="I37" s="20"/>
      <c r="J37" s="36"/>
      <c r="L37" s="22">
        <v>32</v>
      </c>
      <c r="M37" s="19">
        <v>206</v>
      </c>
      <c r="N37" s="22">
        <v>81</v>
      </c>
      <c r="O37" s="19">
        <v>200.9</v>
      </c>
      <c r="P37" s="22">
        <f t="shared" si="1"/>
        <v>130</v>
      </c>
      <c r="Q37" s="19">
        <v>200.3</v>
      </c>
      <c r="R37" s="33">
        <v>179</v>
      </c>
      <c r="S37" s="19">
        <v>204</v>
      </c>
      <c r="T37" s="20"/>
      <c r="U37" s="36"/>
      <c r="W37" s="22">
        <v>32</v>
      </c>
      <c r="X37" s="19"/>
      <c r="Y37" s="22">
        <v>81</v>
      </c>
      <c r="Z37" s="19"/>
      <c r="AA37" s="22">
        <f t="shared" si="2"/>
        <v>130</v>
      </c>
      <c r="AB37" s="19"/>
      <c r="AC37" s="33">
        <v>179</v>
      </c>
      <c r="AD37" s="19"/>
      <c r="AE37" s="20"/>
      <c r="AF37" s="36"/>
      <c r="AH37" s="22">
        <v>32</v>
      </c>
      <c r="AI37" s="19">
        <v>206</v>
      </c>
      <c r="AJ37" s="22">
        <v>81</v>
      </c>
      <c r="AK37" s="19">
        <v>200.9</v>
      </c>
      <c r="AL37" s="22">
        <f t="shared" si="3"/>
        <v>130</v>
      </c>
      <c r="AM37" s="19">
        <v>200.3</v>
      </c>
      <c r="AN37" s="33">
        <v>179</v>
      </c>
      <c r="AO37" s="19"/>
      <c r="AP37" s="20"/>
      <c r="AQ37" s="36"/>
      <c r="AS37" s="22">
        <v>32</v>
      </c>
      <c r="AT37" s="19"/>
      <c r="AU37" s="22">
        <v>81</v>
      </c>
      <c r="AV37" s="19"/>
      <c r="AW37" s="22">
        <f t="shared" si="4"/>
        <v>130</v>
      </c>
      <c r="AX37" s="19"/>
      <c r="AY37" s="33">
        <v>179</v>
      </c>
      <c r="AZ37" s="19">
        <v>204</v>
      </c>
      <c r="BA37" s="20"/>
      <c r="BB37" s="36"/>
    </row>
    <row r="38" spans="1:54" s="57" customFormat="1" ht="15.75" x14ac:dyDescent="0.25">
      <c r="A38" s="22">
        <v>33</v>
      </c>
      <c r="B38" s="19"/>
      <c r="C38" s="22">
        <v>82</v>
      </c>
      <c r="D38" s="19"/>
      <c r="E38" s="22">
        <f t="shared" si="0"/>
        <v>131</v>
      </c>
      <c r="F38" s="19"/>
      <c r="G38" s="33">
        <v>180</v>
      </c>
      <c r="H38" s="19"/>
      <c r="I38" s="21"/>
      <c r="J38" s="36"/>
      <c r="L38" s="22">
        <v>33</v>
      </c>
      <c r="M38" s="19">
        <v>253.3</v>
      </c>
      <c r="N38" s="22">
        <v>82</v>
      </c>
      <c r="O38" s="19">
        <v>204.1</v>
      </c>
      <c r="P38" s="22">
        <f t="shared" si="1"/>
        <v>131</v>
      </c>
      <c r="Q38" s="19">
        <v>206.5</v>
      </c>
      <c r="R38" s="33">
        <v>180</v>
      </c>
      <c r="S38" s="19">
        <v>206.3</v>
      </c>
      <c r="T38" s="21"/>
      <c r="U38" s="36"/>
      <c r="W38" s="22">
        <v>33</v>
      </c>
      <c r="X38" s="19"/>
      <c r="Y38" s="22">
        <v>82</v>
      </c>
      <c r="Z38" s="19"/>
      <c r="AA38" s="22">
        <f t="shared" si="2"/>
        <v>131</v>
      </c>
      <c r="AB38" s="19"/>
      <c r="AC38" s="33">
        <v>180</v>
      </c>
      <c r="AD38" s="19"/>
      <c r="AE38" s="21"/>
      <c r="AF38" s="36"/>
      <c r="AH38" s="22">
        <v>33</v>
      </c>
      <c r="AI38" s="19">
        <v>253.3</v>
      </c>
      <c r="AJ38" s="22">
        <v>82</v>
      </c>
      <c r="AK38" s="19">
        <v>204.1</v>
      </c>
      <c r="AL38" s="22">
        <f t="shared" si="3"/>
        <v>131</v>
      </c>
      <c r="AM38" s="19">
        <v>206.5</v>
      </c>
      <c r="AN38" s="33">
        <v>180</v>
      </c>
      <c r="AO38" s="19"/>
      <c r="AP38" s="21"/>
      <c r="AQ38" s="36"/>
      <c r="AS38" s="22">
        <v>33</v>
      </c>
      <c r="AT38" s="19"/>
      <c r="AU38" s="22">
        <v>82</v>
      </c>
      <c r="AV38" s="19"/>
      <c r="AW38" s="22">
        <f t="shared" si="4"/>
        <v>131</v>
      </c>
      <c r="AX38" s="19"/>
      <c r="AY38" s="33">
        <v>180</v>
      </c>
      <c r="AZ38" s="19">
        <v>206.3</v>
      </c>
      <c r="BA38" s="21"/>
      <c r="BB38" s="36"/>
    </row>
    <row r="39" spans="1:54" ht="15.75" x14ac:dyDescent="0.25">
      <c r="A39" s="22">
        <v>34</v>
      </c>
      <c r="B39" s="19"/>
      <c r="C39" s="22">
        <v>83</v>
      </c>
      <c r="D39" s="19"/>
      <c r="E39" s="22">
        <f t="shared" si="0"/>
        <v>132</v>
      </c>
      <c r="F39" s="19"/>
      <c r="G39" s="33">
        <v>181</v>
      </c>
      <c r="H39" s="19"/>
      <c r="I39" s="21"/>
      <c r="J39" s="36"/>
      <c r="L39" s="22">
        <v>34</v>
      </c>
      <c r="M39" s="19">
        <v>198.2</v>
      </c>
      <c r="N39" s="22">
        <v>83</v>
      </c>
      <c r="O39" s="19">
        <v>201.3</v>
      </c>
      <c r="P39" s="22">
        <f t="shared" si="1"/>
        <v>132</v>
      </c>
      <c r="Q39" s="19">
        <v>199</v>
      </c>
      <c r="R39" s="33">
        <v>181</v>
      </c>
      <c r="S39" s="19">
        <v>203.8</v>
      </c>
      <c r="T39" s="21"/>
      <c r="U39" s="36"/>
      <c r="W39" s="22">
        <v>34</v>
      </c>
      <c r="X39" s="19"/>
      <c r="Y39" s="22">
        <v>83</v>
      </c>
      <c r="Z39" s="19"/>
      <c r="AA39" s="22">
        <f t="shared" si="2"/>
        <v>132</v>
      </c>
      <c r="AB39" s="19"/>
      <c r="AC39" s="33">
        <v>181</v>
      </c>
      <c r="AD39" s="19"/>
      <c r="AE39" s="21"/>
      <c r="AF39" s="36"/>
      <c r="AH39" s="22">
        <v>34</v>
      </c>
      <c r="AI39" s="19">
        <v>198.2</v>
      </c>
      <c r="AJ39" s="22">
        <v>83</v>
      </c>
      <c r="AK39" s="19">
        <v>201.3</v>
      </c>
      <c r="AL39" s="22">
        <f t="shared" si="3"/>
        <v>132</v>
      </c>
      <c r="AM39" s="19">
        <v>199</v>
      </c>
      <c r="AN39" s="33">
        <v>181</v>
      </c>
      <c r="AO39" s="19"/>
      <c r="AP39" s="21"/>
      <c r="AQ39" s="36"/>
      <c r="AS39" s="22">
        <v>34</v>
      </c>
      <c r="AT39" s="19"/>
      <c r="AU39" s="22">
        <v>83</v>
      </c>
      <c r="AV39" s="19"/>
      <c r="AW39" s="22">
        <f t="shared" si="4"/>
        <v>132</v>
      </c>
      <c r="AX39" s="19"/>
      <c r="AY39" s="33">
        <v>181</v>
      </c>
      <c r="AZ39" s="19">
        <v>203.8</v>
      </c>
      <c r="BA39" s="21"/>
      <c r="BB39" s="36"/>
    </row>
    <row r="40" spans="1:54" ht="15.75" x14ac:dyDescent="0.25">
      <c r="A40" s="22">
        <v>35</v>
      </c>
      <c r="B40" s="19"/>
      <c r="C40" s="22">
        <v>84</v>
      </c>
      <c r="D40" s="19"/>
      <c r="E40" s="22">
        <f t="shared" si="0"/>
        <v>133</v>
      </c>
      <c r="F40" s="19"/>
      <c r="G40" s="33">
        <v>182</v>
      </c>
      <c r="H40" s="19"/>
      <c r="I40" s="20"/>
      <c r="J40" s="36"/>
      <c r="L40" s="22">
        <v>35</v>
      </c>
      <c r="M40" s="19">
        <v>199.9</v>
      </c>
      <c r="N40" s="22">
        <v>84</v>
      </c>
      <c r="O40" s="19">
        <v>201.3</v>
      </c>
      <c r="P40" s="22">
        <f t="shared" si="1"/>
        <v>133</v>
      </c>
      <c r="Q40" s="19">
        <v>202.9</v>
      </c>
      <c r="R40" s="33">
        <v>182</v>
      </c>
      <c r="S40" s="19">
        <v>202.7</v>
      </c>
      <c r="T40" s="20"/>
      <c r="U40" s="36"/>
      <c r="W40" s="22">
        <v>35</v>
      </c>
      <c r="X40" s="19"/>
      <c r="Y40" s="22">
        <v>84</v>
      </c>
      <c r="Z40" s="19"/>
      <c r="AA40" s="22">
        <f t="shared" si="2"/>
        <v>133</v>
      </c>
      <c r="AB40" s="19"/>
      <c r="AC40" s="33">
        <v>182</v>
      </c>
      <c r="AD40" s="19"/>
      <c r="AE40" s="20"/>
      <c r="AF40" s="36"/>
      <c r="AH40" s="22">
        <v>35</v>
      </c>
      <c r="AI40" s="19">
        <v>199.9</v>
      </c>
      <c r="AJ40" s="22">
        <v>84</v>
      </c>
      <c r="AK40" s="19">
        <v>201.3</v>
      </c>
      <c r="AL40" s="22">
        <f t="shared" si="3"/>
        <v>133</v>
      </c>
      <c r="AM40" s="19">
        <v>202.9</v>
      </c>
      <c r="AN40" s="33">
        <v>182</v>
      </c>
      <c r="AO40" s="19"/>
      <c r="AP40" s="20"/>
      <c r="AQ40" s="36"/>
      <c r="AS40" s="22">
        <v>35</v>
      </c>
      <c r="AT40" s="19"/>
      <c r="AU40" s="22">
        <v>84</v>
      </c>
      <c r="AV40" s="19"/>
      <c r="AW40" s="22">
        <f t="shared" si="4"/>
        <v>133</v>
      </c>
      <c r="AX40" s="19"/>
      <c r="AY40" s="33">
        <v>182</v>
      </c>
      <c r="AZ40" s="19">
        <v>202.7</v>
      </c>
      <c r="BA40" s="20"/>
      <c r="BB40" s="36"/>
    </row>
    <row r="41" spans="1:54" ht="15.75" x14ac:dyDescent="0.25">
      <c r="A41" s="22">
        <v>36</v>
      </c>
      <c r="B41" s="19"/>
      <c r="C41" s="22">
        <v>85</v>
      </c>
      <c r="D41" s="19"/>
      <c r="E41" s="22">
        <f t="shared" si="0"/>
        <v>134</v>
      </c>
      <c r="F41" s="19"/>
      <c r="G41" s="33">
        <v>183</v>
      </c>
      <c r="H41" s="19"/>
      <c r="I41" s="20"/>
      <c r="J41" s="36"/>
      <c r="L41" s="22">
        <v>36</v>
      </c>
      <c r="M41" s="19">
        <v>200.7</v>
      </c>
      <c r="N41" s="22">
        <v>85</v>
      </c>
      <c r="O41" s="19">
        <v>215.8</v>
      </c>
      <c r="P41" s="22">
        <f t="shared" si="1"/>
        <v>134</v>
      </c>
      <c r="Q41" s="19">
        <v>208.7</v>
      </c>
      <c r="R41" s="33">
        <v>183</v>
      </c>
      <c r="S41" s="19">
        <v>201.2</v>
      </c>
      <c r="T41" s="20"/>
      <c r="U41" s="36"/>
      <c r="W41" s="22">
        <v>36</v>
      </c>
      <c r="X41" s="19"/>
      <c r="Y41" s="22">
        <v>85</v>
      </c>
      <c r="Z41" s="19"/>
      <c r="AA41" s="22">
        <f t="shared" si="2"/>
        <v>134</v>
      </c>
      <c r="AB41" s="19"/>
      <c r="AC41" s="33">
        <v>183</v>
      </c>
      <c r="AD41" s="19"/>
      <c r="AE41" s="20"/>
      <c r="AF41" s="36"/>
      <c r="AH41" s="22">
        <v>36</v>
      </c>
      <c r="AI41" s="19">
        <v>200.7</v>
      </c>
      <c r="AJ41" s="22">
        <v>85</v>
      </c>
      <c r="AK41" s="19">
        <v>215.8</v>
      </c>
      <c r="AL41" s="22">
        <f t="shared" si="3"/>
        <v>134</v>
      </c>
      <c r="AM41" s="19">
        <v>208.7</v>
      </c>
      <c r="AN41" s="33">
        <v>183</v>
      </c>
      <c r="AO41" s="19"/>
      <c r="AP41" s="20"/>
      <c r="AQ41" s="36"/>
      <c r="AS41" s="22">
        <v>36</v>
      </c>
      <c r="AT41" s="19"/>
      <c r="AU41" s="22">
        <v>85</v>
      </c>
      <c r="AV41" s="19"/>
      <c r="AW41" s="22">
        <f t="shared" si="4"/>
        <v>134</v>
      </c>
      <c r="AX41" s="19"/>
      <c r="AY41" s="33">
        <v>183</v>
      </c>
      <c r="AZ41" s="19">
        <v>201.2</v>
      </c>
      <c r="BA41" s="20"/>
      <c r="BB41" s="36"/>
    </row>
    <row r="42" spans="1:54" ht="15.75" x14ac:dyDescent="0.25">
      <c r="A42" s="22">
        <v>37</v>
      </c>
      <c r="B42" s="19"/>
      <c r="C42" s="22">
        <v>86</v>
      </c>
      <c r="D42" s="19"/>
      <c r="E42" s="22">
        <f t="shared" si="0"/>
        <v>135</v>
      </c>
      <c r="F42" s="19"/>
      <c r="G42" s="33">
        <v>184</v>
      </c>
      <c r="H42" s="19"/>
      <c r="I42" s="21"/>
      <c r="J42" s="36"/>
      <c r="L42" s="22">
        <v>37</v>
      </c>
      <c r="M42" s="19">
        <v>200.1</v>
      </c>
      <c r="N42" s="22">
        <v>86</v>
      </c>
      <c r="O42" s="19">
        <v>203.1</v>
      </c>
      <c r="P42" s="22">
        <f t="shared" si="1"/>
        <v>135</v>
      </c>
      <c r="Q42" s="19">
        <v>200.6</v>
      </c>
      <c r="R42" s="33">
        <v>184</v>
      </c>
      <c r="S42" s="19">
        <v>204.2</v>
      </c>
      <c r="T42" s="21"/>
      <c r="U42" s="36"/>
      <c r="W42" s="22">
        <v>37</v>
      </c>
      <c r="X42" s="19"/>
      <c r="Y42" s="22">
        <v>86</v>
      </c>
      <c r="Z42" s="19"/>
      <c r="AA42" s="22">
        <f t="shared" si="2"/>
        <v>135</v>
      </c>
      <c r="AB42" s="19"/>
      <c r="AC42" s="33">
        <v>184</v>
      </c>
      <c r="AD42" s="19"/>
      <c r="AE42" s="21"/>
      <c r="AF42" s="36"/>
      <c r="AH42" s="22">
        <v>37</v>
      </c>
      <c r="AI42" s="19">
        <v>200.1</v>
      </c>
      <c r="AJ42" s="22">
        <v>86</v>
      </c>
      <c r="AK42" s="19">
        <v>203.1</v>
      </c>
      <c r="AL42" s="22">
        <f t="shared" si="3"/>
        <v>135</v>
      </c>
      <c r="AM42" s="19">
        <v>200.6</v>
      </c>
      <c r="AN42" s="33">
        <v>184</v>
      </c>
      <c r="AO42" s="19"/>
      <c r="AP42" s="21"/>
      <c r="AQ42" s="36"/>
      <c r="AS42" s="22">
        <v>37</v>
      </c>
      <c r="AT42" s="19"/>
      <c r="AU42" s="22">
        <v>86</v>
      </c>
      <c r="AV42" s="19"/>
      <c r="AW42" s="22">
        <f t="shared" si="4"/>
        <v>135</v>
      </c>
      <c r="AX42" s="19"/>
      <c r="AY42" s="33">
        <v>184</v>
      </c>
      <c r="AZ42" s="19">
        <v>204.2</v>
      </c>
      <c r="BA42" s="21"/>
      <c r="BB42" s="36"/>
    </row>
    <row r="43" spans="1:54" ht="15.75" x14ac:dyDescent="0.25">
      <c r="A43" s="22">
        <v>38</v>
      </c>
      <c r="B43" s="19"/>
      <c r="C43" s="22">
        <v>87</v>
      </c>
      <c r="D43" s="19"/>
      <c r="E43" s="22">
        <f t="shared" si="0"/>
        <v>136</v>
      </c>
      <c r="F43" s="19"/>
      <c r="G43" s="33">
        <v>185</v>
      </c>
      <c r="H43" s="19"/>
      <c r="I43" s="20"/>
      <c r="J43" s="36"/>
      <c r="L43" s="22">
        <v>38</v>
      </c>
      <c r="M43" s="19">
        <v>198.9</v>
      </c>
      <c r="N43" s="22">
        <v>87</v>
      </c>
      <c r="O43" s="19">
        <v>195.2</v>
      </c>
      <c r="P43" s="22">
        <f t="shared" si="1"/>
        <v>136</v>
      </c>
      <c r="Q43" s="19">
        <v>210.3</v>
      </c>
      <c r="R43" s="33">
        <v>185</v>
      </c>
      <c r="S43" s="19">
        <v>200.9</v>
      </c>
      <c r="T43" s="20"/>
      <c r="U43" s="36"/>
      <c r="W43" s="22">
        <v>38</v>
      </c>
      <c r="X43" s="19"/>
      <c r="Y43" s="22">
        <v>87</v>
      </c>
      <c r="Z43" s="19"/>
      <c r="AA43" s="22">
        <f t="shared" si="2"/>
        <v>136</v>
      </c>
      <c r="AB43" s="19"/>
      <c r="AC43" s="33">
        <v>185</v>
      </c>
      <c r="AD43" s="19"/>
      <c r="AE43" s="20"/>
      <c r="AF43" s="36"/>
      <c r="AH43" s="22">
        <v>38</v>
      </c>
      <c r="AI43" s="19">
        <v>198.9</v>
      </c>
      <c r="AJ43" s="22">
        <v>87</v>
      </c>
      <c r="AK43" s="19">
        <v>195.2</v>
      </c>
      <c r="AL43" s="22">
        <f t="shared" si="3"/>
        <v>136</v>
      </c>
      <c r="AM43" s="19">
        <v>210.3</v>
      </c>
      <c r="AN43" s="33">
        <v>185</v>
      </c>
      <c r="AO43" s="19"/>
      <c r="AP43" s="20"/>
      <c r="AQ43" s="36"/>
      <c r="AS43" s="22">
        <v>38</v>
      </c>
      <c r="AT43" s="19"/>
      <c r="AU43" s="22">
        <v>87</v>
      </c>
      <c r="AV43" s="19"/>
      <c r="AW43" s="22">
        <f t="shared" si="4"/>
        <v>136</v>
      </c>
      <c r="AX43" s="19"/>
      <c r="AY43" s="33">
        <v>185</v>
      </c>
      <c r="AZ43" s="19">
        <v>200.9</v>
      </c>
      <c r="BA43" s="20"/>
      <c r="BB43" s="36"/>
    </row>
    <row r="44" spans="1:54" ht="15.75" x14ac:dyDescent="0.25">
      <c r="A44" s="22">
        <v>39</v>
      </c>
      <c r="B44" s="19"/>
      <c r="C44" s="22">
        <v>88</v>
      </c>
      <c r="D44" s="19"/>
      <c r="E44" s="22">
        <f t="shared" si="0"/>
        <v>137</v>
      </c>
      <c r="F44" s="19"/>
      <c r="G44" s="33">
        <v>186</v>
      </c>
      <c r="H44" s="19"/>
      <c r="I44" s="20"/>
      <c r="J44" s="36"/>
      <c r="L44" s="22">
        <v>39</v>
      </c>
      <c r="M44" s="19">
        <v>199.1</v>
      </c>
      <c r="N44" s="22">
        <v>88</v>
      </c>
      <c r="O44" s="19">
        <v>207.5</v>
      </c>
      <c r="P44" s="22">
        <f t="shared" si="1"/>
        <v>137</v>
      </c>
      <c r="Q44" s="19">
        <v>201.2</v>
      </c>
      <c r="R44" s="33">
        <v>186</v>
      </c>
      <c r="S44" s="19">
        <v>206.6</v>
      </c>
      <c r="T44" s="20"/>
      <c r="U44" s="36"/>
      <c r="W44" s="22">
        <v>39</v>
      </c>
      <c r="X44" s="19"/>
      <c r="Y44" s="22">
        <v>88</v>
      </c>
      <c r="Z44" s="19"/>
      <c r="AA44" s="22">
        <f t="shared" si="2"/>
        <v>137</v>
      </c>
      <c r="AB44" s="19"/>
      <c r="AC44" s="33">
        <v>186</v>
      </c>
      <c r="AD44" s="19"/>
      <c r="AE44" s="20"/>
      <c r="AF44" s="36"/>
      <c r="AH44" s="22">
        <v>39</v>
      </c>
      <c r="AI44" s="19">
        <v>199.1</v>
      </c>
      <c r="AJ44" s="22">
        <v>88</v>
      </c>
      <c r="AK44" s="19">
        <v>207.5</v>
      </c>
      <c r="AL44" s="22">
        <f t="shared" si="3"/>
        <v>137</v>
      </c>
      <c r="AM44" s="19">
        <v>201.2</v>
      </c>
      <c r="AN44" s="33">
        <v>186</v>
      </c>
      <c r="AO44" s="19"/>
      <c r="AP44" s="20"/>
      <c r="AQ44" s="36"/>
      <c r="AS44" s="22">
        <v>39</v>
      </c>
      <c r="AT44" s="19"/>
      <c r="AU44" s="22">
        <v>88</v>
      </c>
      <c r="AV44" s="19"/>
      <c r="AW44" s="22">
        <f t="shared" si="4"/>
        <v>137</v>
      </c>
      <c r="AX44" s="19"/>
      <c r="AY44" s="33">
        <v>186</v>
      </c>
      <c r="AZ44" s="19">
        <v>206.6</v>
      </c>
      <c r="BA44" s="20"/>
      <c r="BB44" s="36"/>
    </row>
    <row r="45" spans="1:54" ht="15.75" x14ac:dyDescent="0.25">
      <c r="A45" s="22">
        <v>40</v>
      </c>
      <c r="B45" s="19"/>
      <c r="C45" s="22">
        <v>89</v>
      </c>
      <c r="D45" s="19"/>
      <c r="E45" s="22">
        <f t="shared" si="0"/>
        <v>138</v>
      </c>
      <c r="F45" s="19"/>
      <c r="G45" s="33">
        <v>187</v>
      </c>
      <c r="H45" s="19"/>
      <c r="I45" s="21"/>
      <c r="J45" s="36"/>
      <c r="L45" s="22">
        <v>40</v>
      </c>
      <c r="M45" s="19">
        <v>201.4</v>
      </c>
      <c r="N45" s="22">
        <v>89</v>
      </c>
      <c r="O45" s="19">
        <v>194.7</v>
      </c>
      <c r="P45" s="22">
        <f t="shared" si="1"/>
        <v>138</v>
      </c>
      <c r="Q45" s="19">
        <v>206.9</v>
      </c>
      <c r="R45" s="33">
        <v>187</v>
      </c>
      <c r="S45" s="19">
        <v>197.7</v>
      </c>
      <c r="T45" s="21"/>
      <c r="U45" s="36"/>
      <c r="W45" s="22">
        <v>40</v>
      </c>
      <c r="X45" s="19"/>
      <c r="Y45" s="22">
        <v>89</v>
      </c>
      <c r="Z45" s="19"/>
      <c r="AA45" s="22">
        <f t="shared" si="2"/>
        <v>138</v>
      </c>
      <c r="AB45" s="19"/>
      <c r="AC45" s="33">
        <v>187</v>
      </c>
      <c r="AD45" s="19"/>
      <c r="AE45" s="21"/>
      <c r="AF45" s="36"/>
      <c r="AH45" s="22">
        <v>40</v>
      </c>
      <c r="AI45" s="19">
        <v>201.4</v>
      </c>
      <c r="AJ45" s="22">
        <v>89</v>
      </c>
      <c r="AK45" s="19">
        <v>194.7</v>
      </c>
      <c r="AL45" s="22">
        <f t="shared" si="3"/>
        <v>138</v>
      </c>
      <c r="AM45" s="19">
        <v>206.9</v>
      </c>
      <c r="AN45" s="33">
        <v>187</v>
      </c>
      <c r="AO45" s="19"/>
      <c r="AP45" s="21"/>
      <c r="AQ45" s="36"/>
      <c r="AS45" s="22">
        <v>40</v>
      </c>
      <c r="AT45" s="19"/>
      <c r="AU45" s="22">
        <v>89</v>
      </c>
      <c r="AV45" s="19"/>
      <c r="AW45" s="22">
        <f t="shared" si="4"/>
        <v>138</v>
      </c>
      <c r="AX45" s="19"/>
      <c r="AY45" s="33">
        <v>187</v>
      </c>
      <c r="AZ45" s="19">
        <v>197.7</v>
      </c>
      <c r="BA45" s="21"/>
      <c r="BB45" s="36"/>
    </row>
    <row r="46" spans="1:54" ht="15.75" x14ac:dyDescent="0.25">
      <c r="A46" s="22">
        <v>41</v>
      </c>
      <c r="B46" s="19"/>
      <c r="C46" s="22">
        <v>90</v>
      </c>
      <c r="D46" s="19"/>
      <c r="E46" s="22">
        <f t="shared" si="0"/>
        <v>139</v>
      </c>
      <c r="F46" s="19"/>
      <c r="G46" s="33">
        <v>188</v>
      </c>
      <c r="H46" s="19"/>
      <c r="I46" s="20"/>
      <c r="J46" s="36"/>
      <c r="L46" s="22">
        <v>41</v>
      </c>
      <c r="M46" s="19">
        <v>193</v>
      </c>
      <c r="N46" s="22">
        <v>90</v>
      </c>
      <c r="O46" s="19">
        <v>193.6</v>
      </c>
      <c r="P46" s="22">
        <f t="shared" si="1"/>
        <v>139</v>
      </c>
      <c r="Q46" s="19">
        <v>207.6</v>
      </c>
      <c r="R46" s="33">
        <v>188</v>
      </c>
      <c r="S46" s="19">
        <v>204.7</v>
      </c>
      <c r="T46" s="20"/>
      <c r="U46" s="36"/>
      <c r="W46" s="22">
        <v>41</v>
      </c>
      <c r="X46" s="19"/>
      <c r="Y46" s="22">
        <v>90</v>
      </c>
      <c r="Z46" s="19"/>
      <c r="AA46" s="22">
        <f t="shared" si="2"/>
        <v>139</v>
      </c>
      <c r="AB46" s="19"/>
      <c r="AC46" s="33">
        <v>188</v>
      </c>
      <c r="AD46" s="19"/>
      <c r="AE46" s="20"/>
      <c r="AF46" s="36"/>
      <c r="AH46" s="22">
        <v>41</v>
      </c>
      <c r="AI46" s="19">
        <v>193</v>
      </c>
      <c r="AJ46" s="22">
        <v>90</v>
      </c>
      <c r="AK46" s="19">
        <v>193.6</v>
      </c>
      <c r="AL46" s="22">
        <f t="shared" si="3"/>
        <v>139</v>
      </c>
      <c r="AM46" s="19">
        <v>207.6</v>
      </c>
      <c r="AN46" s="33">
        <v>188</v>
      </c>
      <c r="AO46" s="19"/>
      <c r="AP46" s="20"/>
      <c r="AQ46" s="36"/>
      <c r="AS46" s="22">
        <v>41</v>
      </c>
      <c r="AT46" s="19"/>
      <c r="AU46" s="22">
        <v>90</v>
      </c>
      <c r="AV46" s="19"/>
      <c r="AW46" s="22">
        <f t="shared" si="4"/>
        <v>139</v>
      </c>
      <c r="AX46" s="19"/>
      <c r="AY46" s="33">
        <v>188</v>
      </c>
      <c r="AZ46" s="19">
        <v>204.7</v>
      </c>
      <c r="BA46" s="20"/>
      <c r="BB46" s="36"/>
    </row>
    <row r="47" spans="1:54" ht="15.75" x14ac:dyDescent="0.25">
      <c r="A47" s="22">
        <v>42</v>
      </c>
      <c r="B47" s="19"/>
      <c r="C47" s="22">
        <v>91</v>
      </c>
      <c r="D47" s="19"/>
      <c r="E47" s="22">
        <f t="shared" si="0"/>
        <v>140</v>
      </c>
      <c r="F47" s="19"/>
      <c r="G47" s="33">
        <v>189</v>
      </c>
      <c r="H47" s="19"/>
      <c r="I47" s="20"/>
      <c r="J47" s="36"/>
      <c r="L47" s="22">
        <v>42</v>
      </c>
      <c r="M47" s="19">
        <v>201.4</v>
      </c>
      <c r="N47" s="22">
        <v>91</v>
      </c>
      <c r="O47" s="19">
        <v>202</v>
      </c>
      <c r="P47" s="22">
        <f t="shared" si="1"/>
        <v>140</v>
      </c>
      <c r="Q47" s="19">
        <v>207.1</v>
      </c>
      <c r="R47" s="33">
        <v>189</v>
      </c>
      <c r="S47" s="19">
        <v>195.4</v>
      </c>
      <c r="T47" s="20"/>
      <c r="U47" s="36"/>
      <c r="W47" s="22">
        <v>42</v>
      </c>
      <c r="X47" s="19"/>
      <c r="Y47" s="22">
        <v>91</v>
      </c>
      <c r="Z47" s="19"/>
      <c r="AA47" s="22">
        <f t="shared" si="2"/>
        <v>140</v>
      </c>
      <c r="AB47" s="19"/>
      <c r="AC47" s="33">
        <v>189</v>
      </c>
      <c r="AD47" s="19"/>
      <c r="AE47" s="20"/>
      <c r="AF47" s="36"/>
      <c r="AH47" s="22">
        <v>42</v>
      </c>
      <c r="AI47" s="19">
        <v>201.4</v>
      </c>
      <c r="AJ47" s="22">
        <v>91</v>
      </c>
      <c r="AK47" s="19">
        <v>202</v>
      </c>
      <c r="AL47" s="22">
        <f t="shared" si="3"/>
        <v>140</v>
      </c>
      <c r="AM47" s="19">
        <v>207.1</v>
      </c>
      <c r="AN47" s="33">
        <v>189</v>
      </c>
      <c r="AO47" s="19"/>
      <c r="AP47" s="20"/>
      <c r="AQ47" s="36"/>
      <c r="AS47" s="22">
        <v>42</v>
      </c>
      <c r="AT47" s="19"/>
      <c r="AU47" s="22">
        <v>91</v>
      </c>
      <c r="AV47" s="19"/>
      <c r="AW47" s="22">
        <f t="shared" si="4"/>
        <v>140</v>
      </c>
      <c r="AX47" s="19"/>
      <c r="AY47" s="33">
        <v>189</v>
      </c>
      <c r="AZ47" s="19">
        <v>195.4</v>
      </c>
      <c r="BA47" s="20"/>
      <c r="BB47" s="36"/>
    </row>
    <row r="48" spans="1:54" ht="15.75" x14ac:dyDescent="0.25">
      <c r="A48" s="22">
        <v>43</v>
      </c>
      <c r="B48" s="19"/>
      <c r="C48" s="22">
        <v>92</v>
      </c>
      <c r="D48" s="19"/>
      <c r="E48" s="22">
        <f t="shared" si="0"/>
        <v>141</v>
      </c>
      <c r="F48" s="19"/>
      <c r="G48" s="33">
        <v>190</v>
      </c>
      <c r="H48" s="19"/>
      <c r="I48" s="21"/>
      <c r="J48" s="36"/>
      <c r="L48" s="22">
        <v>43</v>
      </c>
      <c r="M48" s="19">
        <v>206.3</v>
      </c>
      <c r="N48" s="22">
        <v>92</v>
      </c>
      <c r="O48" s="19">
        <v>201.3</v>
      </c>
      <c r="P48" s="22">
        <f t="shared" si="1"/>
        <v>141</v>
      </c>
      <c r="Q48" s="19">
        <v>201.4</v>
      </c>
      <c r="R48" s="33">
        <v>190</v>
      </c>
      <c r="S48" s="19">
        <v>202.8</v>
      </c>
      <c r="T48" s="21"/>
      <c r="U48" s="36"/>
      <c r="W48" s="22">
        <v>43</v>
      </c>
      <c r="X48" s="19"/>
      <c r="Y48" s="22">
        <v>92</v>
      </c>
      <c r="Z48" s="19"/>
      <c r="AA48" s="22">
        <f t="shared" si="2"/>
        <v>141</v>
      </c>
      <c r="AB48" s="19"/>
      <c r="AC48" s="33">
        <v>190</v>
      </c>
      <c r="AD48" s="19"/>
      <c r="AE48" s="21"/>
      <c r="AF48" s="36"/>
      <c r="AH48" s="22">
        <v>43</v>
      </c>
      <c r="AI48" s="19">
        <v>206.3</v>
      </c>
      <c r="AJ48" s="22">
        <v>92</v>
      </c>
      <c r="AK48" s="19">
        <v>201.3</v>
      </c>
      <c r="AL48" s="22">
        <f t="shared" si="3"/>
        <v>141</v>
      </c>
      <c r="AM48" s="19">
        <v>201.4</v>
      </c>
      <c r="AN48" s="33">
        <v>190</v>
      </c>
      <c r="AO48" s="19"/>
      <c r="AP48" s="21"/>
      <c r="AQ48" s="36"/>
      <c r="AS48" s="22">
        <v>43</v>
      </c>
      <c r="AT48" s="19"/>
      <c r="AU48" s="22">
        <v>92</v>
      </c>
      <c r="AV48" s="19"/>
      <c r="AW48" s="22">
        <f t="shared" si="4"/>
        <v>141</v>
      </c>
      <c r="AX48" s="19"/>
      <c r="AY48" s="33">
        <v>190</v>
      </c>
      <c r="AZ48" s="19">
        <v>202.8</v>
      </c>
      <c r="BA48" s="21"/>
      <c r="BB48" s="36"/>
    </row>
    <row r="49" spans="1:54" ht="15.75" x14ac:dyDescent="0.25">
      <c r="A49" s="22">
        <v>44</v>
      </c>
      <c r="B49" s="19"/>
      <c r="C49" s="22">
        <v>93</v>
      </c>
      <c r="D49" s="19"/>
      <c r="E49" s="22">
        <f t="shared" si="0"/>
        <v>142</v>
      </c>
      <c r="F49" s="19"/>
      <c r="G49" s="33">
        <v>191</v>
      </c>
      <c r="H49" s="19"/>
      <c r="I49" s="21"/>
      <c r="J49" s="36"/>
      <c r="L49" s="22">
        <v>44</v>
      </c>
      <c r="M49" s="19">
        <v>201.7</v>
      </c>
      <c r="N49" s="22">
        <v>93</v>
      </c>
      <c r="O49" s="19">
        <v>195.8</v>
      </c>
      <c r="P49" s="22">
        <f t="shared" si="1"/>
        <v>142</v>
      </c>
      <c r="Q49" s="19">
        <v>200.2</v>
      </c>
      <c r="R49" s="33">
        <v>191</v>
      </c>
      <c r="S49" s="19">
        <v>197</v>
      </c>
      <c r="T49" s="21"/>
      <c r="U49" s="36"/>
      <c r="W49" s="22">
        <v>44</v>
      </c>
      <c r="X49" s="19"/>
      <c r="Y49" s="22">
        <v>93</v>
      </c>
      <c r="Z49" s="19"/>
      <c r="AA49" s="22">
        <f t="shared" si="2"/>
        <v>142</v>
      </c>
      <c r="AB49" s="19"/>
      <c r="AC49" s="33">
        <v>191</v>
      </c>
      <c r="AD49" s="19"/>
      <c r="AE49" s="21"/>
      <c r="AF49" s="36"/>
      <c r="AH49" s="22">
        <v>44</v>
      </c>
      <c r="AI49" s="19">
        <v>201.7</v>
      </c>
      <c r="AJ49" s="22">
        <v>93</v>
      </c>
      <c r="AK49" s="19">
        <v>195.8</v>
      </c>
      <c r="AL49" s="22">
        <f t="shared" si="3"/>
        <v>142</v>
      </c>
      <c r="AM49" s="19">
        <v>200.2</v>
      </c>
      <c r="AN49" s="33">
        <v>191</v>
      </c>
      <c r="AO49" s="19"/>
      <c r="AP49" s="21"/>
      <c r="AQ49" s="36"/>
      <c r="AS49" s="22">
        <v>44</v>
      </c>
      <c r="AT49" s="19"/>
      <c r="AU49" s="22">
        <v>93</v>
      </c>
      <c r="AV49" s="19"/>
      <c r="AW49" s="22">
        <f t="shared" si="4"/>
        <v>142</v>
      </c>
      <c r="AX49" s="19"/>
      <c r="AY49" s="33">
        <v>191</v>
      </c>
      <c r="AZ49" s="19">
        <v>197</v>
      </c>
      <c r="BA49" s="21"/>
      <c r="BB49" s="36"/>
    </row>
    <row r="50" spans="1:54" ht="15.75" x14ac:dyDescent="0.25">
      <c r="A50" s="22">
        <v>45</v>
      </c>
      <c r="B50" s="19"/>
      <c r="C50" s="22">
        <v>94</v>
      </c>
      <c r="D50" s="19"/>
      <c r="E50" s="22">
        <f t="shared" si="0"/>
        <v>143</v>
      </c>
      <c r="F50" s="19"/>
      <c r="G50" s="33">
        <v>192</v>
      </c>
      <c r="H50" s="19"/>
      <c r="I50" s="20"/>
      <c r="J50" s="36"/>
      <c r="L50" s="22">
        <v>45</v>
      </c>
      <c r="M50" s="19">
        <v>203.5</v>
      </c>
      <c r="N50" s="22">
        <v>94</v>
      </c>
      <c r="O50" s="19">
        <v>199</v>
      </c>
      <c r="P50" s="22">
        <f t="shared" si="1"/>
        <v>143</v>
      </c>
      <c r="Q50" s="19">
        <v>197.8</v>
      </c>
      <c r="R50" s="33">
        <v>192</v>
      </c>
      <c r="S50" s="19">
        <v>207.1</v>
      </c>
      <c r="T50" s="20"/>
      <c r="U50" s="36"/>
      <c r="W50" s="22">
        <v>45</v>
      </c>
      <c r="X50" s="19"/>
      <c r="Y50" s="22">
        <v>94</v>
      </c>
      <c r="Z50" s="19"/>
      <c r="AA50" s="22">
        <f t="shared" si="2"/>
        <v>143</v>
      </c>
      <c r="AB50" s="19"/>
      <c r="AC50" s="33">
        <v>192</v>
      </c>
      <c r="AD50" s="19"/>
      <c r="AE50" s="20"/>
      <c r="AF50" s="36"/>
      <c r="AH50" s="22">
        <v>45</v>
      </c>
      <c r="AI50" s="19">
        <v>203.5</v>
      </c>
      <c r="AJ50" s="22">
        <v>94</v>
      </c>
      <c r="AK50" s="19">
        <v>199</v>
      </c>
      <c r="AL50" s="22">
        <f t="shared" si="3"/>
        <v>143</v>
      </c>
      <c r="AM50" s="19">
        <v>197.8</v>
      </c>
      <c r="AN50" s="33">
        <v>192</v>
      </c>
      <c r="AO50" s="19"/>
      <c r="AP50" s="20"/>
      <c r="AQ50" s="36"/>
      <c r="AS50" s="22">
        <v>45</v>
      </c>
      <c r="AT50" s="19"/>
      <c r="AU50" s="22">
        <v>94</v>
      </c>
      <c r="AV50" s="19"/>
      <c r="AW50" s="22">
        <f t="shared" si="4"/>
        <v>143</v>
      </c>
      <c r="AX50" s="19"/>
      <c r="AY50" s="33">
        <v>192</v>
      </c>
      <c r="AZ50" s="19">
        <v>207.1</v>
      </c>
      <c r="BA50" s="20"/>
      <c r="BB50" s="36"/>
    </row>
    <row r="51" spans="1:54" ht="15.75" x14ac:dyDescent="0.25">
      <c r="A51" s="22">
        <v>46</v>
      </c>
      <c r="B51" s="19"/>
      <c r="C51" s="22">
        <v>95</v>
      </c>
      <c r="D51" s="19"/>
      <c r="E51" s="22">
        <f t="shared" si="0"/>
        <v>144</v>
      </c>
      <c r="F51" s="19"/>
      <c r="G51" s="33">
        <v>193</v>
      </c>
      <c r="H51" s="19"/>
      <c r="I51" s="20"/>
      <c r="J51" s="36"/>
      <c r="L51" s="22">
        <v>46</v>
      </c>
      <c r="M51" s="19">
        <v>197.1</v>
      </c>
      <c r="N51" s="22">
        <v>95</v>
      </c>
      <c r="O51" s="19">
        <v>198.4</v>
      </c>
      <c r="P51" s="22">
        <f t="shared" si="1"/>
        <v>144</v>
      </c>
      <c r="Q51" s="19">
        <v>201.4</v>
      </c>
      <c r="R51" s="33">
        <v>193</v>
      </c>
      <c r="S51" s="19">
        <v>200.1</v>
      </c>
      <c r="T51" s="20"/>
      <c r="U51" s="36"/>
      <c r="W51" s="22">
        <v>46</v>
      </c>
      <c r="X51" s="19"/>
      <c r="Y51" s="22">
        <v>95</v>
      </c>
      <c r="Z51" s="19"/>
      <c r="AA51" s="22">
        <f t="shared" si="2"/>
        <v>144</v>
      </c>
      <c r="AB51" s="19"/>
      <c r="AC51" s="33">
        <v>193</v>
      </c>
      <c r="AD51" s="19"/>
      <c r="AE51" s="20"/>
      <c r="AF51" s="36"/>
      <c r="AH51" s="22">
        <v>46</v>
      </c>
      <c r="AI51" s="19">
        <v>197.1</v>
      </c>
      <c r="AJ51" s="22">
        <v>95</v>
      </c>
      <c r="AK51" s="19">
        <v>198.4</v>
      </c>
      <c r="AL51" s="22">
        <f t="shared" si="3"/>
        <v>144</v>
      </c>
      <c r="AM51" s="19">
        <v>201.4</v>
      </c>
      <c r="AN51" s="33">
        <v>193</v>
      </c>
      <c r="AO51" s="19"/>
      <c r="AP51" s="20"/>
      <c r="AQ51" s="36"/>
      <c r="AS51" s="22">
        <v>46</v>
      </c>
      <c r="AT51" s="19"/>
      <c r="AU51" s="22">
        <v>95</v>
      </c>
      <c r="AV51" s="19"/>
      <c r="AW51" s="22">
        <f t="shared" si="4"/>
        <v>144</v>
      </c>
      <c r="AX51" s="19"/>
      <c r="AY51" s="33">
        <v>193</v>
      </c>
      <c r="AZ51" s="19">
        <v>200.1</v>
      </c>
      <c r="BA51" s="20"/>
      <c r="BB51" s="36"/>
    </row>
    <row r="52" spans="1:54" ht="15.75" x14ac:dyDescent="0.25">
      <c r="A52" s="22">
        <v>47</v>
      </c>
      <c r="B52" s="19"/>
      <c r="C52" s="22">
        <v>96</v>
      </c>
      <c r="D52" s="19"/>
      <c r="E52" s="22">
        <f t="shared" si="0"/>
        <v>145</v>
      </c>
      <c r="F52" s="19"/>
      <c r="G52" s="33">
        <v>194</v>
      </c>
      <c r="H52" s="19"/>
      <c r="I52" s="21"/>
      <c r="J52" s="36"/>
      <c r="L52" s="22">
        <v>47</v>
      </c>
      <c r="M52" s="19">
        <v>196.6</v>
      </c>
      <c r="N52" s="22">
        <v>96</v>
      </c>
      <c r="O52" s="19">
        <v>198.3</v>
      </c>
      <c r="P52" s="22">
        <f t="shared" si="1"/>
        <v>145</v>
      </c>
      <c r="Q52" s="19">
        <v>207.2</v>
      </c>
      <c r="R52" s="33">
        <v>194</v>
      </c>
      <c r="S52" s="19">
        <v>194.2</v>
      </c>
      <c r="T52" s="21"/>
      <c r="U52" s="36"/>
      <c r="W52" s="22">
        <v>47</v>
      </c>
      <c r="X52" s="19"/>
      <c r="Y52" s="22">
        <v>96</v>
      </c>
      <c r="Z52" s="19"/>
      <c r="AA52" s="22">
        <f t="shared" si="2"/>
        <v>145</v>
      </c>
      <c r="AB52" s="19"/>
      <c r="AC52" s="33">
        <v>194</v>
      </c>
      <c r="AD52" s="19"/>
      <c r="AE52" s="21"/>
      <c r="AF52" s="36"/>
      <c r="AH52" s="22">
        <v>47</v>
      </c>
      <c r="AI52" s="19">
        <v>196.6</v>
      </c>
      <c r="AJ52" s="22">
        <v>96</v>
      </c>
      <c r="AK52" s="19">
        <v>198.3</v>
      </c>
      <c r="AL52" s="22">
        <f t="shared" si="3"/>
        <v>145</v>
      </c>
      <c r="AM52" s="19">
        <v>207.2</v>
      </c>
      <c r="AN52" s="33">
        <v>194</v>
      </c>
      <c r="AO52" s="19"/>
      <c r="AP52" s="21"/>
      <c r="AQ52" s="36"/>
      <c r="AS52" s="22">
        <v>47</v>
      </c>
      <c r="AT52" s="19"/>
      <c r="AU52" s="22">
        <v>96</v>
      </c>
      <c r="AV52" s="19"/>
      <c r="AW52" s="22">
        <f t="shared" si="4"/>
        <v>145</v>
      </c>
      <c r="AX52" s="19"/>
      <c r="AY52" s="33">
        <v>194</v>
      </c>
      <c r="AZ52" s="19">
        <v>194.2</v>
      </c>
      <c r="BA52" s="21"/>
      <c r="BB52" s="36"/>
    </row>
    <row r="53" spans="1:54" ht="15.75" x14ac:dyDescent="0.25">
      <c r="A53" s="22">
        <v>48</v>
      </c>
      <c r="B53" s="19"/>
      <c r="C53" s="22">
        <v>97</v>
      </c>
      <c r="D53" s="19"/>
      <c r="E53" s="22">
        <f t="shared" si="0"/>
        <v>146</v>
      </c>
      <c r="F53" s="19"/>
      <c r="G53" s="33">
        <v>195</v>
      </c>
      <c r="H53" s="19"/>
      <c r="I53" s="20"/>
      <c r="J53" s="36"/>
      <c r="L53" s="22">
        <v>48</v>
      </c>
      <c r="M53" s="19">
        <v>192.2</v>
      </c>
      <c r="N53" s="22">
        <v>97</v>
      </c>
      <c r="O53" s="19">
        <v>198.7</v>
      </c>
      <c r="P53" s="22">
        <f t="shared" si="1"/>
        <v>146</v>
      </c>
      <c r="Q53" s="19">
        <v>205.1</v>
      </c>
      <c r="R53" s="33">
        <v>195</v>
      </c>
      <c r="S53" s="19">
        <v>205.4</v>
      </c>
      <c r="T53" s="20"/>
      <c r="U53" s="36"/>
      <c r="W53" s="22">
        <v>48</v>
      </c>
      <c r="X53" s="19"/>
      <c r="Y53" s="22">
        <v>97</v>
      </c>
      <c r="Z53" s="19"/>
      <c r="AA53" s="22">
        <f t="shared" si="2"/>
        <v>146</v>
      </c>
      <c r="AB53" s="19"/>
      <c r="AC53" s="33">
        <v>195</v>
      </c>
      <c r="AD53" s="19"/>
      <c r="AE53" s="20"/>
      <c r="AF53" s="36"/>
      <c r="AH53" s="22">
        <v>48</v>
      </c>
      <c r="AI53" s="19">
        <v>192.2</v>
      </c>
      <c r="AJ53" s="22">
        <v>97</v>
      </c>
      <c r="AK53" s="19">
        <v>198.7</v>
      </c>
      <c r="AL53" s="22">
        <f t="shared" si="3"/>
        <v>146</v>
      </c>
      <c r="AM53" s="19">
        <v>205.1</v>
      </c>
      <c r="AN53" s="33">
        <v>195</v>
      </c>
      <c r="AO53" s="19"/>
      <c r="AP53" s="20"/>
      <c r="AQ53" s="36"/>
      <c r="AS53" s="22">
        <v>48</v>
      </c>
      <c r="AT53" s="19"/>
      <c r="AU53" s="22">
        <v>97</v>
      </c>
      <c r="AV53" s="19"/>
      <c r="AW53" s="22">
        <f t="shared" si="4"/>
        <v>146</v>
      </c>
      <c r="AX53" s="19"/>
      <c r="AY53" s="33">
        <v>195</v>
      </c>
      <c r="AZ53" s="19">
        <v>205.4</v>
      </c>
      <c r="BA53" s="20"/>
      <c r="BB53" s="36"/>
    </row>
    <row r="54" spans="1:54" ht="15.75" x14ac:dyDescent="0.25">
      <c r="A54" s="37">
        <v>49</v>
      </c>
      <c r="B54" s="19"/>
      <c r="C54" s="37">
        <v>98</v>
      </c>
      <c r="D54" s="19"/>
      <c r="E54" s="22">
        <f t="shared" si="0"/>
        <v>147</v>
      </c>
      <c r="F54" s="19"/>
      <c r="G54" s="38">
        <v>196</v>
      </c>
      <c r="H54" s="19"/>
      <c r="I54" s="39"/>
      <c r="J54" s="40"/>
      <c r="L54" s="37">
        <v>49</v>
      </c>
      <c r="M54" s="19">
        <v>203</v>
      </c>
      <c r="N54" s="37">
        <v>98</v>
      </c>
      <c r="O54" s="19">
        <v>200.6</v>
      </c>
      <c r="P54" s="22">
        <f t="shared" si="1"/>
        <v>147</v>
      </c>
      <c r="Q54" s="19">
        <v>195</v>
      </c>
      <c r="R54" s="38">
        <v>196</v>
      </c>
      <c r="S54" s="19">
        <v>201.7</v>
      </c>
      <c r="T54" s="39"/>
      <c r="U54" s="40"/>
      <c r="W54" s="37">
        <v>49</v>
      </c>
      <c r="X54" s="19"/>
      <c r="Y54" s="37">
        <v>98</v>
      </c>
      <c r="Z54" s="19"/>
      <c r="AA54" s="22">
        <f t="shared" si="2"/>
        <v>147</v>
      </c>
      <c r="AB54" s="19"/>
      <c r="AC54" s="38">
        <v>196</v>
      </c>
      <c r="AD54" s="19"/>
      <c r="AE54" s="39"/>
      <c r="AF54" s="40"/>
      <c r="AH54" s="37">
        <v>49</v>
      </c>
      <c r="AI54" s="19">
        <v>203</v>
      </c>
      <c r="AJ54" s="37">
        <v>98</v>
      </c>
      <c r="AK54" s="19">
        <v>200.6</v>
      </c>
      <c r="AL54" s="22">
        <f t="shared" si="3"/>
        <v>147</v>
      </c>
      <c r="AM54" s="19">
        <v>195</v>
      </c>
      <c r="AN54" s="38">
        <v>196</v>
      </c>
      <c r="AO54" s="19"/>
      <c r="AP54" s="39"/>
      <c r="AQ54" s="40"/>
      <c r="AS54" s="37">
        <v>49</v>
      </c>
      <c r="AT54" s="19"/>
      <c r="AU54" s="37">
        <v>98</v>
      </c>
      <c r="AV54" s="19"/>
      <c r="AW54" s="22">
        <f t="shared" si="4"/>
        <v>147</v>
      </c>
      <c r="AX54" s="19"/>
      <c r="AY54" s="38">
        <v>196</v>
      </c>
      <c r="AZ54" s="19">
        <v>201.7</v>
      </c>
      <c r="BA54" s="39"/>
      <c r="BB54" s="40"/>
    </row>
    <row r="55" spans="1:54" ht="15.75" x14ac:dyDescent="0.25">
      <c r="A55" s="41"/>
      <c r="B55" s="23">
        <f>SUM(B6:B54)</f>
        <v>209.1</v>
      </c>
      <c r="C55" s="23"/>
      <c r="D55" s="23">
        <f>SUM(D6:D54)</f>
        <v>0</v>
      </c>
      <c r="E55" s="23"/>
      <c r="F55" s="23">
        <f>SUM(F6:F54)</f>
        <v>0</v>
      </c>
      <c r="G55" s="23"/>
      <c r="H55" s="23">
        <f>SUM(H6:H54)</f>
        <v>0</v>
      </c>
      <c r="I55" s="41"/>
      <c r="J55" s="41">
        <f>SUM(J6:J54)</f>
        <v>0</v>
      </c>
      <c r="L55" s="41"/>
      <c r="M55" s="23">
        <f>SUM(M6:M54)</f>
        <v>9787.8000000000011</v>
      </c>
      <c r="N55" s="23"/>
      <c r="O55" s="23">
        <f>SUM(O6:O54)</f>
        <v>9769.7000000000007</v>
      </c>
      <c r="P55" s="23"/>
      <c r="Q55" s="23">
        <f>SUM(Q6:Q54)</f>
        <v>9901.6</v>
      </c>
      <c r="R55" s="23"/>
      <c r="S55" s="23">
        <f>SUM(S6:S54)</f>
        <v>9754.3000000000011</v>
      </c>
      <c r="T55" s="41"/>
      <c r="U55" s="41">
        <f>SUM(U6:U54)</f>
        <v>4831.6000000000004</v>
      </c>
      <c r="W55" s="41"/>
      <c r="X55" s="23">
        <f>SUM(X6:X54)</f>
        <v>209.1</v>
      </c>
      <c r="Y55" s="23"/>
      <c r="Z55" s="23">
        <f>SUM(Z6:Z54)</f>
        <v>0</v>
      </c>
      <c r="AA55" s="23"/>
      <c r="AB55" s="23">
        <f>SUM(AB6:AB54)</f>
        <v>0</v>
      </c>
      <c r="AC55" s="23"/>
      <c r="AD55" s="23">
        <f>SUM(AD6:AD54)</f>
        <v>0</v>
      </c>
      <c r="AE55" s="41"/>
      <c r="AF55" s="41">
        <f>SUM(AF6:AF54)</f>
        <v>0</v>
      </c>
      <c r="AH55" s="41"/>
      <c r="AI55" s="23">
        <f>SUM(AI6:AI54)</f>
        <v>9787.8000000000011</v>
      </c>
      <c r="AJ55" s="23"/>
      <c r="AK55" s="23">
        <f>SUM(AK6:AK54)</f>
        <v>9769.7000000000007</v>
      </c>
      <c r="AL55" s="23"/>
      <c r="AM55" s="23">
        <f>SUM(AM6:AM54)</f>
        <v>9901.6</v>
      </c>
      <c r="AN55" s="23"/>
      <c r="AO55" s="23">
        <f>SUM(AO6:AO54)</f>
        <v>0</v>
      </c>
      <c r="AP55" s="41"/>
      <c r="AQ55" s="41">
        <f>SUM(AQ6:AQ54)</f>
        <v>0</v>
      </c>
      <c r="AS55" s="41"/>
      <c r="AT55" s="23">
        <f>SUM(AT6:AT54)</f>
        <v>0</v>
      </c>
      <c r="AU55" s="23"/>
      <c r="AV55" s="23">
        <f>SUM(AV6:AV54)</f>
        <v>0</v>
      </c>
      <c r="AW55" s="23"/>
      <c r="AX55" s="23">
        <f>SUM(AX6:AX54)</f>
        <v>0</v>
      </c>
      <c r="AY55" s="23"/>
      <c r="AZ55" s="23">
        <f>SUM(AZ6:AZ54)</f>
        <v>9754.3000000000011</v>
      </c>
      <c r="BA55" s="41"/>
      <c r="BB55" s="41">
        <f>SUM(BB6:BB54)</f>
        <v>4831.6000000000004</v>
      </c>
    </row>
    <row r="56" spans="1:54" ht="15.75" x14ac:dyDescent="0.25">
      <c r="A56" s="42" t="s">
        <v>5</v>
      </c>
      <c r="B56" s="43">
        <f>COUNT(B6:B54,D6:D54,F6:F54,H6:H54,J6:J54)</f>
        <v>1</v>
      </c>
      <c r="C56" s="13" t="s">
        <v>6</v>
      </c>
      <c r="D56" s="44"/>
      <c r="E56" s="45">
        <f>B55+D55+F55+H55+J55</f>
        <v>209.1</v>
      </c>
      <c r="F56" s="24" t="s">
        <v>7</v>
      </c>
      <c r="G56" s="1">
        <f>B56*2.1</f>
        <v>2.1</v>
      </c>
      <c r="H56" s="13" t="s">
        <v>8</v>
      </c>
      <c r="I56" s="44"/>
      <c r="J56" s="45">
        <f>E56-G56</f>
        <v>207</v>
      </c>
      <c r="L56" s="42" t="s">
        <v>5</v>
      </c>
      <c r="M56" s="43">
        <f>COUNT(M6:M54,O6:O54,Q6:Q54,S6:S54,U6:U54)</f>
        <v>219</v>
      </c>
      <c r="N56" s="13" t="s">
        <v>6</v>
      </c>
      <c r="O56" s="44"/>
      <c r="P56" s="45">
        <f>M55+O55+Q55+S55+U55</f>
        <v>44045</v>
      </c>
      <c r="Q56" s="24" t="s">
        <v>7</v>
      </c>
      <c r="R56" s="1">
        <f>M56*2.2</f>
        <v>481.8</v>
      </c>
      <c r="S56" s="13" t="s">
        <v>8</v>
      </c>
      <c r="T56" s="44"/>
      <c r="U56" s="45">
        <f>P56-R56</f>
        <v>43563.199999999997</v>
      </c>
      <c r="W56" s="42" t="s">
        <v>5</v>
      </c>
      <c r="X56" s="43">
        <f>COUNT(X6:X54,Z6:Z54,AB6:AB54,AD6:AD54,AF6:AF54)</f>
        <v>1</v>
      </c>
      <c r="Y56" s="13" t="s">
        <v>6</v>
      </c>
      <c r="Z56" s="44"/>
      <c r="AA56" s="45">
        <f>X55+Z55+AB55+AD55+AF55</f>
        <v>209.1</v>
      </c>
      <c r="AB56" s="24" t="s">
        <v>7</v>
      </c>
      <c r="AC56" s="1">
        <f>X56*2.1</f>
        <v>2.1</v>
      </c>
      <c r="AD56" s="13" t="s">
        <v>8</v>
      </c>
      <c r="AE56" s="44"/>
      <c r="AF56" s="45">
        <f>AA56-AC56</f>
        <v>207</v>
      </c>
      <c r="AH56" s="42" t="s">
        <v>5</v>
      </c>
      <c r="AI56" s="43">
        <f>COUNT(AI6:AI54,AK6:AK54,AM6:AM54,AO6:AO54,AQ6:AQ54)</f>
        <v>146</v>
      </c>
      <c r="AJ56" s="13" t="s">
        <v>6</v>
      </c>
      <c r="AK56" s="44"/>
      <c r="AL56" s="45">
        <f>AI55+AK55+AM55+AO55+AQ55</f>
        <v>29459.1</v>
      </c>
      <c r="AM56" s="24" t="s">
        <v>7</v>
      </c>
      <c r="AN56" s="1">
        <f>AI56*2.2</f>
        <v>321.20000000000005</v>
      </c>
      <c r="AO56" s="13" t="s">
        <v>8</v>
      </c>
      <c r="AP56" s="44"/>
      <c r="AQ56" s="45">
        <f>AL56-AN56</f>
        <v>29137.899999999998</v>
      </c>
      <c r="AS56" s="42" t="s">
        <v>5</v>
      </c>
      <c r="AT56" s="43">
        <f>COUNT(AT6:AT54,AV6:AV54,AX6:AX54,AZ6:AZ54,BB6:BB54)</f>
        <v>73</v>
      </c>
      <c r="AU56" s="13" t="s">
        <v>6</v>
      </c>
      <c r="AV56" s="44"/>
      <c r="AW56" s="45">
        <f>AT55+AV55+AX55+AZ55+BB55</f>
        <v>14585.900000000001</v>
      </c>
      <c r="AX56" s="24" t="s">
        <v>7</v>
      </c>
      <c r="AY56" s="1">
        <f>AT56*2.2</f>
        <v>160.60000000000002</v>
      </c>
      <c r="AZ56" s="13" t="s">
        <v>8</v>
      </c>
      <c r="BA56" s="44"/>
      <c r="BB56" s="45">
        <f>AW56-AY56</f>
        <v>14425.300000000001</v>
      </c>
    </row>
    <row r="57" spans="1:54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  <c r="L57" s="42" t="s">
        <v>9</v>
      </c>
      <c r="M57" s="25"/>
      <c r="N57" s="46"/>
      <c r="O57" s="44"/>
      <c r="P57" s="47"/>
      <c r="Q57" s="25"/>
      <c r="R57" s="48"/>
      <c r="S57" s="46"/>
      <c r="T57" s="44"/>
      <c r="U57" s="49"/>
      <c r="W57" s="42" t="s">
        <v>9</v>
      </c>
      <c r="X57" s="25"/>
      <c r="Y57" s="46"/>
      <c r="Z57" s="44"/>
      <c r="AA57" s="47"/>
      <c r="AB57" s="25"/>
      <c r="AC57" s="48"/>
      <c r="AD57" s="46"/>
      <c r="AE57" s="44"/>
      <c r="AF57" s="49"/>
      <c r="AH57" s="42" t="s">
        <v>9</v>
      </c>
      <c r="AI57" s="25"/>
      <c r="AJ57" s="46"/>
      <c r="AK57" s="44"/>
      <c r="AL57" s="47"/>
      <c r="AM57" s="25"/>
      <c r="AN57" s="48"/>
      <c r="AO57" s="46"/>
      <c r="AP57" s="44"/>
      <c r="AQ57" s="49"/>
      <c r="AS57" s="42" t="s">
        <v>9</v>
      </c>
      <c r="AT57" s="25"/>
      <c r="AU57" s="46"/>
      <c r="AV57" s="44"/>
      <c r="AW57" s="47"/>
      <c r="AX57" s="25"/>
      <c r="AY57" s="48"/>
      <c r="AZ57" s="46"/>
      <c r="BA57" s="44"/>
      <c r="BB57" s="49"/>
    </row>
    <row r="58" spans="1:54" x14ac:dyDescent="0.25">
      <c r="F58" s="112" t="s">
        <v>60</v>
      </c>
      <c r="G58" s="112">
        <v>2.1</v>
      </c>
      <c r="Q58" s="112" t="s">
        <v>60</v>
      </c>
      <c r="R58" s="112">
        <v>2.2000000000000002</v>
      </c>
      <c r="AB58" t="s">
        <v>60</v>
      </c>
      <c r="AC58">
        <v>2.1</v>
      </c>
      <c r="AM58" t="s">
        <v>60</v>
      </c>
      <c r="AN58">
        <v>2.2000000000000002</v>
      </c>
      <c r="AX58" s="112" t="s">
        <v>60</v>
      </c>
      <c r="AY58" s="112">
        <v>2.2000000000000002</v>
      </c>
    </row>
  </sheetData>
  <protectedRanges>
    <protectedRange password="CCE1" sqref="C6:C54 G6:G54 I6:I29 N6:N54 R6:R54 P6:P54 T6:T29 Y6:Y54 AC6:AC54 AA6:AA54 AE6:AE29 AJ6:AJ54 AN6:AN54 AL6:AL54 AP6:AP29 E6:E54 AU6:AU54 AY6:AY54 AW6:AW54 BA6:BA29" name="Диапазон1_3_1_7_2_1_1_1_1_1_1_1"/>
  </protectedRanges>
  <mergeCells count="10">
    <mergeCell ref="A1:J1"/>
    <mergeCell ref="I4:J4"/>
    <mergeCell ref="L1:U1"/>
    <mergeCell ref="T4:U4"/>
    <mergeCell ref="W1:AF1"/>
    <mergeCell ref="AS1:BB1"/>
    <mergeCell ref="BA4:BB4"/>
    <mergeCell ref="AH1:AQ1"/>
    <mergeCell ref="AE4:AF4"/>
    <mergeCell ref="AP4:AQ4"/>
  </mergeCells>
  <pageMargins left="0.7" right="0.7" top="0.75" bottom="0.75" header="0.3" footer="0.3"/>
  <pageSetup paperSize="9" scale="82" orientation="portrait" verticalDpi="0" r:id="rId1"/>
  <colBreaks count="4" manualBreakCount="4">
    <brk id="10" max="1048575" man="1"/>
    <brk id="21" max="1048575" man="1"/>
    <brk id="32" max="1048575" man="1"/>
    <brk id="43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7"/>
  <sheetViews>
    <sheetView topLeftCell="D5" zoomScaleNormal="100" workbookViewId="0">
      <selection activeCell="U5" sqref="U5"/>
    </sheetView>
  </sheetViews>
  <sheetFormatPr defaultRowHeight="15" x14ac:dyDescent="0.25"/>
  <cols>
    <col min="11" max="11" width="1.7109375" customWidth="1"/>
  </cols>
  <sheetData>
    <row r="1" spans="1:21" ht="18.75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L1" s="204" t="s">
        <v>0</v>
      </c>
      <c r="M1" s="204"/>
      <c r="N1" s="204"/>
      <c r="O1" s="204"/>
      <c r="P1" s="204"/>
      <c r="Q1" s="204"/>
      <c r="R1" s="204"/>
      <c r="S1" s="204"/>
      <c r="T1" s="204"/>
      <c r="U1" s="204"/>
    </row>
    <row r="2" spans="1:21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  <c r="L2" s="13" t="s">
        <v>1</v>
      </c>
      <c r="M2" s="13"/>
      <c r="N2" s="13"/>
      <c r="O2" s="13"/>
      <c r="P2" s="13"/>
      <c r="Q2" s="13"/>
      <c r="R2" s="27"/>
      <c r="S2" s="13"/>
      <c r="T2" s="13"/>
      <c r="U2" s="13"/>
    </row>
    <row r="3" spans="1:21" ht="15.75" x14ac:dyDescent="0.25">
      <c r="A3" s="25" t="s">
        <v>2</v>
      </c>
      <c r="B3" s="27">
        <v>206</v>
      </c>
      <c r="C3" s="14"/>
      <c r="D3" s="15"/>
      <c r="E3" s="16"/>
      <c r="F3" s="16"/>
      <c r="G3" s="16"/>
      <c r="H3" s="16"/>
      <c r="I3" s="16" t="s">
        <v>33</v>
      </c>
      <c r="J3" s="16"/>
      <c r="L3" s="25" t="s">
        <v>2</v>
      </c>
      <c r="M3" s="27">
        <v>206</v>
      </c>
      <c r="N3" s="14"/>
      <c r="O3" s="15"/>
      <c r="P3" s="16"/>
      <c r="Q3" s="16"/>
      <c r="R3" s="16"/>
      <c r="S3" s="16"/>
      <c r="T3" s="16" t="s">
        <v>33</v>
      </c>
      <c r="U3" s="16"/>
    </row>
    <row r="4" spans="1:21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  <c r="L4" s="17"/>
      <c r="M4" s="17"/>
      <c r="N4" s="17"/>
      <c r="O4" s="17"/>
      <c r="P4" s="17"/>
      <c r="Q4" s="17"/>
      <c r="R4" s="17"/>
      <c r="S4" s="28"/>
      <c r="T4" s="205" t="s">
        <v>47</v>
      </c>
      <c r="U4" s="206"/>
    </row>
    <row r="5" spans="1:21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  <c r="L5" s="29" t="s">
        <v>3</v>
      </c>
      <c r="M5" s="18" t="s">
        <v>4</v>
      </c>
      <c r="N5" s="29" t="s">
        <v>3</v>
      </c>
      <c r="O5" s="18" t="s">
        <v>4</v>
      </c>
      <c r="P5" s="29" t="s">
        <v>3</v>
      </c>
      <c r="Q5" s="18" t="s">
        <v>4</v>
      </c>
      <c r="R5" s="29" t="s">
        <v>3</v>
      </c>
      <c r="S5" s="30" t="s">
        <v>4</v>
      </c>
      <c r="T5" s="31" t="s">
        <v>3</v>
      </c>
      <c r="U5" s="32" t="s">
        <v>4</v>
      </c>
    </row>
    <row r="6" spans="1:21" ht="15.75" x14ac:dyDescent="0.25">
      <c r="A6" s="22">
        <v>1</v>
      </c>
      <c r="B6" s="19">
        <v>216.7</v>
      </c>
      <c r="C6" s="22">
        <v>50</v>
      </c>
      <c r="D6" s="19">
        <v>208.3</v>
      </c>
      <c r="E6" s="22">
        <v>99</v>
      </c>
      <c r="F6" s="19"/>
      <c r="G6" s="33">
        <v>148</v>
      </c>
      <c r="H6" s="19"/>
      <c r="I6" s="34">
        <v>197</v>
      </c>
      <c r="J6" s="19"/>
      <c r="L6" s="22">
        <v>1</v>
      </c>
      <c r="M6" s="19">
        <v>216.7</v>
      </c>
      <c r="N6" s="22">
        <v>50</v>
      </c>
      <c r="O6" s="19">
        <v>208.3</v>
      </c>
      <c r="P6" s="22">
        <v>99</v>
      </c>
      <c r="Q6" s="19"/>
      <c r="R6" s="33">
        <v>148</v>
      </c>
      <c r="S6" s="19"/>
      <c r="T6" s="34">
        <v>197</v>
      </c>
      <c r="U6" s="19"/>
    </row>
    <row r="7" spans="1:21" ht="15.75" x14ac:dyDescent="0.25">
      <c r="A7" s="22">
        <v>2</v>
      </c>
      <c r="B7" s="19">
        <v>204.4</v>
      </c>
      <c r="C7" s="22">
        <v>51</v>
      </c>
      <c r="D7" s="19">
        <v>209.2</v>
      </c>
      <c r="E7" s="22">
        <v>100</v>
      </c>
      <c r="F7" s="19"/>
      <c r="G7" s="33">
        <v>149</v>
      </c>
      <c r="H7" s="19"/>
      <c r="I7" s="33">
        <v>198</v>
      </c>
      <c r="J7" s="19"/>
      <c r="L7" s="22">
        <v>2</v>
      </c>
      <c r="M7" s="19">
        <v>204.4</v>
      </c>
      <c r="N7" s="22">
        <v>51</v>
      </c>
      <c r="O7" s="19">
        <v>209.2</v>
      </c>
      <c r="P7" s="22">
        <v>100</v>
      </c>
      <c r="Q7" s="19"/>
      <c r="R7" s="33">
        <v>149</v>
      </c>
      <c r="S7" s="19"/>
      <c r="T7" s="33">
        <v>198</v>
      </c>
      <c r="U7" s="19"/>
    </row>
    <row r="8" spans="1:21" ht="15.75" x14ac:dyDescent="0.25">
      <c r="A8" s="22">
        <v>3</v>
      </c>
      <c r="B8" s="19">
        <v>210.9</v>
      </c>
      <c r="C8" s="22">
        <v>52</v>
      </c>
      <c r="D8" s="19">
        <v>212.4</v>
      </c>
      <c r="E8" s="22">
        <f t="shared" ref="E8:E54" si="0">+E7+1</f>
        <v>101</v>
      </c>
      <c r="F8" s="19"/>
      <c r="G8" s="33">
        <v>150</v>
      </c>
      <c r="H8" s="19"/>
      <c r="I8" s="33">
        <v>199</v>
      </c>
      <c r="J8" s="19"/>
      <c r="L8" s="22">
        <v>3</v>
      </c>
      <c r="M8" s="19">
        <v>210.9</v>
      </c>
      <c r="N8" s="22">
        <v>52</v>
      </c>
      <c r="O8" s="19">
        <v>212.4</v>
      </c>
      <c r="P8" s="22">
        <f t="shared" ref="P8:P54" si="1">+P7+1</f>
        <v>101</v>
      </c>
      <c r="Q8" s="19"/>
      <c r="R8" s="33">
        <v>150</v>
      </c>
      <c r="S8" s="19"/>
      <c r="T8" s="33">
        <v>199</v>
      </c>
      <c r="U8" s="19"/>
    </row>
    <row r="9" spans="1:21" ht="15.75" x14ac:dyDescent="0.25">
      <c r="A9" s="22">
        <v>4</v>
      </c>
      <c r="B9" s="19">
        <v>210</v>
      </c>
      <c r="C9" s="22">
        <v>53</v>
      </c>
      <c r="D9" s="19">
        <v>213.2</v>
      </c>
      <c r="E9" s="22">
        <f t="shared" si="0"/>
        <v>102</v>
      </c>
      <c r="F9" s="19"/>
      <c r="G9" s="33">
        <v>151</v>
      </c>
      <c r="H9" s="19"/>
      <c r="I9" s="33">
        <v>200</v>
      </c>
      <c r="J9" s="19"/>
      <c r="L9" s="22">
        <v>4</v>
      </c>
      <c r="M9" s="19">
        <v>210</v>
      </c>
      <c r="N9" s="22">
        <v>53</v>
      </c>
      <c r="O9" s="19">
        <v>213.2</v>
      </c>
      <c r="P9" s="22">
        <f t="shared" si="1"/>
        <v>102</v>
      </c>
      <c r="Q9" s="19"/>
      <c r="R9" s="33">
        <v>151</v>
      </c>
      <c r="S9" s="19"/>
      <c r="T9" s="33">
        <v>200</v>
      </c>
      <c r="U9" s="19"/>
    </row>
    <row r="10" spans="1:21" ht="15.75" x14ac:dyDescent="0.25">
      <c r="A10" s="22">
        <v>5</v>
      </c>
      <c r="B10" s="19">
        <v>213.3</v>
      </c>
      <c r="C10" s="22">
        <v>54</v>
      </c>
      <c r="D10" s="19">
        <v>217.1</v>
      </c>
      <c r="E10" s="22">
        <f t="shared" si="0"/>
        <v>103</v>
      </c>
      <c r="F10" s="19"/>
      <c r="G10" s="33">
        <v>152</v>
      </c>
      <c r="H10" s="19"/>
      <c r="I10" s="33">
        <v>201</v>
      </c>
      <c r="J10" s="19"/>
      <c r="L10" s="22">
        <v>5</v>
      </c>
      <c r="M10" s="19">
        <v>213.3</v>
      </c>
      <c r="N10" s="22">
        <v>54</v>
      </c>
      <c r="O10" s="19">
        <v>217.1</v>
      </c>
      <c r="P10" s="22">
        <f t="shared" si="1"/>
        <v>103</v>
      </c>
      <c r="Q10" s="19"/>
      <c r="R10" s="33">
        <v>152</v>
      </c>
      <c r="S10" s="19"/>
      <c r="T10" s="33">
        <v>201</v>
      </c>
      <c r="U10" s="19"/>
    </row>
    <row r="11" spans="1:21" ht="15.75" x14ac:dyDescent="0.25">
      <c r="A11" s="22">
        <v>6</v>
      </c>
      <c r="B11" s="19">
        <v>205.8</v>
      </c>
      <c r="C11" s="22">
        <v>55</v>
      </c>
      <c r="D11" s="19">
        <v>206.5</v>
      </c>
      <c r="E11" s="22">
        <f t="shared" si="0"/>
        <v>104</v>
      </c>
      <c r="F11" s="19"/>
      <c r="G11" s="33">
        <v>153</v>
      </c>
      <c r="H11" s="19"/>
      <c r="I11" s="33">
        <v>202</v>
      </c>
      <c r="J11" s="19"/>
      <c r="L11" s="22">
        <v>6</v>
      </c>
      <c r="M11" s="19">
        <v>205.8</v>
      </c>
      <c r="N11" s="22">
        <v>55</v>
      </c>
      <c r="O11" s="19">
        <v>206.5</v>
      </c>
      <c r="P11" s="22">
        <f t="shared" si="1"/>
        <v>104</v>
      </c>
      <c r="Q11" s="19"/>
      <c r="R11" s="33">
        <v>153</v>
      </c>
      <c r="S11" s="19"/>
      <c r="T11" s="33">
        <v>202</v>
      </c>
      <c r="U11" s="19"/>
    </row>
    <row r="12" spans="1:21" ht="15.75" x14ac:dyDescent="0.25">
      <c r="A12" s="22">
        <v>7</v>
      </c>
      <c r="B12" s="19">
        <v>208</v>
      </c>
      <c r="C12" s="22">
        <v>56</v>
      </c>
      <c r="D12" s="19">
        <v>212.2</v>
      </c>
      <c r="E12" s="22">
        <f t="shared" si="0"/>
        <v>105</v>
      </c>
      <c r="F12" s="19"/>
      <c r="G12" s="33">
        <v>154</v>
      </c>
      <c r="H12" s="19"/>
      <c r="I12" s="33">
        <v>203</v>
      </c>
      <c r="J12" s="19"/>
      <c r="L12" s="22">
        <v>7</v>
      </c>
      <c r="M12" s="19">
        <v>208</v>
      </c>
      <c r="N12" s="22">
        <v>56</v>
      </c>
      <c r="O12" s="19">
        <v>212.2</v>
      </c>
      <c r="P12" s="22">
        <f t="shared" si="1"/>
        <v>105</v>
      </c>
      <c r="Q12" s="19"/>
      <c r="R12" s="33">
        <v>154</v>
      </c>
      <c r="S12" s="19"/>
      <c r="T12" s="33">
        <v>203</v>
      </c>
      <c r="U12" s="19"/>
    </row>
    <row r="13" spans="1:21" ht="15.75" x14ac:dyDescent="0.25">
      <c r="A13" s="22">
        <v>8</v>
      </c>
      <c r="B13" s="19">
        <v>202</v>
      </c>
      <c r="C13" s="22">
        <v>57</v>
      </c>
      <c r="D13" s="19">
        <v>200.5</v>
      </c>
      <c r="E13" s="22">
        <f t="shared" si="0"/>
        <v>106</v>
      </c>
      <c r="F13" s="19"/>
      <c r="G13" s="33">
        <v>155</v>
      </c>
      <c r="H13" s="19"/>
      <c r="I13" s="33">
        <v>204</v>
      </c>
      <c r="J13" s="19"/>
      <c r="L13" s="22">
        <v>8</v>
      </c>
      <c r="M13" s="19">
        <v>202</v>
      </c>
      <c r="N13" s="22">
        <v>57</v>
      </c>
      <c r="O13" s="19">
        <v>200.5</v>
      </c>
      <c r="P13" s="22">
        <f t="shared" si="1"/>
        <v>106</v>
      </c>
      <c r="Q13" s="19"/>
      <c r="R13" s="33">
        <v>155</v>
      </c>
      <c r="S13" s="19"/>
      <c r="T13" s="33">
        <v>204</v>
      </c>
      <c r="U13" s="19"/>
    </row>
    <row r="14" spans="1:21" ht="15.75" x14ac:dyDescent="0.25">
      <c r="A14" s="22">
        <v>9</v>
      </c>
      <c r="B14" s="19">
        <v>220</v>
      </c>
      <c r="C14" s="22">
        <v>58</v>
      </c>
      <c r="D14" s="19">
        <v>199.6</v>
      </c>
      <c r="E14" s="22">
        <f t="shared" si="0"/>
        <v>107</v>
      </c>
      <c r="F14" s="19"/>
      <c r="G14" s="33">
        <v>156</v>
      </c>
      <c r="H14" s="19"/>
      <c r="I14" s="33">
        <v>205</v>
      </c>
      <c r="J14" s="19"/>
      <c r="L14" s="22">
        <v>9</v>
      </c>
      <c r="M14" s="19">
        <v>220</v>
      </c>
      <c r="N14" s="22">
        <v>58</v>
      </c>
      <c r="O14" s="19">
        <v>199.6</v>
      </c>
      <c r="P14" s="22">
        <f t="shared" si="1"/>
        <v>107</v>
      </c>
      <c r="Q14" s="19"/>
      <c r="R14" s="33">
        <v>156</v>
      </c>
      <c r="S14" s="19"/>
      <c r="T14" s="33">
        <v>205</v>
      </c>
      <c r="U14" s="19"/>
    </row>
    <row r="15" spans="1:21" ht="15.75" x14ac:dyDescent="0.25">
      <c r="A15" s="22">
        <v>10</v>
      </c>
      <c r="B15" s="19">
        <v>204.7</v>
      </c>
      <c r="C15" s="22">
        <v>59</v>
      </c>
      <c r="D15" s="19">
        <v>206.8</v>
      </c>
      <c r="E15" s="22">
        <f t="shared" si="0"/>
        <v>108</v>
      </c>
      <c r="F15" s="19"/>
      <c r="G15" s="33">
        <v>157</v>
      </c>
      <c r="H15" s="19"/>
      <c r="I15" s="33">
        <v>206</v>
      </c>
      <c r="J15" s="19"/>
      <c r="L15" s="22">
        <v>10</v>
      </c>
      <c r="M15" s="19">
        <v>204.7</v>
      </c>
      <c r="N15" s="22">
        <v>59</v>
      </c>
      <c r="O15" s="19">
        <v>206.8</v>
      </c>
      <c r="P15" s="22">
        <f t="shared" si="1"/>
        <v>108</v>
      </c>
      <c r="Q15" s="19"/>
      <c r="R15" s="33">
        <v>157</v>
      </c>
      <c r="S15" s="19"/>
      <c r="T15" s="33">
        <v>206</v>
      </c>
      <c r="U15" s="19"/>
    </row>
    <row r="16" spans="1:21" ht="15.75" x14ac:dyDescent="0.25">
      <c r="A16" s="22">
        <v>11</v>
      </c>
      <c r="B16" s="19">
        <v>210</v>
      </c>
      <c r="C16" s="22">
        <v>60</v>
      </c>
      <c r="D16" s="19">
        <v>213.2</v>
      </c>
      <c r="E16" s="22">
        <f t="shared" si="0"/>
        <v>109</v>
      </c>
      <c r="F16" s="19"/>
      <c r="G16" s="33">
        <v>158</v>
      </c>
      <c r="H16" s="19"/>
      <c r="I16" s="33">
        <v>207</v>
      </c>
      <c r="J16" s="19"/>
      <c r="L16" s="22">
        <v>11</v>
      </c>
      <c r="M16" s="19">
        <v>210</v>
      </c>
      <c r="N16" s="22">
        <v>60</v>
      </c>
      <c r="O16" s="19">
        <v>213.2</v>
      </c>
      <c r="P16" s="22">
        <f t="shared" si="1"/>
        <v>109</v>
      </c>
      <c r="Q16" s="19"/>
      <c r="R16" s="33">
        <v>158</v>
      </c>
      <c r="S16" s="19"/>
      <c r="T16" s="33">
        <v>207</v>
      </c>
      <c r="U16" s="19"/>
    </row>
    <row r="17" spans="1:21" ht="15.75" x14ac:dyDescent="0.25">
      <c r="A17" s="22">
        <v>12</v>
      </c>
      <c r="B17" s="19">
        <v>219.5</v>
      </c>
      <c r="C17" s="22">
        <v>61</v>
      </c>
      <c r="D17" s="19">
        <v>206</v>
      </c>
      <c r="E17" s="22">
        <f t="shared" si="0"/>
        <v>110</v>
      </c>
      <c r="F17" s="19"/>
      <c r="G17" s="33">
        <v>159</v>
      </c>
      <c r="H17" s="19"/>
      <c r="I17" s="33">
        <v>208</v>
      </c>
      <c r="J17" s="19"/>
      <c r="L17" s="22">
        <v>12</v>
      </c>
      <c r="M17" s="19">
        <v>219.5</v>
      </c>
      <c r="N17" s="22">
        <v>61</v>
      </c>
      <c r="O17" s="19">
        <v>206</v>
      </c>
      <c r="P17" s="22">
        <f t="shared" si="1"/>
        <v>110</v>
      </c>
      <c r="Q17" s="19"/>
      <c r="R17" s="33">
        <v>159</v>
      </c>
      <c r="S17" s="19"/>
      <c r="T17" s="33">
        <v>208</v>
      </c>
      <c r="U17" s="19"/>
    </row>
    <row r="18" spans="1:21" ht="15.75" x14ac:dyDescent="0.25">
      <c r="A18" s="22">
        <v>13</v>
      </c>
      <c r="B18" s="19">
        <v>212</v>
      </c>
      <c r="C18" s="22">
        <v>62</v>
      </c>
      <c r="D18" s="19">
        <v>202.9</v>
      </c>
      <c r="E18" s="22">
        <f t="shared" si="0"/>
        <v>111</v>
      </c>
      <c r="F18" s="19"/>
      <c r="G18" s="33">
        <v>160</v>
      </c>
      <c r="H18" s="19"/>
      <c r="I18" s="33">
        <v>209</v>
      </c>
      <c r="J18" s="19"/>
      <c r="L18" s="22">
        <v>13</v>
      </c>
      <c r="M18" s="19">
        <v>212</v>
      </c>
      <c r="N18" s="22">
        <v>62</v>
      </c>
      <c r="O18" s="19">
        <v>202.9</v>
      </c>
      <c r="P18" s="22">
        <f t="shared" si="1"/>
        <v>111</v>
      </c>
      <c r="Q18" s="19"/>
      <c r="R18" s="33">
        <v>160</v>
      </c>
      <c r="S18" s="19"/>
      <c r="T18" s="33">
        <v>209</v>
      </c>
      <c r="U18" s="19"/>
    </row>
    <row r="19" spans="1:21" ht="15.75" x14ac:dyDescent="0.25">
      <c r="A19" s="22">
        <v>14</v>
      </c>
      <c r="B19" s="19">
        <v>212.3</v>
      </c>
      <c r="C19" s="22">
        <v>63</v>
      </c>
      <c r="D19" s="19">
        <v>198.5</v>
      </c>
      <c r="E19" s="22">
        <f t="shared" si="0"/>
        <v>112</v>
      </c>
      <c r="F19" s="19"/>
      <c r="G19" s="33">
        <v>161</v>
      </c>
      <c r="H19" s="19"/>
      <c r="I19" s="33">
        <v>210</v>
      </c>
      <c r="J19" s="19"/>
      <c r="L19" s="22">
        <v>14</v>
      </c>
      <c r="M19" s="19">
        <v>212.3</v>
      </c>
      <c r="N19" s="22">
        <v>63</v>
      </c>
      <c r="O19" s="19">
        <v>198.5</v>
      </c>
      <c r="P19" s="22">
        <f t="shared" si="1"/>
        <v>112</v>
      </c>
      <c r="Q19" s="19"/>
      <c r="R19" s="33">
        <v>161</v>
      </c>
      <c r="S19" s="19"/>
      <c r="T19" s="33">
        <v>210</v>
      </c>
      <c r="U19" s="19"/>
    </row>
    <row r="20" spans="1:21" ht="15.75" x14ac:dyDescent="0.25">
      <c r="A20" s="22">
        <v>15</v>
      </c>
      <c r="B20" s="19">
        <v>208</v>
      </c>
      <c r="C20" s="22">
        <v>64</v>
      </c>
      <c r="D20" s="19">
        <v>213.6</v>
      </c>
      <c r="E20" s="22">
        <f t="shared" si="0"/>
        <v>113</v>
      </c>
      <c r="F20" s="19"/>
      <c r="G20" s="35">
        <v>162</v>
      </c>
      <c r="H20" s="19"/>
      <c r="I20" s="33">
        <v>211</v>
      </c>
      <c r="J20" s="19"/>
      <c r="L20" s="22">
        <v>15</v>
      </c>
      <c r="M20" s="19">
        <v>208</v>
      </c>
      <c r="N20" s="22">
        <v>64</v>
      </c>
      <c r="O20" s="19">
        <v>213.6</v>
      </c>
      <c r="P20" s="22">
        <f t="shared" si="1"/>
        <v>113</v>
      </c>
      <c r="Q20" s="19"/>
      <c r="R20" s="35">
        <v>162</v>
      </c>
      <c r="S20" s="19"/>
      <c r="T20" s="33">
        <v>211</v>
      </c>
      <c r="U20" s="19"/>
    </row>
    <row r="21" spans="1:21" ht="15.75" x14ac:dyDescent="0.25">
      <c r="A21" s="22">
        <v>16</v>
      </c>
      <c r="B21" s="19">
        <v>208.8</v>
      </c>
      <c r="C21" s="22">
        <v>65</v>
      </c>
      <c r="D21" s="19"/>
      <c r="E21" s="22">
        <f t="shared" si="0"/>
        <v>114</v>
      </c>
      <c r="F21" s="19"/>
      <c r="G21" s="35">
        <v>163</v>
      </c>
      <c r="H21" s="19"/>
      <c r="I21" s="33">
        <v>212</v>
      </c>
      <c r="J21" s="19"/>
      <c r="L21" s="22">
        <v>16</v>
      </c>
      <c r="M21" s="19">
        <v>208.8</v>
      </c>
      <c r="N21" s="22">
        <v>65</v>
      </c>
      <c r="O21" s="19"/>
      <c r="P21" s="22">
        <f t="shared" si="1"/>
        <v>114</v>
      </c>
      <c r="Q21" s="19"/>
      <c r="R21" s="35">
        <v>163</v>
      </c>
      <c r="S21" s="19"/>
      <c r="T21" s="33">
        <v>212</v>
      </c>
      <c r="U21" s="19"/>
    </row>
    <row r="22" spans="1:21" ht="15.75" x14ac:dyDescent="0.25">
      <c r="A22" s="22">
        <v>17</v>
      </c>
      <c r="B22" s="19">
        <v>213.3</v>
      </c>
      <c r="C22" s="22">
        <v>66</v>
      </c>
      <c r="D22" s="19"/>
      <c r="E22" s="22">
        <f t="shared" si="0"/>
        <v>115</v>
      </c>
      <c r="F22" s="19"/>
      <c r="G22" s="35">
        <v>164</v>
      </c>
      <c r="H22" s="19"/>
      <c r="I22" s="33">
        <v>213</v>
      </c>
      <c r="J22" s="19"/>
      <c r="L22" s="22">
        <v>17</v>
      </c>
      <c r="M22" s="19">
        <v>213.3</v>
      </c>
      <c r="N22" s="22">
        <v>66</v>
      </c>
      <c r="O22" s="19"/>
      <c r="P22" s="22">
        <f t="shared" si="1"/>
        <v>115</v>
      </c>
      <c r="Q22" s="19"/>
      <c r="R22" s="35">
        <v>164</v>
      </c>
      <c r="S22" s="19"/>
      <c r="T22" s="33">
        <v>213</v>
      </c>
      <c r="U22" s="19"/>
    </row>
    <row r="23" spans="1:21" ht="15.75" x14ac:dyDescent="0.25">
      <c r="A23" s="22">
        <v>18</v>
      </c>
      <c r="B23" s="19">
        <v>202.1</v>
      </c>
      <c r="C23" s="22">
        <v>67</v>
      </c>
      <c r="D23" s="19"/>
      <c r="E23" s="22">
        <f t="shared" si="0"/>
        <v>116</v>
      </c>
      <c r="F23" s="19"/>
      <c r="G23" s="35">
        <v>165</v>
      </c>
      <c r="H23" s="19"/>
      <c r="I23" s="33">
        <v>214</v>
      </c>
      <c r="J23" s="19"/>
      <c r="L23" s="22">
        <v>18</v>
      </c>
      <c r="M23" s="19">
        <v>202.1</v>
      </c>
      <c r="N23" s="22">
        <v>67</v>
      </c>
      <c r="O23" s="19"/>
      <c r="P23" s="22">
        <f t="shared" si="1"/>
        <v>116</v>
      </c>
      <c r="Q23" s="19"/>
      <c r="R23" s="35">
        <v>165</v>
      </c>
      <c r="S23" s="19"/>
      <c r="T23" s="33">
        <v>214</v>
      </c>
      <c r="U23" s="19"/>
    </row>
    <row r="24" spans="1:21" ht="15.75" x14ac:dyDescent="0.25">
      <c r="A24" s="22">
        <v>19</v>
      </c>
      <c r="B24" s="19">
        <v>210.1</v>
      </c>
      <c r="C24" s="22">
        <v>68</v>
      </c>
      <c r="D24" s="19"/>
      <c r="E24" s="22">
        <f t="shared" si="0"/>
        <v>117</v>
      </c>
      <c r="F24" s="19"/>
      <c r="G24" s="35">
        <v>166</v>
      </c>
      <c r="H24" s="19"/>
      <c r="I24" s="33">
        <v>215</v>
      </c>
      <c r="J24" s="19"/>
      <c r="L24" s="22">
        <v>19</v>
      </c>
      <c r="M24" s="19">
        <v>210.1</v>
      </c>
      <c r="N24" s="22">
        <v>68</v>
      </c>
      <c r="O24" s="19"/>
      <c r="P24" s="22">
        <f t="shared" si="1"/>
        <v>117</v>
      </c>
      <c r="Q24" s="19"/>
      <c r="R24" s="35">
        <v>166</v>
      </c>
      <c r="S24" s="19"/>
      <c r="T24" s="33">
        <v>215</v>
      </c>
      <c r="U24" s="19"/>
    </row>
    <row r="25" spans="1:21" ht="15.75" x14ac:dyDescent="0.25">
      <c r="A25" s="22">
        <v>20</v>
      </c>
      <c r="B25" s="19">
        <v>216.4</v>
      </c>
      <c r="C25" s="22">
        <v>69</v>
      </c>
      <c r="D25" s="19"/>
      <c r="E25" s="22">
        <f t="shared" si="0"/>
        <v>118</v>
      </c>
      <c r="F25" s="19"/>
      <c r="G25" s="35">
        <v>167</v>
      </c>
      <c r="H25" s="19"/>
      <c r="I25" s="33">
        <v>216</v>
      </c>
      <c r="J25" s="19"/>
      <c r="L25" s="22">
        <v>20</v>
      </c>
      <c r="M25" s="19">
        <v>216.4</v>
      </c>
      <c r="N25" s="22">
        <v>69</v>
      </c>
      <c r="O25" s="19"/>
      <c r="P25" s="22">
        <f t="shared" si="1"/>
        <v>118</v>
      </c>
      <c r="Q25" s="19"/>
      <c r="R25" s="35">
        <v>167</v>
      </c>
      <c r="S25" s="19"/>
      <c r="T25" s="33">
        <v>216</v>
      </c>
      <c r="U25" s="19"/>
    </row>
    <row r="26" spans="1:21" ht="15.75" x14ac:dyDescent="0.25">
      <c r="A26" s="22">
        <v>21</v>
      </c>
      <c r="B26" s="19">
        <v>211.5</v>
      </c>
      <c r="C26" s="22">
        <v>70</v>
      </c>
      <c r="D26" s="19"/>
      <c r="E26" s="22">
        <f t="shared" si="0"/>
        <v>119</v>
      </c>
      <c r="F26" s="19"/>
      <c r="G26" s="35">
        <v>168</v>
      </c>
      <c r="H26" s="19"/>
      <c r="I26" s="33">
        <v>217</v>
      </c>
      <c r="J26" s="19"/>
      <c r="L26" s="22">
        <v>21</v>
      </c>
      <c r="M26" s="19">
        <v>211.5</v>
      </c>
      <c r="N26" s="22">
        <v>70</v>
      </c>
      <c r="O26" s="19"/>
      <c r="P26" s="22">
        <f t="shared" si="1"/>
        <v>119</v>
      </c>
      <c r="Q26" s="19"/>
      <c r="R26" s="35">
        <v>168</v>
      </c>
      <c r="S26" s="19"/>
      <c r="T26" s="33">
        <v>217</v>
      </c>
      <c r="U26" s="19"/>
    </row>
    <row r="27" spans="1:21" ht="15.75" x14ac:dyDescent="0.25">
      <c r="A27" s="22">
        <v>22</v>
      </c>
      <c r="B27" s="19">
        <v>214.4</v>
      </c>
      <c r="C27" s="22">
        <v>71</v>
      </c>
      <c r="D27" s="19"/>
      <c r="E27" s="22">
        <f t="shared" si="0"/>
        <v>120</v>
      </c>
      <c r="F27" s="19"/>
      <c r="G27" s="35">
        <v>169</v>
      </c>
      <c r="H27" s="19"/>
      <c r="I27" s="33">
        <v>218</v>
      </c>
      <c r="J27" s="19"/>
      <c r="L27" s="22">
        <v>22</v>
      </c>
      <c r="M27" s="19">
        <v>214.4</v>
      </c>
      <c r="N27" s="22">
        <v>71</v>
      </c>
      <c r="O27" s="19"/>
      <c r="P27" s="22">
        <f t="shared" si="1"/>
        <v>120</v>
      </c>
      <c r="Q27" s="19"/>
      <c r="R27" s="35">
        <v>169</v>
      </c>
      <c r="S27" s="19"/>
      <c r="T27" s="33">
        <v>218</v>
      </c>
      <c r="U27" s="19"/>
    </row>
    <row r="28" spans="1:21" ht="15.75" x14ac:dyDescent="0.25">
      <c r="A28" s="22">
        <v>23</v>
      </c>
      <c r="B28" s="19">
        <v>223.6</v>
      </c>
      <c r="C28" s="22">
        <v>72</v>
      </c>
      <c r="D28" s="19"/>
      <c r="E28" s="22">
        <f t="shared" si="0"/>
        <v>121</v>
      </c>
      <c r="F28" s="19"/>
      <c r="G28" s="35">
        <v>170</v>
      </c>
      <c r="H28" s="19"/>
      <c r="I28" s="33">
        <v>219</v>
      </c>
      <c r="J28" s="19"/>
      <c r="L28" s="22">
        <v>23</v>
      </c>
      <c r="M28" s="19">
        <v>223.6</v>
      </c>
      <c r="N28" s="22">
        <v>72</v>
      </c>
      <c r="O28" s="19"/>
      <c r="P28" s="22">
        <f t="shared" si="1"/>
        <v>121</v>
      </c>
      <c r="Q28" s="19"/>
      <c r="R28" s="35">
        <v>170</v>
      </c>
      <c r="S28" s="19"/>
      <c r="T28" s="33">
        <v>219</v>
      </c>
      <c r="U28" s="19"/>
    </row>
    <row r="29" spans="1:21" ht="15.75" x14ac:dyDescent="0.25">
      <c r="A29" s="22">
        <v>24</v>
      </c>
      <c r="B29" s="19">
        <v>207.2</v>
      </c>
      <c r="C29" s="22">
        <v>73</v>
      </c>
      <c r="D29" s="19"/>
      <c r="E29" s="22">
        <f t="shared" si="0"/>
        <v>122</v>
      </c>
      <c r="F29" s="19"/>
      <c r="G29" s="35">
        <v>171</v>
      </c>
      <c r="H29" s="19"/>
      <c r="I29" s="33">
        <v>220</v>
      </c>
      <c r="J29" s="19"/>
      <c r="L29" s="22">
        <v>24</v>
      </c>
      <c r="M29" s="19">
        <v>207.2</v>
      </c>
      <c r="N29" s="22">
        <v>73</v>
      </c>
      <c r="O29" s="19"/>
      <c r="P29" s="22">
        <f t="shared" si="1"/>
        <v>122</v>
      </c>
      <c r="Q29" s="19"/>
      <c r="R29" s="35">
        <v>171</v>
      </c>
      <c r="S29" s="19"/>
      <c r="T29" s="33">
        <v>220</v>
      </c>
      <c r="U29" s="19"/>
    </row>
    <row r="30" spans="1:21" ht="15.75" x14ac:dyDescent="0.25">
      <c r="A30" s="22">
        <v>25</v>
      </c>
      <c r="B30" s="19">
        <v>204</v>
      </c>
      <c r="C30" s="22">
        <v>74</v>
      </c>
      <c r="D30" s="19"/>
      <c r="E30" s="22">
        <f t="shared" si="0"/>
        <v>123</v>
      </c>
      <c r="F30" s="19"/>
      <c r="G30" s="35">
        <v>172</v>
      </c>
      <c r="H30" s="19"/>
      <c r="I30" s="20"/>
      <c r="J30" s="36"/>
      <c r="L30" s="22">
        <v>25</v>
      </c>
      <c r="M30" s="19">
        <v>204</v>
      </c>
      <c r="N30" s="22">
        <v>74</v>
      </c>
      <c r="O30" s="19"/>
      <c r="P30" s="22">
        <f t="shared" si="1"/>
        <v>123</v>
      </c>
      <c r="Q30" s="19"/>
      <c r="R30" s="35">
        <v>172</v>
      </c>
      <c r="S30" s="19"/>
      <c r="T30" s="20"/>
      <c r="U30" s="36"/>
    </row>
    <row r="31" spans="1:21" ht="15.75" x14ac:dyDescent="0.25">
      <c r="A31" s="22">
        <v>26</v>
      </c>
      <c r="B31" s="19">
        <v>201.8</v>
      </c>
      <c r="C31" s="22">
        <v>75</v>
      </c>
      <c r="D31" s="19"/>
      <c r="E31" s="22">
        <f t="shared" si="0"/>
        <v>124</v>
      </c>
      <c r="F31" s="19"/>
      <c r="G31" s="35">
        <v>173</v>
      </c>
      <c r="H31" s="19"/>
      <c r="I31" s="20"/>
      <c r="J31" s="36"/>
      <c r="L31" s="22">
        <v>26</v>
      </c>
      <c r="M31" s="19">
        <v>201.8</v>
      </c>
      <c r="N31" s="22">
        <v>75</v>
      </c>
      <c r="O31" s="19"/>
      <c r="P31" s="22">
        <f t="shared" si="1"/>
        <v>124</v>
      </c>
      <c r="Q31" s="19"/>
      <c r="R31" s="35">
        <v>173</v>
      </c>
      <c r="S31" s="19"/>
      <c r="T31" s="20"/>
      <c r="U31" s="36"/>
    </row>
    <row r="32" spans="1:21" ht="15.75" x14ac:dyDescent="0.25">
      <c r="A32" s="22">
        <v>27</v>
      </c>
      <c r="B32" s="19">
        <v>215.1</v>
      </c>
      <c r="C32" s="22">
        <v>76</v>
      </c>
      <c r="D32" s="19"/>
      <c r="E32" s="22">
        <f t="shared" si="0"/>
        <v>125</v>
      </c>
      <c r="F32" s="19"/>
      <c r="G32" s="33">
        <v>174</v>
      </c>
      <c r="H32" s="19"/>
      <c r="I32" s="21"/>
      <c r="J32" s="36"/>
      <c r="L32" s="22">
        <v>27</v>
      </c>
      <c r="M32" s="19">
        <v>215.1</v>
      </c>
      <c r="N32" s="22">
        <v>76</v>
      </c>
      <c r="O32" s="19"/>
      <c r="P32" s="22">
        <f t="shared" si="1"/>
        <v>125</v>
      </c>
      <c r="Q32" s="19"/>
      <c r="R32" s="33">
        <v>174</v>
      </c>
      <c r="S32" s="19"/>
      <c r="T32" s="21"/>
      <c r="U32" s="36"/>
    </row>
    <row r="33" spans="1:21" ht="15.75" x14ac:dyDescent="0.25">
      <c r="A33" s="22">
        <v>28</v>
      </c>
      <c r="B33" s="19">
        <v>217.2</v>
      </c>
      <c r="C33" s="22">
        <v>77</v>
      </c>
      <c r="D33" s="19"/>
      <c r="E33" s="22">
        <f t="shared" si="0"/>
        <v>126</v>
      </c>
      <c r="F33" s="19"/>
      <c r="G33" s="33">
        <v>175</v>
      </c>
      <c r="H33" s="19"/>
      <c r="I33" s="20"/>
      <c r="J33" s="36"/>
      <c r="L33" s="22">
        <v>28</v>
      </c>
      <c r="M33" s="19">
        <v>217.2</v>
      </c>
      <c r="N33" s="22">
        <v>77</v>
      </c>
      <c r="O33" s="19"/>
      <c r="P33" s="22">
        <f t="shared" si="1"/>
        <v>126</v>
      </c>
      <c r="Q33" s="19"/>
      <c r="R33" s="33">
        <v>175</v>
      </c>
      <c r="S33" s="19"/>
      <c r="T33" s="20"/>
      <c r="U33" s="36"/>
    </row>
    <row r="34" spans="1:21" ht="15.75" x14ac:dyDescent="0.25">
      <c r="A34" s="22">
        <v>29</v>
      </c>
      <c r="B34" s="19">
        <v>213</v>
      </c>
      <c r="C34" s="22">
        <v>78</v>
      </c>
      <c r="D34" s="19"/>
      <c r="E34" s="22">
        <f t="shared" si="0"/>
        <v>127</v>
      </c>
      <c r="F34" s="19"/>
      <c r="G34" s="33">
        <v>176</v>
      </c>
      <c r="H34" s="19"/>
      <c r="I34" s="20"/>
      <c r="J34" s="36"/>
      <c r="L34" s="22">
        <v>29</v>
      </c>
      <c r="M34" s="19">
        <v>213</v>
      </c>
      <c r="N34" s="22">
        <v>78</v>
      </c>
      <c r="O34" s="19"/>
      <c r="P34" s="22">
        <f t="shared" si="1"/>
        <v>127</v>
      </c>
      <c r="Q34" s="19"/>
      <c r="R34" s="33">
        <v>176</v>
      </c>
      <c r="S34" s="19"/>
      <c r="T34" s="20"/>
      <c r="U34" s="36"/>
    </row>
    <row r="35" spans="1:21" ht="15.75" x14ac:dyDescent="0.25">
      <c r="A35" s="22">
        <v>30</v>
      </c>
      <c r="B35" s="19">
        <v>209.5</v>
      </c>
      <c r="C35" s="22">
        <v>79</v>
      </c>
      <c r="D35" s="19"/>
      <c r="E35" s="22">
        <f t="shared" si="0"/>
        <v>128</v>
      </c>
      <c r="F35" s="19"/>
      <c r="G35" s="33">
        <v>177</v>
      </c>
      <c r="H35" s="19"/>
      <c r="I35" s="21"/>
      <c r="J35" s="36"/>
      <c r="L35" s="22">
        <v>30</v>
      </c>
      <c r="M35" s="19">
        <v>209.5</v>
      </c>
      <c r="N35" s="22">
        <v>79</v>
      </c>
      <c r="O35" s="19"/>
      <c r="P35" s="22">
        <f t="shared" si="1"/>
        <v>128</v>
      </c>
      <c r="Q35" s="19"/>
      <c r="R35" s="33">
        <v>177</v>
      </c>
      <c r="S35" s="19"/>
      <c r="T35" s="21"/>
      <c r="U35" s="36"/>
    </row>
    <row r="36" spans="1:21" ht="15.75" x14ac:dyDescent="0.25">
      <c r="A36" s="22">
        <v>31</v>
      </c>
      <c r="B36" s="19">
        <v>215.8</v>
      </c>
      <c r="C36" s="22">
        <v>80</v>
      </c>
      <c r="D36" s="19"/>
      <c r="E36" s="22">
        <f t="shared" si="0"/>
        <v>129</v>
      </c>
      <c r="F36" s="19"/>
      <c r="G36" s="33">
        <v>178</v>
      </c>
      <c r="H36" s="19"/>
      <c r="I36" s="20"/>
      <c r="J36" s="36"/>
      <c r="L36" s="22">
        <v>31</v>
      </c>
      <c r="M36" s="19">
        <v>215.8</v>
      </c>
      <c r="N36" s="22">
        <v>80</v>
      </c>
      <c r="O36" s="19"/>
      <c r="P36" s="22">
        <f t="shared" si="1"/>
        <v>129</v>
      </c>
      <c r="Q36" s="19"/>
      <c r="R36" s="33">
        <v>178</v>
      </c>
      <c r="S36" s="19"/>
      <c r="T36" s="20"/>
      <c r="U36" s="36"/>
    </row>
    <row r="37" spans="1:21" ht="15.75" x14ac:dyDescent="0.25">
      <c r="A37" s="22">
        <v>32</v>
      </c>
      <c r="B37" s="19">
        <v>217.7</v>
      </c>
      <c r="C37" s="22">
        <v>81</v>
      </c>
      <c r="D37" s="19"/>
      <c r="E37" s="22">
        <f t="shared" si="0"/>
        <v>130</v>
      </c>
      <c r="F37" s="19"/>
      <c r="G37" s="33">
        <v>179</v>
      </c>
      <c r="H37" s="19"/>
      <c r="I37" s="20"/>
      <c r="J37" s="36"/>
      <c r="L37" s="22">
        <v>32</v>
      </c>
      <c r="M37" s="19">
        <v>217.7</v>
      </c>
      <c r="N37" s="22">
        <v>81</v>
      </c>
      <c r="O37" s="19"/>
      <c r="P37" s="22">
        <f t="shared" si="1"/>
        <v>130</v>
      </c>
      <c r="Q37" s="19"/>
      <c r="R37" s="33">
        <v>179</v>
      </c>
      <c r="S37" s="19"/>
      <c r="T37" s="20"/>
      <c r="U37" s="36"/>
    </row>
    <row r="38" spans="1:21" ht="15.75" x14ac:dyDescent="0.25">
      <c r="A38" s="22">
        <v>33</v>
      </c>
      <c r="B38" s="19">
        <v>214.4</v>
      </c>
      <c r="C38" s="22">
        <v>82</v>
      </c>
      <c r="D38" s="19"/>
      <c r="E38" s="22">
        <f t="shared" si="0"/>
        <v>131</v>
      </c>
      <c r="F38" s="19"/>
      <c r="G38" s="33">
        <v>180</v>
      </c>
      <c r="H38" s="19"/>
      <c r="I38" s="21"/>
      <c r="J38" s="36"/>
      <c r="L38" s="22">
        <v>33</v>
      </c>
      <c r="M38" s="19">
        <v>214.4</v>
      </c>
      <c r="N38" s="22">
        <v>82</v>
      </c>
      <c r="O38" s="19"/>
      <c r="P38" s="22">
        <f t="shared" si="1"/>
        <v>131</v>
      </c>
      <c r="Q38" s="19"/>
      <c r="R38" s="33">
        <v>180</v>
      </c>
      <c r="S38" s="19"/>
      <c r="T38" s="21"/>
      <c r="U38" s="36"/>
    </row>
    <row r="39" spans="1:21" ht="15.75" x14ac:dyDescent="0.25">
      <c r="A39" s="22">
        <v>34</v>
      </c>
      <c r="B39" s="19">
        <v>217.2</v>
      </c>
      <c r="C39" s="22">
        <v>83</v>
      </c>
      <c r="D39" s="19"/>
      <c r="E39" s="22">
        <f t="shared" si="0"/>
        <v>132</v>
      </c>
      <c r="F39" s="19"/>
      <c r="G39" s="33">
        <v>181</v>
      </c>
      <c r="H39" s="19"/>
      <c r="I39" s="21"/>
      <c r="J39" s="36"/>
      <c r="L39" s="22">
        <v>34</v>
      </c>
      <c r="M39" s="19">
        <v>217.2</v>
      </c>
      <c r="N39" s="22">
        <v>83</v>
      </c>
      <c r="O39" s="19"/>
      <c r="P39" s="22">
        <f t="shared" si="1"/>
        <v>132</v>
      </c>
      <c r="Q39" s="19"/>
      <c r="R39" s="33">
        <v>181</v>
      </c>
      <c r="S39" s="19"/>
      <c r="T39" s="21"/>
      <c r="U39" s="36"/>
    </row>
    <row r="40" spans="1:21" ht="15.75" x14ac:dyDescent="0.25">
      <c r="A40" s="22">
        <v>35</v>
      </c>
      <c r="B40" s="19">
        <v>214.4</v>
      </c>
      <c r="C40" s="22">
        <v>84</v>
      </c>
      <c r="D40" s="19"/>
      <c r="E40" s="22">
        <f t="shared" si="0"/>
        <v>133</v>
      </c>
      <c r="F40" s="19"/>
      <c r="G40" s="33">
        <v>182</v>
      </c>
      <c r="H40" s="19"/>
      <c r="I40" s="20"/>
      <c r="J40" s="36"/>
      <c r="L40" s="22">
        <v>35</v>
      </c>
      <c r="M40" s="19">
        <v>214.4</v>
      </c>
      <c r="N40" s="22">
        <v>84</v>
      </c>
      <c r="O40" s="19"/>
      <c r="P40" s="22">
        <f t="shared" si="1"/>
        <v>133</v>
      </c>
      <c r="Q40" s="19"/>
      <c r="R40" s="33">
        <v>182</v>
      </c>
      <c r="S40" s="19"/>
      <c r="T40" s="20"/>
      <c r="U40" s="36"/>
    </row>
    <row r="41" spans="1:21" ht="15.75" x14ac:dyDescent="0.25">
      <c r="A41" s="22">
        <v>36</v>
      </c>
      <c r="B41" s="19">
        <v>215.2</v>
      </c>
      <c r="C41" s="22">
        <v>85</v>
      </c>
      <c r="D41" s="19"/>
      <c r="E41" s="22">
        <f t="shared" si="0"/>
        <v>134</v>
      </c>
      <c r="F41" s="19"/>
      <c r="G41" s="33">
        <v>183</v>
      </c>
      <c r="H41" s="19"/>
      <c r="I41" s="20"/>
      <c r="J41" s="36"/>
      <c r="L41" s="22">
        <v>36</v>
      </c>
      <c r="M41" s="19">
        <v>215.2</v>
      </c>
      <c r="N41" s="22">
        <v>85</v>
      </c>
      <c r="O41" s="19"/>
      <c r="P41" s="22">
        <f t="shared" si="1"/>
        <v>134</v>
      </c>
      <c r="Q41" s="19"/>
      <c r="R41" s="33">
        <v>183</v>
      </c>
      <c r="S41" s="19"/>
      <c r="T41" s="20"/>
      <c r="U41" s="36"/>
    </row>
    <row r="42" spans="1:21" ht="15.75" x14ac:dyDescent="0.25">
      <c r="A42" s="22">
        <v>37</v>
      </c>
      <c r="B42" s="19">
        <v>215.5</v>
      </c>
      <c r="C42" s="22">
        <v>86</v>
      </c>
      <c r="D42" s="19"/>
      <c r="E42" s="22">
        <f t="shared" si="0"/>
        <v>135</v>
      </c>
      <c r="F42" s="19"/>
      <c r="G42" s="33">
        <v>184</v>
      </c>
      <c r="H42" s="19"/>
      <c r="I42" s="21"/>
      <c r="J42" s="36"/>
      <c r="L42" s="22">
        <v>37</v>
      </c>
      <c r="M42" s="19">
        <v>215.5</v>
      </c>
      <c r="N42" s="22">
        <v>86</v>
      </c>
      <c r="O42" s="19"/>
      <c r="P42" s="22">
        <f t="shared" si="1"/>
        <v>135</v>
      </c>
      <c r="Q42" s="19"/>
      <c r="R42" s="33">
        <v>184</v>
      </c>
      <c r="S42" s="19"/>
      <c r="T42" s="21"/>
      <c r="U42" s="36"/>
    </row>
    <row r="43" spans="1:21" ht="15.75" x14ac:dyDescent="0.25">
      <c r="A43" s="22">
        <v>38</v>
      </c>
      <c r="B43" s="19">
        <v>220.8</v>
      </c>
      <c r="C43" s="22">
        <v>87</v>
      </c>
      <c r="D43" s="19"/>
      <c r="E43" s="22">
        <f t="shared" si="0"/>
        <v>136</v>
      </c>
      <c r="F43" s="19"/>
      <c r="G43" s="33">
        <v>185</v>
      </c>
      <c r="H43" s="19"/>
      <c r="I43" s="20"/>
      <c r="J43" s="36"/>
      <c r="L43" s="22">
        <v>38</v>
      </c>
      <c r="M43" s="19">
        <v>220.8</v>
      </c>
      <c r="N43" s="22">
        <v>87</v>
      </c>
      <c r="O43" s="19"/>
      <c r="P43" s="22">
        <f t="shared" si="1"/>
        <v>136</v>
      </c>
      <c r="Q43" s="19"/>
      <c r="R43" s="33">
        <v>185</v>
      </c>
      <c r="S43" s="19"/>
      <c r="T43" s="20"/>
      <c r="U43" s="36"/>
    </row>
    <row r="44" spans="1:21" ht="15.75" x14ac:dyDescent="0.25">
      <c r="A44" s="22">
        <v>39</v>
      </c>
      <c r="B44" s="19">
        <v>211.3</v>
      </c>
      <c r="C44" s="22">
        <v>88</v>
      </c>
      <c r="D44" s="19"/>
      <c r="E44" s="22">
        <f t="shared" si="0"/>
        <v>137</v>
      </c>
      <c r="F44" s="19"/>
      <c r="G44" s="33">
        <v>186</v>
      </c>
      <c r="H44" s="19"/>
      <c r="I44" s="20"/>
      <c r="J44" s="36"/>
      <c r="L44" s="22">
        <v>39</v>
      </c>
      <c r="M44" s="19">
        <v>211.3</v>
      </c>
      <c r="N44" s="22">
        <v>88</v>
      </c>
      <c r="O44" s="19"/>
      <c r="P44" s="22">
        <f t="shared" si="1"/>
        <v>137</v>
      </c>
      <c r="Q44" s="19"/>
      <c r="R44" s="33">
        <v>186</v>
      </c>
      <c r="S44" s="19"/>
      <c r="T44" s="20"/>
      <c r="U44" s="36"/>
    </row>
    <row r="45" spans="1:21" ht="15.75" x14ac:dyDescent="0.25">
      <c r="A45" s="22">
        <v>40</v>
      </c>
      <c r="B45" s="19">
        <v>219.4</v>
      </c>
      <c r="C45" s="22">
        <v>89</v>
      </c>
      <c r="D45" s="19"/>
      <c r="E45" s="22">
        <f t="shared" si="0"/>
        <v>138</v>
      </c>
      <c r="F45" s="19"/>
      <c r="G45" s="33">
        <v>187</v>
      </c>
      <c r="H45" s="19"/>
      <c r="I45" s="21"/>
      <c r="J45" s="36"/>
      <c r="L45" s="22">
        <v>40</v>
      </c>
      <c r="M45" s="19">
        <v>219.4</v>
      </c>
      <c r="N45" s="22">
        <v>89</v>
      </c>
      <c r="O45" s="19"/>
      <c r="P45" s="22">
        <f t="shared" si="1"/>
        <v>138</v>
      </c>
      <c r="Q45" s="19"/>
      <c r="R45" s="33">
        <v>187</v>
      </c>
      <c r="S45" s="19"/>
      <c r="T45" s="21"/>
      <c r="U45" s="36"/>
    </row>
    <row r="46" spans="1:21" ht="15.75" x14ac:dyDescent="0.25">
      <c r="A46" s="22">
        <v>41</v>
      </c>
      <c r="B46" s="19">
        <v>216.7</v>
      </c>
      <c r="C46" s="22">
        <v>90</v>
      </c>
      <c r="D46" s="19"/>
      <c r="E46" s="22">
        <f t="shared" si="0"/>
        <v>139</v>
      </c>
      <c r="F46" s="19"/>
      <c r="G46" s="33">
        <v>188</v>
      </c>
      <c r="H46" s="19"/>
      <c r="I46" s="20"/>
      <c r="J46" s="36"/>
      <c r="L46" s="22">
        <v>41</v>
      </c>
      <c r="M46" s="19">
        <v>216.7</v>
      </c>
      <c r="N46" s="22">
        <v>90</v>
      </c>
      <c r="O46" s="19"/>
      <c r="P46" s="22">
        <f t="shared" si="1"/>
        <v>139</v>
      </c>
      <c r="Q46" s="19"/>
      <c r="R46" s="33">
        <v>188</v>
      </c>
      <c r="S46" s="19"/>
      <c r="T46" s="20"/>
      <c r="U46" s="36"/>
    </row>
    <row r="47" spans="1:21" ht="15.75" x14ac:dyDescent="0.25">
      <c r="A47" s="22">
        <v>42</v>
      </c>
      <c r="B47" s="19">
        <v>214.1</v>
      </c>
      <c r="C47" s="22">
        <v>91</v>
      </c>
      <c r="D47" s="19"/>
      <c r="E47" s="22">
        <f t="shared" si="0"/>
        <v>140</v>
      </c>
      <c r="F47" s="19"/>
      <c r="G47" s="33">
        <v>189</v>
      </c>
      <c r="H47" s="19"/>
      <c r="I47" s="20"/>
      <c r="J47" s="36"/>
      <c r="L47" s="22">
        <v>42</v>
      </c>
      <c r="M47" s="19">
        <v>214.1</v>
      </c>
      <c r="N47" s="22">
        <v>91</v>
      </c>
      <c r="O47" s="19"/>
      <c r="P47" s="22">
        <f t="shared" si="1"/>
        <v>140</v>
      </c>
      <c r="Q47" s="19"/>
      <c r="R47" s="33">
        <v>189</v>
      </c>
      <c r="S47" s="19"/>
      <c r="T47" s="20"/>
      <c r="U47" s="36"/>
    </row>
    <row r="48" spans="1:21" ht="15.75" x14ac:dyDescent="0.25">
      <c r="A48" s="22">
        <v>43</v>
      </c>
      <c r="B48" s="19">
        <v>217.2</v>
      </c>
      <c r="C48" s="22">
        <v>92</v>
      </c>
      <c r="D48" s="19"/>
      <c r="E48" s="22">
        <f t="shared" si="0"/>
        <v>141</v>
      </c>
      <c r="F48" s="19"/>
      <c r="G48" s="33">
        <v>190</v>
      </c>
      <c r="H48" s="19"/>
      <c r="I48" s="21"/>
      <c r="J48" s="36"/>
      <c r="L48" s="22">
        <v>43</v>
      </c>
      <c r="M48" s="19">
        <v>217.2</v>
      </c>
      <c r="N48" s="22">
        <v>92</v>
      </c>
      <c r="O48" s="19"/>
      <c r="P48" s="22">
        <f t="shared" si="1"/>
        <v>141</v>
      </c>
      <c r="Q48" s="19"/>
      <c r="R48" s="33">
        <v>190</v>
      </c>
      <c r="S48" s="19"/>
      <c r="T48" s="21"/>
      <c r="U48" s="36"/>
    </row>
    <row r="49" spans="1:21" ht="15.75" x14ac:dyDescent="0.25">
      <c r="A49" s="22">
        <v>44</v>
      </c>
      <c r="B49" s="19">
        <v>217.5</v>
      </c>
      <c r="C49" s="22">
        <v>93</v>
      </c>
      <c r="D49" s="19"/>
      <c r="E49" s="22">
        <f t="shared" si="0"/>
        <v>142</v>
      </c>
      <c r="F49" s="19"/>
      <c r="G49" s="33">
        <v>191</v>
      </c>
      <c r="H49" s="19"/>
      <c r="I49" s="21"/>
      <c r="J49" s="36"/>
      <c r="L49" s="22">
        <v>44</v>
      </c>
      <c r="M49" s="19">
        <v>217.5</v>
      </c>
      <c r="N49" s="22">
        <v>93</v>
      </c>
      <c r="O49" s="19"/>
      <c r="P49" s="22">
        <f t="shared" si="1"/>
        <v>142</v>
      </c>
      <c r="Q49" s="19"/>
      <c r="R49" s="33">
        <v>191</v>
      </c>
      <c r="S49" s="19"/>
      <c r="T49" s="21"/>
      <c r="U49" s="36"/>
    </row>
    <row r="50" spans="1:21" ht="15.75" x14ac:dyDescent="0.25">
      <c r="A50" s="22">
        <v>45</v>
      </c>
      <c r="B50" s="19">
        <v>221.6</v>
      </c>
      <c r="C50" s="22">
        <v>94</v>
      </c>
      <c r="D50" s="19"/>
      <c r="E50" s="22">
        <f t="shared" si="0"/>
        <v>143</v>
      </c>
      <c r="F50" s="19"/>
      <c r="G50" s="33">
        <v>192</v>
      </c>
      <c r="H50" s="19"/>
      <c r="I50" s="20"/>
      <c r="J50" s="36"/>
      <c r="L50" s="22">
        <v>45</v>
      </c>
      <c r="M50" s="19">
        <v>221.6</v>
      </c>
      <c r="N50" s="22">
        <v>94</v>
      </c>
      <c r="O50" s="19"/>
      <c r="P50" s="22">
        <f t="shared" si="1"/>
        <v>143</v>
      </c>
      <c r="Q50" s="19"/>
      <c r="R50" s="33">
        <v>192</v>
      </c>
      <c r="S50" s="19"/>
      <c r="T50" s="20"/>
      <c r="U50" s="36"/>
    </row>
    <row r="51" spans="1:21" ht="15.75" x14ac:dyDescent="0.25">
      <c r="A51" s="22">
        <v>46</v>
      </c>
      <c r="B51" s="19">
        <v>215</v>
      </c>
      <c r="C51" s="22">
        <v>95</v>
      </c>
      <c r="D51" s="19"/>
      <c r="E51" s="22">
        <f t="shared" si="0"/>
        <v>144</v>
      </c>
      <c r="F51" s="19"/>
      <c r="G51" s="33">
        <v>193</v>
      </c>
      <c r="H51" s="19"/>
      <c r="I51" s="20"/>
      <c r="J51" s="36"/>
      <c r="L51" s="22">
        <v>46</v>
      </c>
      <c r="M51" s="19">
        <v>215</v>
      </c>
      <c r="N51" s="22">
        <v>95</v>
      </c>
      <c r="O51" s="19"/>
      <c r="P51" s="22">
        <f t="shared" si="1"/>
        <v>144</v>
      </c>
      <c r="Q51" s="19"/>
      <c r="R51" s="33">
        <v>193</v>
      </c>
      <c r="S51" s="19"/>
      <c r="T51" s="20"/>
      <c r="U51" s="36"/>
    </row>
    <row r="52" spans="1:21" ht="15.75" x14ac:dyDescent="0.25">
      <c r="A52" s="22">
        <v>47</v>
      </c>
      <c r="B52" s="19">
        <v>207.7</v>
      </c>
      <c r="C52" s="22">
        <v>96</v>
      </c>
      <c r="D52" s="19"/>
      <c r="E52" s="22">
        <f t="shared" si="0"/>
        <v>145</v>
      </c>
      <c r="F52" s="19"/>
      <c r="G52" s="33">
        <v>194</v>
      </c>
      <c r="H52" s="19"/>
      <c r="I52" s="21"/>
      <c r="J52" s="36"/>
      <c r="L52" s="22">
        <v>47</v>
      </c>
      <c r="M52" s="19">
        <v>207.7</v>
      </c>
      <c r="N52" s="22">
        <v>96</v>
      </c>
      <c r="O52" s="19"/>
      <c r="P52" s="22">
        <f t="shared" si="1"/>
        <v>145</v>
      </c>
      <c r="Q52" s="19"/>
      <c r="R52" s="33">
        <v>194</v>
      </c>
      <c r="S52" s="19"/>
      <c r="T52" s="21"/>
      <c r="U52" s="36"/>
    </row>
    <row r="53" spans="1:21" ht="15.75" x14ac:dyDescent="0.25">
      <c r="A53" s="22">
        <v>48</v>
      </c>
      <c r="B53" s="19">
        <v>221.7</v>
      </c>
      <c r="C53" s="22">
        <v>97</v>
      </c>
      <c r="D53" s="19"/>
      <c r="E53" s="22">
        <f t="shared" si="0"/>
        <v>146</v>
      </c>
      <c r="F53" s="19"/>
      <c r="G53" s="33">
        <v>195</v>
      </c>
      <c r="H53" s="19"/>
      <c r="I53" s="20"/>
      <c r="J53" s="36"/>
      <c r="L53" s="22">
        <v>48</v>
      </c>
      <c r="M53" s="19">
        <v>221.7</v>
      </c>
      <c r="N53" s="22">
        <v>97</v>
      </c>
      <c r="O53" s="19"/>
      <c r="P53" s="22">
        <f t="shared" si="1"/>
        <v>146</v>
      </c>
      <c r="Q53" s="19"/>
      <c r="R53" s="33">
        <v>195</v>
      </c>
      <c r="S53" s="19"/>
      <c r="T53" s="20"/>
      <c r="U53" s="36"/>
    </row>
    <row r="54" spans="1:21" ht="15.75" x14ac:dyDescent="0.25">
      <c r="A54" s="37">
        <v>49</v>
      </c>
      <c r="B54" s="19">
        <v>210.8</v>
      </c>
      <c r="C54" s="37">
        <v>98</v>
      </c>
      <c r="D54" s="19"/>
      <c r="E54" s="22">
        <f t="shared" si="0"/>
        <v>147</v>
      </c>
      <c r="F54" s="19"/>
      <c r="G54" s="38">
        <v>196</v>
      </c>
      <c r="H54" s="19"/>
      <c r="I54" s="39"/>
      <c r="J54" s="40"/>
      <c r="L54" s="37">
        <v>49</v>
      </c>
      <c r="M54" s="19">
        <v>210.8</v>
      </c>
      <c r="N54" s="37">
        <v>98</v>
      </c>
      <c r="O54" s="19"/>
      <c r="P54" s="22">
        <f t="shared" si="1"/>
        <v>147</v>
      </c>
      <c r="Q54" s="19"/>
      <c r="R54" s="38">
        <v>196</v>
      </c>
      <c r="S54" s="19"/>
      <c r="T54" s="39"/>
      <c r="U54" s="40"/>
    </row>
    <row r="55" spans="1:21" ht="15.75" x14ac:dyDescent="0.25">
      <c r="A55" s="41"/>
      <c r="B55" s="23">
        <f>SUM(B6:B54)</f>
        <v>10429.600000000002</v>
      </c>
      <c r="C55" s="23"/>
      <c r="D55" s="23">
        <f>SUM(D6:D54)</f>
        <v>3119.9999999999995</v>
      </c>
      <c r="E55" s="23"/>
      <c r="F55" s="23">
        <f>SUM(F6:F54)</f>
        <v>0</v>
      </c>
      <c r="G55" s="23"/>
      <c r="H55" s="23">
        <f>SUM(H6:H54)</f>
        <v>0</v>
      </c>
      <c r="I55" s="41"/>
      <c r="J55" s="41">
        <f>SUM(J6:J54)</f>
        <v>0</v>
      </c>
      <c r="L55" s="41"/>
      <c r="M55" s="23">
        <f>SUM(M6:M54)</f>
        <v>10429.600000000002</v>
      </c>
      <c r="N55" s="23"/>
      <c r="O55" s="23">
        <f>SUM(O6:O54)</f>
        <v>3119.9999999999995</v>
      </c>
      <c r="P55" s="23"/>
      <c r="Q55" s="23">
        <f>SUM(Q6:Q54)</f>
        <v>0</v>
      </c>
      <c r="R55" s="23"/>
      <c r="S55" s="23">
        <f>SUM(S6:S54)</f>
        <v>0</v>
      </c>
      <c r="T55" s="41"/>
      <c r="U55" s="41">
        <f>SUM(U6:U54)</f>
        <v>0</v>
      </c>
    </row>
    <row r="56" spans="1:21" ht="15.75" x14ac:dyDescent="0.25">
      <c r="A56" s="42" t="s">
        <v>5</v>
      </c>
      <c r="B56" s="43">
        <f>COUNT(B6:B54,D6:D54,F6:F54,H6:H54,J6:J54)</f>
        <v>64</v>
      </c>
      <c r="C56" s="13" t="s">
        <v>6</v>
      </c>
      <c r="D56" s="44"/>
      <c r="E56" s="45">
        <f>B55+D55+F55+H55+J55</f>
        <v>13549.600000000002</v>
      </c>
      <c r="F56" s="24" t="s">
        <v>7</v>
      </c>
      <c r="G56" s="1">
        <f>B56*2.1</f>
        <v>134.4</v>
      </c>
      <c r="H56" s="13" t="s">
        <v>8</v>
      </c>
      <c r="I56" s="44"/>
      <c r="J56" s="45">
        <f>E56-G56</f>
        <v>13415.200000000003</v>
      </c>
      <c r="L56" s="42" t="s">
        <v>5</v>
      </c>
      <c r="M56" s="43">
        <f>COUNT(M6:M54,O6:O54,Q6:Q54,S6:S54,U6:U54)</f>
        <v>64</v>
      </c>
      <c r="N56" s="13" t="s">
        <v>6</v>
      </c>
      <c r="O56" s="44"/>
      <c r="P56" s="45">
        <f>M55+O55+Q55+S55+U55</f>
        <v>13549.600000000002</v>
      </c>
      <c r="Q56" s="24" t="s">
        <v>7</v>
      </c>
      <c r="R56" s="1">
        <f>M56*2.1</f>
        <v>134.4</v>
      </c>
      <c r="S56" s="13" t="s">
        <v>8</v>
      </c>
      <c r="T56" s="44"/>
      <c r="U56" s="45">
        <f>P56-R56</f>
        <v>13415.200000000003</v>
      </c>
    </row>
    <row r="57" spans="1:21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  <c r="L57" s="42" t="s">
        <v>9</v>
      </c>
      <c r="M57" s="25"/>
      <c r="N57" s="46"/>
      <c r="O57" s="44"/>
      <c r="P57" s="47"/>
      <c r="Q57" s="25"/>
      <c r="R57" s="48"/>
      <c r="S57" s="46"/>
      <c r="T57" s="44"/>
      <c r="U57" s="49"/>
    </row>
  </sheetData>
  <protectedRanges>
    <protectedRange password="CCE1" sqref="C6:C54 G6:G54 E6:E54 I6:I29 N6:N54 R6:R54 P6:P54 T6:T29" name="Диапазон1_3_1_7_2_1_1_1_1_1_1_1"/>
  </protectedRanges>
  <mergeCells count="4">
    <mergeCell ref="A1:J1"/>
    <mergeCell ref="I4:J4"/>
    <mergeCell ref="L1:U1"/>
    <mergeCell ref="T4:U4"/>
  </mergeCells>
  <pageMargins left="0.7" right="0.7" top="0.75" bottom="0.75" header="0.3" footer="0.3"/>
  <pageSetup paperSize="9" scale="83" orientation="portrait" verticalDpi="0" r:id="rId1"/>
  <colBreaks count="1" manualBreakCount="1">
    <brk id="10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topLeftCell="A40" zoomScale="90" zoomScaleNormal="90" workbookViewId="0">
      <selection activeCell="AF6" sqref="AF6:AF29"/>
    </sheetView>
  </sheetViews>
  <sheetFormatPr defaultRowHeight="15" x14ac:dyDescent="0.25"/>
  <cols>
    <col min="2" max="2" width="9.28515625" bestFit="1" customWidth="1"/>
    <col min="4" max="4" width="9.28515625" bestFit="1" customWidth="1"/>
    <col min="6" max="6" width="9.28515625" bestFit="1" customWidth="1"/>
    <col min="8" max="8" width="10.140625" bestFit="1" customWidth="1"/>
    <col min="10" max="10" width="9.28515625" bestFit="1" customWidth="1"/>
    <col min="11" max="11" width="2" customWidth="1"/>
    <col min="22" max="22" width="2" customWidth="1"/>
  </cols>
  <sheetData>
    <row r="1" spans="1:32" ht="18.75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L1" s="204" t="s">
        <v>0</v>
      </c>
      <c r="M1" s="204"/>
      <c r="N1" s="204"/>
      <c r="O1" s="204"/>
      <c r="P1" s="204"/>
      <c r="Q1" s="204"/>
      <c r="R1" s="204"/>
      <c r="S1" s="204"/>
      <c r="T1" s="204"/>
      <c r="U1" s="204"/>
      <c r="W1" s="204" t="s">
        <v>0</v>
      </c>
      <c r="X1" s="204"/>
      <c r="Y1" s="204"/>
      <c r="Z1" s="204"/>
      <c r="AA1" s="204"/>
      <c r="AB1" s="204"/>
      <c r="AC1" s="204"/>
      <c r="AD1" s="204"/>
      <c r="AE1" s="204"/>
      <c r="AF1" s="204"/>
    </row>
    <row r="2" spans="1:32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  <c r="L2" s="13" t="s">
        <v>1</v>
      </c>
      <c r="M2" s="13"/>
      <c r="N2" s="13"/>
      <c r="O2" s="13"/>
      <c r="P2" s="13"/>
      <c r="Q2" s="13"/>
      <c r="R2" s="27"/>
      <c r="S2" s="13"/>
      <c r="T2" s="13"/>
      <c r="U2" s="13"/>
      <c r="W2" s="13" t="s">
        <v>1</v>
      </c>
      <c r="X2" s="13"/>
      <c r="Y2" s="13"/>
      <c r="Z2" s="13"/>
      <c r="AA2" s="13"/>
      <c r="AB2" s="13"/>
      <c r="AC2" s="27"/>
      <c r="AD2" s="13"/>
      <c r="AE2" s="13"/>
      <c r="AF2" s="13"/>
    </row>
    <row r="3" spans="1:32" ht="15.75" x14ac:dyDescent="0.25">
      <c r="A3" s="25" t="s">
        <v>2</v>
      </c>
      <c r="B3" s="27">
        <v>205</v>
      </c>
      <c r="C3" s="14"/>
      <c r="D3" s="15"/>
      <c r="E3" s="16"/>
      <c r="F3" s="16"/>
      <c r="G3" s="16"/>
      <c r="H3" s="16"/>
      <c r="I3" s="16" t="s">
        <v>33</v>
      </c>
      <c r="J3" s="16"/>
      <c r="L3" s="25" t="s">
        <v>2</v>
      </c>
      <c r="M3" s="27">
        <v>205</v>
      </c>
      <c r="N3" s="14"/>
      <c r="O3" s="15"/>
      <c r="P3" s="16"/>
      <c r="Q3" s="16"/>
      <c r="R3" s="16"/>
      <c r="S3" s="16"/>
      <c r="T3" s="16" t="s">
        <v>33</v>
      </c>
      <c r="U3" s="16"/>
      <c r="W3" s="25" t="s">
        <v>2</v>
      </c>
      <c r="X3" s="27">
        <v>205</v>
      </c>
      <c r="Y3" s="14"/>
      <c r="Z3" s="15"/>
      <c r="AA3" s="16"/>
      <c r="AB3" s="16"/>
      <c r="AC3" s="16"/>
      <c r="AD3" s="16"/>
      <c r="AE3" s="16" t="s">
        <v>33</v>
      </c>
      <c r="AF3" s="16"/>
    </row>
    <row r="4" spans="1:32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  <c r="L4" s="17"/>
      <c r="M4" s="17"/>
      <c r="N4" s="17"/>
      <c r="O4" s="17"/>
      <c r="P4" s="17"/>
      <c r="Q4" s="17"/>
      <c r="R4" s="17"/>
      <c r="S4" s="28"/>
      <c r="T4" s="205" t="s">
        <v>54</v>
      </c>
      <c r="U4" s="206"/>
      <c r="W4" s="17"/>
      <c r="X4" s="17"/>
      <c r="Y4" s="17"/>
      <c r="Z4" s="17"/>
      <c r="AA4" s="17"/>
      <c r="AB4" s="17"/>
      <c r="AC4" s="17"/>
      <c r="AD4" s="28"/>
      <c r="AE4" s="205" t="s">
        <v>47</v>
      </c>
      <c r="AF4" s="206"/>
    </row>
    <row r="5" spans="1:32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  <c r="L5" s="29" t="s">
        <v>3</v>
      </c>
      <c r="M5" s="18" t="s">
        <v>4</v>
      </c>
      <c r="N5" s="29" t="s">
        <v>3</v>
      </c>
      <c r="O5" s="18" t="s">
        <v>4</v>
      </c>
      <c r="P5" s="29" t="s">
        <v>3</v>
      </c>
      <c r="Q5" s="18" t="s">
        <v>4</v>
      </c>
      <c r="R5" s="29" t="s">
        <v>3</v>
      </c>
      <c r="S5" s="30" t="s">
        <v>4</v>
      </c>
      <c r="T5" s="31" t="s">
        <v>3</v>
      </c>
      <c r="U5" s="32" t="s">
        <v>4</v>
      </c>
      <c r="W5" s="29" t="s">
        <v>3</v>
      </c>
      <c r="X5" s="18" t="s">
        <v>4</v>
      </c>
      <c r="Y5" s="29" t="s">
        <v>3</v>
      </c>
      <c r="Z5" s="18" t="s">
        <v>4</v>
      </c>
      <c r="AA5" s="29" t="s">
        <v>3</v>
      </c>
      <c r="AB5" s="18" t="s">
        <v>4</v>
      </c>
      <c r="AC5" s="29" t="s">
        <v>3</v>
      </c>
      <c r="AD5" s="30" t="s">
        <v>4</v>
      </c>
      <c r="AE5" s="31" t="s">
        <v>3</v>
      </c>
      <c r="AF5" s="32" t="s">
        <v>4</v>
      </c>
    </row>
    <row r="6" spans="1:32" ht="15.75" x14ac:dyDescent="0.25">
      <c r="A6" s="22">
        <v>1</v>
      </c>
      <c r="B6" s="19">
        <v>195.3</v>
      </c>
      <c r="C6" s="22">
        <v>50</v>
      </c>
      <c r="D6" s="19">
        <v>203.4</v>
      </c>
      <c r="E6" s="22">
        <v>99</v>
      </c>
      <c r="F6" s="19">
        <v>216.4</v>
      </c>
      <c r="G6" s="33">
        <v>148</v>
      </c>
      <c r="H6" s="119">
        <v>206.8</v>
      </c>
      <c r="I6" s="34">
        <v>197</v>
      </c>
      <c r="J6" s="19">
        <v>201.2</v>
      </c>
      <c r="L6" s="22">
        <v>1</v>
      </c>
      <c r="M6" s="19">
        <v>195.3</v>
      </c>
      <c r="N6" s="22">
        <v>50</v>
      </c>
      <c r="O6" s="19">
        <v>203.4</v>
      </c>
      <c r="P6" s="22">
        <v>99</v>
      </c>
      <c r="Q6" s="19">
        <v>216.4</v>
      </c>
      <c r="R6" s="33">
        <v>148</v>
      </c>
      <c r="S6" s="19"/>
      <c r="T6" s="34">
        <v>197</v>
      </c>
      <c r="U6" s="19"/>
      <c r="W6" s="22">
        <v>1</v>
      </c>
      <c r="X6" s="19"/>
      <c r="Y6" s="22">
        <v>50</v>
      </c>
      <c r="Z6" s="19"/>
      <c r="AA6" s="22">
        <v>99</v>
      </c>
      <c r="AB6" s="19"/>
      <c r="AC6" s="33">
        <v>148</v>
      </c>
      <c r="AD6" s="19">
        <v>206.8</v>
      </c>
      <c r="AE6" s="34">
        <v>197</v>
      </c>
      <c r="AF6" s="19">
        <v>201.2</v>
      </c>
    </row>
    <row r="7" spans="1:32" ht="15.75" x14ac:dyDescent="0.25">
      <c r="A7" s="22">
        <v>2</v>
      </c>
      <c r="B7" s="19">
        <v>200.5</v>
      </c>
      <c r="C7" s="22">
        <v>51</v>
      </c>
      <c r="D7" s="19">
        <v>191.9</v>
      </c>
      <c r="E7" s="22">
        <v>100</v>
      </c>
      <c r="F7" s="19">
        <v>203.8</v>
      </c>
      <c r="G7" s="33">
        <v>149</v>
      </c>
      <c r="H7" s="119">
        <v>202.8</v>
      </c>
      <c r="I7" s="33">
        <v>198</v>
      </c>
      <c r="J7" s="19">
        <v>206.5</v>
      </c>
      <c r="L7" s="22">
        <v>2</v>
      </c>
      <c r="M7" s="19">
        <v>200.5</v>
      </c>
      <c r="N7" s="22">
        <v>51</v>
      </c>
      <c r="O7" s="19">
        <v>191.9</v>
      </c>
      <c r="P7" s="22">
        <v>100</v>
      </c>
      <c r="Q7" s="19">
        <v>203.8</v>
      </c>
      <c r="R7" s="33">
        <v>149</v>
      </c>
      <c r="S7" s="19"/>
      <c r="T7" s="33">
        <v>198</v>
      </c>
      <c r="U7" s="19"/>
      <c r="W7" s="22">
        <v>2</v>
      </c>
      <c r="X7" s="19"/>
      <c r="Y7" s="22">
        <v>51</v>
      </c>
      <c r="Z7" s="19"/>
      <c r="AA7" s="22">
        <v>100</v>
      </c>
      <c r="AB7" s="19"/>
      <c r="AC7" s="33">
        <v>149</v>
      </c>
      <c r="AD7" s="19">
        <v>202.8</v>
      </c>
      <c r="AE7" s="33">
        <v>198</v>
      </c>
      <c r="AF7" s="19">
        <v>206.5</v>
      </c>
    </row>
    <row r="8" spans="1:32" ht="15.75" x14ac:dyDescent="0.25">
      <c r="A8" s="22">
        <v>3</v>
      </c>
      <c r="B8" s="19">
        <v>189.8</v>
      </c>
      <c r="C8" s="22">
        <v>52</v>
      </c>
      <c r="D8" s="19">
        <v>192.7</v>
      </c>
      <c r="E8" s="22">
        <f t="shared" ref="E8:E54" si="0">+E7+1</f>
        <v>101</v>
      </c>
      <c r="F8" s="19">
        <v>203.5</v>
      </c>
      <c r="G8" s="33">
        <v>150</v>
      </c>
      <c r="H8" s="119">
        <v>202.8</v>
      </c>
      <c r="I8" s="33">
        <v>199</v>
      </c>
      <c r="J8" s="19">
        <v>198</v>
      </c>
      <c r="L8" s="22">
        <v>3</v>
      </c>
      <c r="M8" s="19">
        <v>189.8</v>
      </c>
      <c r="N8" s="22">
        <v>52</v>
      </c>
      <c r="O8" s="19">
        <v>192.7</v>
      </c>
      <c r="P8" s="22">
        <f t="shared" ref="P8:P54" si="1">+P7+1</f>
        <v>101</v>
      </c>
      <c r="Q8" s="19">
        <v>203.5</v>
      </c>
      <c r="R8" s="33">
        <v>150</v>
      </c>
      <c r="S8" s="19"/>
      <c r="T8" s="33">
        <v>199</v>
      </c>
      <c r="U8" s="19"/>
      <c r="W8" s="22">
        <v>3</v>
      </c>
      <c r="X8" s="19"/>
      <c r="Y8" s="22">
        <v>52</v>
      </c>
      <c r="Z8" s="19"/>
      <c r="AA8" s="22">
        <f t="shared" ref="AA8:AA54" si="2">+AA7+1</f>
        <v>101</v>
      </c>
      <c r="AB8" s="19"/>
      <c r="AC8" s="33">
        <v>150</v>
      </c>
      <c r="AD8" s="19">
        <v>202.8</v>
      </c>
      <c r="AE8" s="33">
        <v>199</v>
      </c>
      <c r="AF8" s="19">
        <v>198</v>
      </c>
    </row>
    <row r="9" spans="1:32" ht="15.75" x14ac:dyDescent="0.25">
      <c r="A9" s="22">
        <v>4</v>
      </c>
      <c r="B9" s="19">
        <v>192.7</v>
      </c>
      <c r="C9" s="22">
        <v>53</v>
      </c>
      <c r="D9" s="19">
        <v>203.6</v>
      </c>
      <c r="E9" s="22">
        <f t="shared" si="0"/>
        <v>102</v>
      </c>
      <c r="F9" s="19">
        <v>208.4</v>
      </c>
      <c r="G9" s="33">
        <v>151</v>
      </c>
      <c r="H9" s="119">
        <v>214.2</v>
      </c>
      <c r="I9" s="33">
        <v>200</v>
      </c>
      <c r="J9" s="19">
        <v>206.3</v>
      </c>
      <c r="L9" s="22">
        <v>4</v>
      </c>
      <c r="M9" s="19">
        <v>192.7</v>
      </c>
      <c r="N9" s="22">
        <v>53</v>
      </c>
      <c r="O9" s="19">
        <v>203.6</v>
      </c>
      <c r="P9" s="22">
        <f t="shared" si="1"/>
        <v>102</v>
      </c>
      <c r="Q9" s="19">
        <v>208.4</v>
      </c>
      <c r="R9" s="33">
        <v>151</v>
      </c>
      <c r="S9" s="19"/>
      <c r="T9" s="33">
        <v>200</v>
      </c>
      <c r="U9" s="19"/>
      <c r="W9" s="22">
        <v>4</v>
      </c>
      <c r="X9" s="19"/>
      <c r="Y9" s="22">
        <v>53</v>
      </c>
      <c r="Z9" s="19"/>
      <c r="AA9" s="22">
        <f t="shared" si="2"/>
        <v>102</v>
      </c>
      <c r="AB9" s="19"/>
      <c r="AC9" s="33">
        <v>151</v>
      </c>
      <c r="AD9" s="19">
        <v>214.2</v>
      </c>
      <c r="AE9" s="33">
        <v>200</v>
      </c>
      <c r="AF9" s="19">
        <v>206.3</v>
      </c>
    </row>
    <row r="10" spans="1:32" ht="15.75" x14ac:dyDescent="0.25">
      <c r="A10" s="22">
        <v>5</v>
      </c>
      <c r="B10" s="19">
        <v>208.6</v>
      </c>
      <c r="C10" s="22">
        <v>54</v>
      </c>
      <c r="D10" s="19">
        <v>189.6</v>
      </c>
      <c r="E10" s="22">
        <f t="shared" si="0"/>
        <v>103</v>
      </c>
      <c r="F10" s="19">
        <v>204.2</v>
      </c>
      <c r="G10" s="33">
        <v>152</v>
      </c>
      <c r="H10" s="119">
        <v>206.1</v>
      </c>
      <c r="I10" s="33">
        <v>201</v>
      </c>
      <c r="J10" s="19">
        <v>198.9</v>
      </c>
      <c r="L10" s="22">
        <v>5</v>
      </c>
      <c r="M10" s="19">
        <v>208.6</v>
      </c>
      <c r="N10" s="22">
        <v>54</v>
      </c>
      <c r="O10" s="19">
        <v>189.6</v>
      </c>
      <c r="P10" s="22">
        <f t="shared" si="1"/>
        <v>103</v>
      </c>
      <c r="Q10" s="19">
        <v>204.2</v>
      </c>
      <c r="R10" s="33">
        <v>152</v>
      </c>
      <c r="S10" s="19"/>
      <c r="T10" s="33">
        <v>201</v>
      </c>
      <c r="U10" s="19"/>
      <c r="W10" s="22">
        <v>5</v>
      </c>
      <c r="X10" s="19"/>
      <c r="Y10" s="22">
        <v>54</v>
      </c>
      <c r="Z10" s="19"/>
      <c r="AA10" s="22">
        <f t="shared" si="2"/>
        <v>103</v>
      </c>
      <c r="AB10" s="19"/>
      <c r="AC10" s="33">
        <v>152</v>
      </c>
      <c r="AD10" s="19">
        <v>206.1</v>
      </c>
      <c r="AE10" s="33">
        <v>201</v>
      </c>
      <c r="AF10" s="19">
        <v>198.9</v>
      </c>
    </row>
    <row r="11" spans="1:32" ht="15.75" x14ac:dyDescent="0.25">
      <c r="A11" s="22">
        <v>6</v>
      </c>
      <c r="B11" s="19">
        <v>191.9</v>
      </c>
      <c r="C11" s="22">
        <v>55</v>
      </c>
      <c r="D11" s="19">
        <v>197.9</v>
      </c>
      <c r="E11" s="22">
        <f t="shared" si="0"/>
        <v>104</v>
      </c>
      <c r="F11" s="19">
        <v>211.8</v>
      </c>
      <c r="G11" s="33">
        <v>153</v>
      </c>
      <c r="H11" s="119">
        <v>208.9</v>
      </c>
      <c r="I11" s="33">
        <v>202</v>
      </c>
      <c r="J11" s="19">
        <v>200.4</v>
      </c>
      <c r="L11" s="22">
        <v>6</v>
      </c>
      <c r="M11" s="19">
        <v>191.9</v>
      </c>
      <c r="N11" s="22">
        <v>55</v>
      </c>
      <c r="O11" s="19">
        <v>197.9</v>
      </c>
      <c r="P11" s="22">
        <f t="shared" si="1"/>
        <v>104</v>
      </c>
      <c r="Q11" s="19">
        <v>211.8</v>
      </c>
      <c r="R11" s="33">
        <v>153</v>
      </c>
      <c r="S11" s="19"/>
      <c r="T11" s="33">
        <v>202</v>
      </c>
      <c r="U11" s="19"/>
      <c r="W11" s="22">
        <v>6</v>
      </c>
      <c r="X11" s="19"/>
      <c r="Y11" s="22">
        <v>55</v>
      </c>
      <c r="Z11" s="19"/>
      <c r="AA11" s="22">
        <f t="shared" si="2"/>
        <v>104</v>
      </c>
      <c r="AB11" s="19"/>
      <c r="AC11" s="33">
        <v>153</v>
      </c>
      <c r="AD11" s="19">
        <v>208.9</v>
      </c>
      <c r="AE11" s="33">
        <v>202</v>
      </c>
      <c r="AF11" s="19">
        <v>200.4</v>
      </c>
    </row>
    <row r="12" spans="1:32" ht="15.75" x14ac:dyDescent="0.25">
      <c r="A12" s="22">
        <v>7</v>
      </c>
      <c r="B12" s="19">
        <v>192.1</v>
      </c>
      <c r="C12" s="22">
        <v>56</v>
      </c>
      <c r="D12" s="19">
        <v>202.5</v>
      </c>
      <c r="E12" s="22">
        <f t="shared" si="0"/>
        <v>105</v>
      </c>
      <c r="F12" s="19">
        <v>201</v>
      </c>
      <c r="G12" s="33">
        <v>154</v>
      </c>
      <c r="H12" s="119">
        <v>202.5</v>
      </c>
      <c r="I12" s="33">
        <v>203</v>
      </c>
      <c r="J12" s="19">
        <v>211.7</v>
      </c>
      <c r="L12" s="22">
        <v>7</v>
      </c>
      <c r="M12" s="19">
        <v>192.1</v>
      </c>
      <c r="N12" s="22">
        <v>56</v>
      </c>
      <c r="O12" s="19">
        <v>202.5</v>
      </c>
      <c r="P12" s="22">
        <f t="shared" si="1"/>
        <v>105</v>
      </c>
      <c r="Q12" s="19">
        <v>201</v>
      </c>
      <c r="R12" s="33">
        <v>154</v>
      </c>
      <c r="S12" s="19"/>
      <c r="T12" s="33">
        <v>203</v>
      </c>
      <c r="U12" s="19"/>
      <c r="W12" s="22">
        <v>7</v>
      </c>
      <c r="X12" s="19"/>
      <c r="Y12" s="22">
        <v>56</v>
      </c>
      <c r="Z12" s="19"/>
      <c r="AA12" s="22">
        <f t="shared" si="2"/>
        <v>105</v>
      </c>
      <c r="AB12" s="19"/>
      <c r="AC12" s="33">
        <v>154</v>
      </c>
      <c r="AD12" s="19">
        <v>202.5</v>
      </c>
      <c r="AE12" s="33">
        <v>203</v>
      </c>
      <c r="AF12" s="19">
        <v>211.7</v>
      </c>
    </row>
    <row r="13" spans="1:32" ht="15.75" x14ac:dyDescent="0.25">
      <c r="A13" s="22">
        <v>8</v>
      </c>
      <c r="B13" s="19">
        <v>203.2</v>
      </c>
      <c r="C13" s="22">
        <v>57</v>
      </c>
      <c r="D13" s="19">
        <v>197.8</v>
      </c>
      <c r="E13" s="22">
        <f t="shared" si="0"/>
        <v>106</v>
      </c>
      <c r="F13" s="19">
        <v>200.2</v>
      </c>
      <c r="G13" s="33">
        <v>155</v>
      </c>
      <c r="H13" s="119">
        <v>210.5</v>
      </c>
      <c r="I13" s="33">
        <v>204</v>
      </c>
      <c r="J13" s="19">
        <v>202.5</v>
      </c>
      <c r="L13" s="22">
        <v>8</v>
      </c>
      <c r="M13" s="19">
        <v>203.2</v>
      </c>
      <c r="N13" s="22">
        <v>57</v>
      </c>
      <c r="O13" s="19">
        <v>197.8</v>
      </c>
      <c r="P13" s="22">
        <f t="shared" si="1"/>
        <v>106</v>
      </c>
      <c r="Q13" s="19">
        <v>200.2</v>
      </c>
      <c r="R13" s="33">
        <v>155</v>
      </c>
      <c r="S13" s="19"/>
      <c r="T13" s="33">
        <v>204</v>
      </c>
      <c r="U13" s="19"/>
      <c r="W13" s="22">
        <v>8</v>
      </c>
      <c r="X13" s="19"/>
      <c r="Y13" s="22">
        <v>57</v>
      </c>
      <c r="Z13" s="19"/>
      <c r="AA13" s="22">
        <f t="shared" si="2"/>
        <v>106</v>
      </c>
      <c r="AB13" s="19"/>
      <c r="AC13" s="33">
        <v>155</v>
      </c>
      <c r="AD13" s="19">
        <v>210.5</v>
      </c>
      <c r="AE13" s="33">
        <v>204</v>
      </c>
      <c r="AF13" s="19">
        <v>202.5</v>
      </c>
    </row>
    <row r="14" spans="1:32" ht="15.75" x14ac:dyDescent="0.25">
      <c r="A14" s="22">
        <v>9</v>
      </c>
      <c r="B14" s="19">
        <v>194.1</v>
      </c>
      <c r="C14" s="22">
        <v>58</v>
      </c>
      <c r="D14" s="19">
        <v>190</v>
      </c>
      <c r="E14" s="22">
        <f t="shared" si="0"/>
        <v>107</v>
      </c>
      <c r="F14" s="19">
        <v>204.4</v>
      </c>
      <c r="G14" s="33">
        <v>156</v>
      </c>
      <c r="H14" s="119">
        <v>208.5</v>
      </c>
      <c r="I14" s="33">
        <v>205</v>
      </c>
      <c r="J14" s="19">
        <v>200.2</v>
      </c>
      <c r="L14" s="22">
        <v>9</v>
      </c>
      <c r="M14" s="19">
        <v>194.1</v>
      </c>
      <c r="N14" s="22">
        <v>58</v>
      </c>
      <c r="O14" s="19">
        <v>190</v>
      </c>
      <c r="P14" s="22">
        <f t="shared" si="1"/>
        <v>107</v>
      </c>
      <c r="Q14" s="19">
        <v>204.4</v>
      </c>
      <c r="R14" s="33">
        <v>156</v>
      </c>
      <c r="S14" s="19"/>
      <c r="T14" s="33">
        <v>205</v>
      </c>
      <c r="U14" s="19"/>
      <c r="W14" s="22">
        <v>9</v>
      </c>
      <c r="X14" s="19"/>
      <c r="Y14" s="22">
        <v>58</v>
      </c>
      <c r="Z14" s="19"/>
      <c r="AA14" s="22">
        <f t="shared" si="2"/>
        <v>107</v>
      </c>
      <c r="AB14" s="19"/>
      <c r="AC14" s="33">
        <v>156</v>
      </c>
      <c r="AD14" s="19">
        <v>208.5</v>
      </c>
      <c r="AE14" s="33">
        <v>205</v>
      </c>
      <c r="AF14" s="19">
        <v>200.2</v>
      </c>
    </row>
    <row r="15" spans="1:32" ht="15.75" x14ac:dyDescent="0.25">
      <c r="A15" s="22">
        <v>10</v>
      </c>
      <c r="B15" s="19">
        <v>196.7</v>
      </c>
      <c r="C15" s="22">
        <v>59</v>
      </c>
      <c r="D15" s="19">
        <v>197.7</v>
      </c>
      <c r="E15" s="22">
        <f t="shared" si="0"/>
        <v>108</v>
      </c>
      <c r="F15" s="19">
        <v>205</v>
      </c>
      <c r="G15" s="33">
        <v>157</v>
      </c>
      <c r="H15" s="119">
        <v>200</v>
      </c>
      <c r="I15" s="33">
        <v>206</v>
      </c>
      <c r="J15" s="19">
        <v>206.2</v>
      </c>
      <c r="L15" s="22">
        <v>10</v>
      </c>
      <c r="M15" s="19">
        <v>196.7</v>
      </c>
      <c r="N15" s="22">
        <v>59</v>
      </c>
      <c r="O15" s="19">
        <v>197.7</v>
      </c>
      <c r="P15" s="22">
        <f t="shared" si="1"/>
        <v>108</v>
      </c>
      <c r="Q15" s="19">
        <v>205</v>
      </c>
      <c r="R15" s="33">
        <v>157</v>
      </c>
      <c r="S15" s="19"/>
      <c r="T15" s="33">
        <v>206</v>
      </c>
      <c r="U15" s="19"/>
      <c r="W15" s="22">
        <v>10</v>
      </c>
      <c r="X15" s="19"/>
      <c r="Y15" s="22">
        <v>59</v>
      </c>
      <c r="Z15" s="19"/>
      <c r="AA15" s="22">
        <f t="shared" si="2"/>
        <v>108</v>
      </c>
      <c r="AB15" s="19"/>
      <c r="AC15" s="33">
        <v>157</v>
      </c>
      <c r="AD15" s="19">
        <v>200</v>
      </c>
      <c r="AE15" s="33">
        <v>206</v>
      </c>
      <c r="AF15" s="19">
        <v>206.2</v>
      </c>
    </row>
    <row r="16" spans="1:32" ht="15.75" x14ac:dyDescent="0.25">
      <c r="A16" s="22">
        <v>11</v>
      </c>
      <c r="B16" s="19">
        <v>206.2</v>
      </c>
      <c r="C16" s="22">
        <v>60</v>
      </c>
      <c r="D16" s="19">
        <v>202.1</v>
      </c>
      <c r="E16" s="22">
        <f t="shared" si="0"/>
        <v>109</v>
      </c>
      <c r="F16" s="19">
        <v>217.2</v>
      </c>
      <c r="G16" s="33">
        <v>158</v>
      </c>
      <c r="H16" s="119">
        <v>200.5</v>
      </c>
      <c r="I16" s="33">
        <v>207</v>
      </c>
      <c r="J16" s="19">
        <v>206.4</v>
      </c>
      <c r="L16" s="22">
        <v>11</v>
      </c>
      <c r="M16" s="19">
        <v>206.2</v>
      </c>
      <c r="N16" s="22">
        <v>60</v>
      </c>
      <c r="O16" s="19">
        <v>202.1</v>
      </c>
      <c r="P16" s="22">
        <f t="shared" si="1"/>
        <v>109</v>
      </c>
      <c r="Q16" s="19">
        <v>217.2</v>
      </c>
      <c r="R16" s="33">
        <v>158</v>
      </c>
      <c r="S16" s="19"/>
      <c r="T16" s="33">
        <v>207</v>
      </c>
      <c r="U16" s="19"/>
      <c r="W16" s="22">
        <v>11</v>
      </c>
      <c r="X16" s="19"/>
      <c r="Y16" s="22">
        <v>60</v>
      </c>
      <c r="Z16" s="19"/>
      <c r="AA16" s="22">
        <f t="shared" si="2"/>
        <v>109</v>
      </c>
      <c r="AB16" s="19"/>
      <c r="AC16" s="33">
        <v>158</v>
      </c>
      <c r="AD16" s="19">
        <v>200.5</v>
      </c>
      <c r="AE16" s="33">
        <v>207</v>
      </c>
      <c r="AF16" s="19">
        <v>206.4</v>
      </c>
    </row>
    <row r="17" spans="1:32" ht="15.75" x14ac:dyDescent="0.25">
      <c r="A17" s="22">
        <v>12</v>
      </c>
      <c r="B17" s="19">
        <v>194</v>
      </c>
      <c r="C17" s="22">
        <v>61</v>
      </c>
      <c r="D17" s="19">
        <v>192.7</v>
      </c>
      <c r="E17" s="22">
        <f t="shared" si="0"/>
        <v>110</v>
      </c>
      <c r="F17" s="19">
        <v>205.8</v>
      </c>
      <c r="G17" s="33">
        <v>159</v>
      </c>
      <c r="H17" s="119">
        <v>209.8</v>
      </c>
      <c r="I17" s="33">
        <v>208</v>
      </c>
      <c r="J17" s="19">
        <v>203.6</v>
      </c>
      <c r="L17" s="22">
        <v>12</v>
      </c>
      <c r="M17" s="19">
        <v>194</v>
      </c>
      <c r="N17" s="22">
        <v>61</v>
      </c>
      <c r="O17" s="19">
        <v>192.7</v>
      </c>
      <c r="P17" s="22">
        <f t="shared" si="1"/>
        <v>110</v>
      </c>
      <c r="Q17" s="19">
        <v>205.8</v>
      </c>
      <c r="R17" s="33">
        <v>159</v>
      </c>
      <c r="S17" s="19"/>
      <c r="T17" s="33">
        <v>208</v>
      </c>
      <c r="U17" s="19"/>
      <c r="W17" s="22">
        <v>12</v>
      </c>
      <c r="X17" s="19"/>
      <c r="Y17" s="22">
        <v>61</v>
      </c>
      <c r="Z17" s="19"/>
      <c r="AA17" s="22">
        <f t="shared" si="2"/>
        <v>110</v>
      </c>
      <c r="AB17" s="19"/>
      <c r="AC17" s="33">
        <v>159</v>
      </c>
      <c r="AD17" s="19">
        <v>209.8</v>
      </c>
      <c r="AE17" s="33">
        <v>208</v>
      </c>
      <c r="AF17" s="19">
        <v>203.6</v>
      </c>
    </row>
    <row r="18" spans="1:32" ht="15.75" x14ac:dyDescent="0.25">
      <c r="A18" s="22">
        <v>13</v>
      </c>
      <c r="B18" s="19">
        <v>194.7</v>
      </c>
      <c r="C18" s="22">
        <v>62</v>
      </c>
      <c r="D18" s="19">
        <v>186.2</v>
      </c>
      <c r="E18" s="22">
        <f t="shared" si="0"/>
        <v>111</v>
      </c>
      <c r="F18" s="19">
        <v>202.9</v>
      </c>
      <c r="G18" s="33">
        <v>160</v>
      </c>
      <c r="H18" s="119">
        <v>202.3</v>
      </c>
      <c r="I18" s="33">
        <v>209</v>
      </c>
      <c r="J18" s="19">
        <v>209.7</v>
      </c>
      <c r="L18" s="22">
        <v>13</v>
      </c>
      <c r="M18" s="19">
        <v>194.7</v>
      </c>
      <c r="N18" s="22">
        <v>62</v>
      </c>
      <c r="O18" s="19">
        <v>186.2</v>
      </c>
      <c r="P18" s="22">
        <f t="shared" si="1"/>
        <v>111</v>
      </c>
      <c r="Q18" s="19">
        <v>202.9</v>
      </c>
      <c r="R18" s="33">
        <v>160</v>
      </c>
      <c r="S18" s="19"/>
      <c r="T18" s="33">
        <v>209</v>
      </c>
      <c r="U18" s="19"/>
      <c r="W18" s="22">
        <v>13</v>
      </c>
      <c r="X18" s="19"/>
      <c r="Y18" s="22">
        <v>62</v>
      </c>
      <c r="Z18" s="19"/>
      <c r="AA18" s="22">
        <f t="shared" si="2"/>
        <v>111</v>
      </c>
      <c r="AB18" s="19"/>
      <c r="AC18" s="33">
        <v>160</v>
      </c>
      <c r="AD18" s="19">
        <v>202.3</v>
      </c>
      <c r="AE18" s="33">
        <v>209</v>
      </c>
      <c r="AF18" s="19">
        <v>209.7</v>
      </c>
    </row>
    <row r="19" spans="1:32" ht="15.75" x14ac:dyDescent="0.25">
      <c r="A19" s="22">
        <v>14</v>
      </c>
      <c r="B19" s="19">
        <v>201.5</v>
      </c>
      <c r="C19" s="22">
        <v>63</v>
      </c>
      <c r="D19" s="19">
        <v>196.3</v>
      </c>
      <c r="E19" s="22">
        <f t="shared" si="0"/>
        <v>112</v>
      </c>
      <c r="F19" s="19">
        <v>201.8</v>
      </c>
      <c r="G19" s="33">
        <v>161</v>
      </c>
      <c r="H19" s="119">
        <v>210.6</v>
      </c>
      <c r="I19" s="33">
        <v>210</v>
      </c>
      <c r="J19" s="19">
        <v>210.9</v>
      </c>
      <c r="L19" s="22">
        <v>14</v>
      </c>
      <c r="M19" s="19">
        <v>201.5</v>
      </c>
      <c r="N19" s="22">
        <v>63</v>
      </c>
      <c r="O19" s="19">
        <v>196.3</v>
      </c>
      <c r="P19" s="22">
        <f t="shared" si="1"/>
        <v>112</v>
      </c>
      <c r="Q19" s="19"/>
      <c r="R19" s="33">
        <v>161</v>
      </c>
      <c r="S19" s="19"/>
      <c r="T19" s="33">
        <v>210</v>
      </c>
      <c r="U19" s="19"/>
      <c r="W19" s="22">
        <v>14</v>
      </c>
      <c r="X19" s="19"/>
      <c r="Y19" s="22">
        <v>63</v>
      </c>
      <c r="Z19" s="19"/>
      <c r="AA19" s="22">
        <f t="shared" si="2"/>
        <v>112</v>
      </c>
      <c r="AB19" s="19">
        <v>201.8</v>
      </c>
      <c r="AC19" s="33">
        <v>161</v>
      </c>
      <c r="AD19" s="19">
        <v>210.6</v>
      </c>
      <c r="AE19" s="33">
        <v>210</v>
      </c>
      <c r="AF19" s="19">
        <v>210.9</v>
      </c>
    </row>
    <row r="20" spans="1:32" ht="15.75" x14ac:dyDescent="0.25">
      <c r="A20" s="22">
        <v>15</v>
      </c>
      <c r="B20" s="19">
        <v>201.4</v>
      </c>
      <c r="C20" s="22">
        <v>64</v>
      </c>
      <c r="D20" s="19">
        <v>200.8</v>
      </c>
      <c r="E20" s="22">
        <f t="shared" si="0"/>
        <v>113</v>
      </c>
      <c r="F20" s="19">
        <v>198.7</v>
      </c>
      <c r="G20" s="35">
        <v>162</v>
      </c>
      <c r="H20" s="119">
        <v>207.5</v>
      </c>
      <c r="I20" s="33">
        <v>211</v>
      </c>
      <c r="J20" s="19">
        <v>211.8</v>
      </c>
      <c r="L20" s="22">
        <v>15</v>
      </c>
      <c r="M20" s="19">
        <v>201.4</v>
      </c>
      <c r="N20" s="22">
        <v>64</v>
      </c>
      <c r="O20" s="19">
        <v>200.8</v>
      </c>
      <c r="P20" s="22">
        <f t="shared" si="1"/>
        <v>113</v>
      </c>
      <c r="Q20" s="19"/>
      <c r="R20" s="35">
        <v>162</v>
      </c>
      <c r="S20" s="19"/>
      <c r="T20" s="33">
        <v>211</v>
      </c>
      <c r="U20" s="19"/>
      <c r="W20" s="22">
        <v>15</v>
      </c>
      <c r="X20" s="19"/>
      <c r="Y20" s="22">
        <v>64</v>
      </c>
      <c r="Z20" s="19"/>
      <c r="AA20" s="22">
        <f t="shared" si="2"/>
        <v>113</v>
      </c>
      <c r="AB20" s="19">
        <v>198.7</v>
      </c>
      <c r="AC20" s="35">
        <v>162</v>
      </c>
      <c r="AD20" s="19">
        <v>207.5</v>
      </c>
      <c r="AE20" s="33">
        <v>211</v>
      </c>
      <c r="AF20" s="19">
        <v>211.8</v>
      </c>
    </row>
    <row r="21" spans="1:32" ht="15.75" x14ac:dyDescent="0.25">
      <c r="A21" s="22">
        <v>16</v>
      </c>
      <c r="B21" s="19">
        <v>187</v>
      </c>
      <c r="C21" s="22">
        <v>65</v>
      </c>
      <c r="D21" s="19">
        <v>188.2</v>
      </c>
      <c r="E21" s="22">
        <f t="shared" si="0"/>
        <v>114</v>
      </c>
      <c r="F21" s="19">
        <v>192</v>
      </c>
      <c r="G21" s="35">
        <v>163</v>
      </c>
      <c r="H21" s="119">
        <v>215.3</v>
      </c>
      <c r="I21" s="33">
        <v>212</v>
      </c>
      <c r="J21" s="19">
        <v>214.8</v>
      </c>
      <c r="L21" s="22">
        <v>16</v>
      </c>
      <c r="M21" s="19">
        <v>187</v>
      </c>
      <c r="N21" s="22">
        <v>65</v>
      </c>
      <c r="O21" s="19">
        <v>188.2</v>
      </c>
      <c r="P21" s="22">
        <f t="shared" si="1"/>
        <v>114</v>
      </c>
      <c r="Q21" s="19"/>
      <c r="R21" s="35">
        <v>163</v>
      </c>
      <c r="S21" s="19"/>
      <c r="T21" s="33">
        <v>212</v>
      </c>
      <c r="U21" s="19"/>
      <c r="W21" s="22">
        <v>16</v>
      </c>
      <c r="X21" s="19"/>
      <c r="Y21" s="22">
        <v>65</v>
      </c>
      <c r="Z21" s="19"/>
      <c r="AA21" s="22">
        <f t="shared" si="2"/>
        <v>114</v>
      </c>
      <c r="AB21" s="19">
        <v>192</v>
      </c>
      <c r="AC21" s="35">
        <v>163</v>
      </c>
      <c r="AD21" s="19">
        <v>215.3</v>
      </c>
      <c r="AE21" s="33">
        <v>212</v>
      </c>
      <c r="AF21" s="19">
        <v>214.8</v>
      </c>
    </row>
    <row r="22" spans="1:32" ht="15.75" x14ac:dyDescent="0.25">
      <c r="A22" s="22">
        <v>17</v>
      </c>
      <c r="B22" s="19">
        <v>194</v>
      </c>
      <c r="C22" s="22">
        <v>66</v>
      </c>
      <c r="D22" s="19">
        <v>190.5</v>
      </c>
      <c r="E22" s="22">
        <f t="shared" si="0"/>
        <v>115</v>
      </c>
      <c r="F22" s="19">
        <v>204.7</v>
      </c>
      <c r="G22" s="35">
        <v>164</v>
      </c>
      <c r="H22" s="119">
        <v>208.6</v>
      </c>
      <c r="I22" s="33">
        <v>213</v>
      </c>
      <c r="J22" s="19">
        <v>214.6</v>
      </c>
      <c r="L22" s="22">
        <v>17</v>
      </c>
      <c r="M22" s="19">
        <v>194</v>
      </c>
      <c r="N22" s="22">
        <v>66</v>
      </c>
      <c r="O22" s="19">
        <v>190.5</v>
      </c>
      <c r="P22" s="22">
        <f t="shared" si="1"/>
        <v>115</v>
      </c>
      <c r="Q22" s="19"/>
      <c r="R22" s="35">
        <v>164</v>
      </c>
      <c r="S22" s="19"/>
      <c r="T22" s="33">
        <v>213</v>
      </c>
      <c r="U22" s="19"/>
      <c r="W22" s="22">
        <v>17</v>
      </c>
      <c r="X22" s="19"/>
      <c r="Y22" s="22">
        <v>66</v>
      </c>
      <c r="Z22" s="19"/>
      <c r="AA22" s="22">
        <f t="shared" si="2"/>
        <v>115</v>
      </c>
      <c r="AB22" s="19">
        <v>204.7</v>
      </c>
      <c r="AC22" s="35">
        <v>164</v>
      </c>
      <c r="AD22" s="19">
        <v>208.6</v>
      </c>
      <c r="AE22" s="33">
        <v>213</v>
      </c>
      <c r="AF22" s="19">
        <v>214.6</v>
      </c>
    </row>
    <row r="23" spans="1:32" ht="15.75" x14ac:dyDescent="0.25">
      <c r="A23" s="22">
        <v>18</v>
      </c>
      <c r="B23" s="19">
        <v>200.6</v>
      </c>
      <c r="C23" s="22">
        <v>67</v>
      </c>
      <c r="D23" s="19">
        <v>196.2</v>
      </c>
      <c r="E23" s="22">
        <f t="shared" si="0"/>
        <v>116</v>
      </c>
      <c r="F23" s="19">
        <v>199.3</v>
      </c>
      <c r="G23" s="35">
        <v>165</v>
      </c>
      <c r="H23" s="119">
        <v>211.3</v>
      </c>
      <c r="I23" s="33">
        <v>214</v>
      </c>
      <c r="J23" s="19">
        <v>214.6</v>
      </c>
      <c r="L23" s="22">
        <v>18</v>
      </c>
      <c r="M23" s="19">
        <v>200.6</v>
      </c>
      <c r="N23" s="22">
        <v>67</v>
      </c>
      <c r="O23" s="19">
        <v>196.2</v>
      </c>
      <c r="P23" s="22">
        <f t="shared" si="1"/>
        <v>116</v>
      </c>
      <c r="Q23" s="19"/>
      <c r="R23" s="35">
        <v>165</v>
      </c>
      <c r="S23" s="19"/>
      <c r="T23" s="33">
        <v>214</v>
      </c>
      <c r="U23" s="19"/>
      <c r="W23" s="22">
        <v>18</v>
      </c>
      <c r="X23" s="19"/>
      <c r="Y23" s="22">
        <v>67</v>
      </c>
      <c r="Z23" s="19"/>
      <c r="AA23" s="22">
        <f t="shared" si="2"/>
        <v>116</v>
      </c>
      <c r="AB23" s="19">
        <v>199.3</v>
      </c>
      <c r="AC23" s="35">
        <v>165</v>
      </c>
      <c r="AD23" s="19">
        <v>211.3</v>
      </c>
      <c r="AE23" s="33">
        <v>214</v>
      </c>
      <c r="AF23" s="19">
        <v>214.6</v>
      </c>
    </row>
    <row r="24" spans="1:32" ht="15.75" x14ac:dyDescent="0.25">
      <c r="A24" s="22">
        <v>19</v>
      </c>
      <c r="B24" s="19">
        <v>208.5</v>
      </c>
      <c r="C24" s="22">
        <v>68</v>
      </c>
      <c r="D24" s="19">
        <v>193.5</v>
      </c>
      <c r="E24" s="22">
        <f t="shared" si="0"/>
        <v>117</v>
      </c>
      <c r="F24" s="19">
        <v>198.9</v>
      </c>
      <c r="G24" s="35">
        <v>166</v>
      </c>
      <c r="H24" s="119">
        <v>211.8</v>
      </c>
      <c r="I24" s="33">
        <v>215</v>
      </c>
      <c r="J24" s="19">
        <v>220.5</v>
      </c>
      <c r="L24" s="22">
        <v>19</v>
      </c>
      <c r="M24" s="19">
        <v>208.5</v>
      </c>
      <c r="N24" s="22">
        <v>68</v>
      </c>
      <c r="O24" s="19">
        <v>193.5</v>
      </c>
      <c r="P24" s="22">
        <f t="shared" si="1"/>
        <v>117</v>
      </c>
      <c r="Q24" s="19"/>
      <c r="R24" s="35">
        <v>166</v>
      </c>
      <c r="S24" s="19"/>
      <c r="T24" s="33">
        <v>215</v>
      </c>
      <c r="U24" s="19"/>
      <c r="W24" s="22">
        <v>19</v>
      </c>
      <c r="X24" s="19"/>
      <c r="Y24" s="22">
        <v>68</v>
      </c>
      <c r="Z24" s="19"/>
      <c r="AA24" s="22">
        <f t="shared" si="2"/>
        <v>117</v>
      </c>
      <c r="AB24" s="19">
        <v>198.9</v>
      </c>
      <c r="AC24" s="35">
        <v>166</v>
      </c>
      <c r="AD24" s="19">
        <v>211.8</v>
      </c>
      <c r="AE24" s="33">
        <v>215</v>
      </c>
      <c r="AF24" s="19">
        <v>220.5</v>
      </c>
    </row>
    <row r="25" spans="1:32" ht="15.75" x14ac:dyDescent="0.25">
      <c r="A25" s="22">
        <v>20</v>
      </c>
      <c r="B25" s="19">
        <v>203.4</v>
      </c>
      <c r="C25" s="22">
        <v>69</v>
      </c>
      <c r="D25" s="19">
        <v>203.5</v>
      </c>
      <c r="E25" s="22">
        <f t="shared" si="0"/>
        <v>118</v>
      </c>
      <c r="F25" s="19">
        <v>207.8</v>
      </c>
      <c r="G25" s="35">
        <v>167</v>
      </c>
      <c r="H25" s="119">
        <v>204.9</v>
      </c>
      <c r="I25" s="33">
        <v>216</v>
      </c>
      <c r="J25" s="19">
        <v>212</v>
      </c>
      <c r="L25" s="22">
        <v>20</v>
      </c>
      <c r="M25" s="19">
        <v>203.4</v>
      </c>
      <c r="N25" s="22">
        <v>69</v>
      </c>
      <c r="O25" s="19">
        <v>203.5</v>
      </c>
      <c r="P25" s="22">
        <f t="shared" si="1"/>
        <v>118</v>
      </c>
      <c r="Q25" s="19"/>
      <c r="R25" s="35">
        <v>167</v>
      </c>
      <c r="S25" s="19"/>
      <c r="T25" s="33">
        <v>216</v>
      </c>
      <c r="U25" s="19"/>
      <c r="W25" s="22">
        <v>20</v>
      </c>
      <c r="X25" s="19"/>
      <c r="Y25" s="22">
        <v>69</v>
      </c>
      <c r="Z25" s="19"/>
      <c r="AA25" s="22">
        <f t="shared" si="2"/>
        <v>118</v>
      </c>
      <c r="AB25" s="19">
        <v>207.8</v>
      </c>
      <c r="AC25" s="35">
        <v>167</v>
      </c>
      <c r="AD25" s="19">
        <v>204.9</v>
      </c>
      <c r="AE25" s="33">
        <v>216</v>
      </c>
      <c r="AF25" s="19">
        <v>212</v>
      </c>
    </row>
    <row r="26" spans="1:32" ht="15.75" x14ac:dyDescent="0.25">
      <c r="A26" s="22">
        <v>21</v>
      </c>
      <c r="B26" s="19">
        <v>191.7</v>
      </c>
      <c r="C26" s="22">
        <v>70</v>
      </c>
      <c r="D26" s="19">
        <v>193.8</v>
      </c>
      <c r="E26" s="22">
        <f t="shared" si="0"/>
        <v>119</v>
      </c>
      <c r="F26" s="19">
        <v>199.1</v>
      </c>
      <c r="G26" s="35">
        <v>168</v>
      </c>
      <c r="H26" s="119">
        <v>212.3</v>
      </c>
      <c r="I26" s="33">
        <v>217</v>
      </c>
      <c r="J26" s="19">
        <v>217.4</v>
      </c>
      <c r="L26" s="22">
        <v>21</v>
      </c>
      <c r="M26" s="19">
        <v>191.7</v>
      </c>
      <c r="N26" s="22">
        <v>70</v>
      </c>
      <c r="O26" s="19">
        <v>193.8</v>
      </c>
      <c r="P26" s="22">
        <f t="shared" si="1"/>
        <v>119</v>
      </c>
      <c r="Q26" s="19"/>
      <c r="R26" s="35">
        <v>168</v>
      </c>
      <c r="S26" s="19"/>
      <c r="T26" s="33">
        <v>217</v>
      </c>
      <c r="U26" s="19"/>
      <c r="W26" s="22">
        <v>21</v>
      </c>
      <c r="X26" s="19"/>
      <c r="Y26" s="22">
        <v>70</v>
      </c>
      <c r="Z26" s="19"/>
      <c r="AA26" s="22">
        <f t="shared" si="2"/>
        <v>119</v>
      </c>
      <c r="AB26" s="19">
        <v>199.1</v>
      </c>
      <c r="AC26" s="35">
        <v>168</v>
      </c>
      <c r="AD26" s="19">
        <v>212.3</v>
      </c>
      <c r="AE26" s="33">
        <v>217</v>
      </c>
      <c r="AF26" s="19">
        <v>217.4</v>
      </c>
    </row>
    <row r="27" spans="1:32" ht="15.75" x14ac:dyDescent="0.25">
      <c r="A27" s="22">
        <v>22</v>
      </c>
      <c r="B27" s="19">
        <v>198.5</v>
      </c>
      <c r="C27" s="22">
        <v>71</v>
      </c>
      <c r="D27" s="19">
        <v>197.7</v>
      </c>
      <c r="E27" s="22">
        <f t="shared" si="0"/>
        <v>120</v>
      </c>
      <c r="F27" s="19">
        <v>194.5</v>
      </c>
      <c r="G27" s="35">
        <v>169</v>
      </c>
      <c r="H27" s="119">
        <v>204.6</v>
      </c>
      <c r="I27" s="33">
        <v>218</v>
      </c>
      <c r="J27" s="19">
        <v>220.5</v>
      </c>
      <c r="L27" s="22">
        <v>22</v>
      </c>
      <c r="M27" s="19">
        <v>198.5</v>
      </c>
      <c r="N27" s="22">
        <v>71</v>
      </c>
      <c r="O27" s="19">
        <v>197.7</v>
      </c>
      <c r="P27" s="22">
        <f t="shared" si="1"/>
        <v>120</v>
      </c>
      <c r="Q27" s="19"/>
      <c r="R27" s="35">
        <v>169</v>
      </c>
      <c r="S27" s="19"/>
      <c r="T27" s="33">
        <v>218</v>
      </c>
      <c r="U27" s="19"/>
      <c r="W27" s="22">
        <v>22</v>
      </c>
      <c r="X27" s="19"/>
      <c r="Y27" s="22">
        <v>71</v>
      </c>
      <c r="Z27" s="19"/>
      <c r="AA27" s="22">
        <f t="shared" si="2"/>
        <v>120</v>
      </c>
      <c r="AB27" s="19">
        <v>194.5</v>
      </c>
      <c r="AC27" s="35">
        <v>169</v>
      </c>
      <c r="AD27" s="19">
        <v>204.6</v>
      </c>
      <c r="AE27" s="33">
        <v>218</v>
      </c>
      <c r="AF27" s="19">
        <v>220.5</v>
      </c>
    </row>
    <row r="28" spans="1:32" ht="15.75" x14ac:dyDescent="0.25">
      <c r="A28" s="22">
        <v>23</v>
      </c>
      <c r="B28" s="19">
        <v>192.9</v>
      </c>
      <c r="C28" s="22">
        <v>72</v>
      </c>
      <c r="D28" s="19">
        <v>195.4</v>
      </c>
      <c r="E28" s="22">
        <f t="shared" si="0"/>
        <v>121</v>
      </c>
      <c r="F28" s="19">
        <v>206.1</v>
      </c>
      <c r="G28" s="35">
        <v>170</v>
      </c>
      <c r="H28" s="119">
        <v>207</v>
      </c>
      <c r="I28" s="33">
        <v>219</v>
      </c>
      <c r="J28" s="19">
        <v>218.1</v>
      </c>
      <c r="L28" s="22">
        <v>23</v>
      </c>
      <c r="M28" s="19">
        <v>192.9</v>
      </c>
      <c r="N28" s="22">
        <v>72</v>
      </c>
      <c r="O28" s="19">
        <v>195.4</v>
      </c>
      <c r="P28" s="22">
        <f t="shared" si="1"/>
        <v>121</v>
      </c>
      <c r="Q28" s="19"/>
      <c r="R28" s="35">
        <v>170</v>
      </c>
      <c r="S28" s="19"/>
      <c r="T28" s="33">
        <v>219</v>
      </c>
      <c r="U28" s="19"/>
      <c r="W28" s="22">
        <v>23</v>
      </c>
      <c r="X28" s="19"/>
      <c r="Y28" s="22">
        <v>72</v>
      </c>
      <c r="Z28" s="19"/>
      <c r="AA28" s="22">
        <f t="shared" si="2"/>
        <v>121</v>
      </c>
      <c r="AB28" s="19">
        <v>206.1</v>
      </c>
      <c r="AC28" s="35">
        <v>170</v>
      </c>
      <c r="AD28" s="19">
        <v>207</v>
      </c>
      <c r="AE28" s="33">
        <v>219</v>
      </c>
      <c r="AF28" s="19">
        <v>218.1</v>
      </c>
    </row>
    <row r="29" spans="1:32" ht="15.75" x14ac:dyDescent="0.25">
      <c r="A29" s="22">
        <v>24</v>
      </c>
      <c r="B29" s="19">
        <v>196.1</v>
      </c>
      <c r="C29" s="22">
        <v>73</v>
      </c>
      <c r="D29" s="19">
        <v>193.3</v>
      </c>
      <c r="E29" s="22">
        <f t="shared" si="0"/>
        <v>122</v>
      </c>
      <c r="F29" s="19">
        <v>194.8</v>
      </c>
      <c r="G29" s="35">
        <v>171</v>
      </c>
      <c r="H29" s="119">
        <v>212.7</v>
      </c>
      <c r="I29" s="33">
        <v>220</v>
      </c>
      <c r="J29" s="19">
        <v>205.3</v>
      </c>
      <c r="L29" s="22">
        <v>24</v>
      </c>
      <c r="M29" s="19">
        <v>196.1</v>
      </c>
      <c r="N29" s="22">
        <v>73</v>
      </c>
      <c r="O29" s="19">
        <v>193.3</v>
      </c>
      <c r="P29" s="22">
        <f t="shared" si="1"/>
        <v>122</v>
      </c>
      <c r="Q29" s="19"/>
      <c r="R29" s="35">
        <v>171</v>
      </c>
      <c r="S29" s="19"/>
      <c r="T29" s="33">
        <v>220</v>
      </c>
      <c r="U29" s="19"/>
      <c r="W29" s="22">
        <v>24</v>
      </c>
      <c r="X29" s="19"/>
      <c r="Y29" s="22">
        <v>73</v>
      </c>
      <c r="Z29" s="19"/>
      <c r="AA29" s="22">
        <f t="shared" si="2"/>
        <v>122</v>
      </c>
      <c r="AB29" s="19">
        <v>194.8</v>
      </c>
      <c r="AC29" s="35">
        <v>171</v>
      </c>
      <c r="AD29" s="19">
        <v>212.7</v>
      </c>
      <c r="AE29" s="33">
        <v>220</v>
      </c>
      <c r="AF29" s="19">
        <v>205.3</v>
      </c>
    </row>
    <row r="30" spans="1:32" ht="15.75" x14ac:dyDescent="0.25">
      <c r="A30" s="22">
        <v>25</v>
      </c>
      <c r="B30" s="19">
        <v>203.7</v>
      </c>
      <c r="C30" s="22">
        <v>74</v>
      </c>
      <c r="D30" s="19">
        <v>190</v>
      </c>
      <c r="E30" s="22">
        <f t="shared" si="0"/>
        <v>123</v>
      </c>
      <c r="F30" s="19">
        <v>200.4</v>
      </c>
      <c r="G30" s="35">
        <v>172</v>
      </c>
      <c r="H30" s="119">
        <v>211.7</v>
      </c>
      <c r="I30" s="20"/>
      <c r="J30" s="36"/>
      <c r="L30" s="22">
        <v>25</v>
      </c>
      <c r="M30" s="19">
        <v>203.7</v>
      </c>
      <c r="N30" s="22">
        <v>74</v>
      </c>
      <c r="O30" s="19">
        <v>190</v>
      </c>
      <c r="P30" s="22">
        <f t="shared" si="1"/>
        <v>123</v>
      </c>
      <c r="Q30" s="19"/>
      <c r="R30" s="35">
        <v>172</v>
      </c>
      <c r="S30" s="19"/>
      <c r="T30" s="20"/>
      <c r="U30" s="36"/>
      <c r="W30" s="22">
        <v>25</v>
      </c>
      <c r="X30" s="19"/>
      <c r="Y30" s="22">
        <v>74</v>
      </c>
      <c r="Z30" s="19"/>
      <c r="AA30" s="22">
        <f t="shared" si="2"/>
        <v>123</v>
      </c>
      <c r="AB30" s="19">
        <v>200.4</v>
      </c>
      <c r="AC30" s="35">
        <v>172</v>
      </c>
      <c r="AD30" s="19">
        <v>211.7</v>
      </c>
      <c r="AE30" s="20"/>
      <c r="AF30" s="36"/>
    </row>
    <row r="31" spans="1:32" ht="15.75" x14ac:dyDescent="0.25">
      <c r="A31" s="22">
        <v>26</v>
      </c>
      <c r="B31" s="19">
        <v>193.5</v>
      </c>
      <c r="C31" s="22">
        <v>75</v>
      </c>
      <c r="D31" s="19">
        <v>196.7</v>
      </c>
      <c r="E31" s="22">
        <f t="shared" si="0"/>
        <v>124</v>
      </c>
      <c r="F31" s="19">
        <v>203.6</v>
      </c>
      <c r="G31" s="35">
        <v>173</v>
      </c>
      <c r="H31" s="119">
        <v>206.1</v>
      </c>
      <c r="I31" s="20"/>
      <c r="J31" s="36"/>
      <c r="L31" s="22">
        <v>26</v>
      </c>
      <c r="M31" s="19">
        <v>193.5</v>
      </c>
      <c r="N31" s="22">
        <v>75</v>
      </c>
      <c r="O31" s="19">
        <v>196.7</v>
      </c>
      <c r="P31" s="22">
        <f t="shared" si="1"/>
        <v>124</v>
      </c>
      <c r="Q31" s="19"/>
      <c r="R31" s="35">
        <v>173</v>
      </c>
      <c r="S31" s="19"/>
      <c r="T31" s="20"/>
      <c r="U31" s="36"/>
      <c r="W31" s="22">
        <v>26</v>
      </c>
      <c r="X31" s="19"/>
      <c r="Y31" s="22">
        <v>75</v>
      </c>
      <c r="Z31" s="19"/>
      <c r="AA31" s="22">
        <f t="shared" si="2"/>
        <v>124</v>
      </c>
      <c r="AB31" s="19">
        <v>203.6</v>
      </c>
      <c r="AC31" s="35">
        <v>173</v>
      </c>
      <c r="AD31" s="19">
        <v>206.1</v>
      </c>
      <c r="AE31" s="20"/>
      <c r="AF31" s="36"/>
    </row>
    <row r="32" spans="1:32" ht="15.75" x14ac:dyDescent="0.25">
      <c r="A32" s="22">
        <v>27</v>
      </c>
      <c r="B32" s="19">
        <v>192.7</v>
      </c>
      <c r="C32" s="22">
        <v>76</v>
      </c>
      <c r="D32" s="19">
        <v>185.6</v>
      </c>
      <c r="E32" s="22">
        <f t="shared" si="0"/>
        <v>125</v>
      </c>
      <c r="F32" s="19">
        <v>192.7</v>
      </c>
      <c r="G32" s="33">
        <v>174</v>
      </c>
      <c r="H32" s="119">
        <v>209.3</v>
      </c>
      <c r="I32" s="21"/>
      <c r="J32" s="36"/>
      <c r="L32" s="22">
        <v>27</v>
      </c>
      <c r="M32" s="19">
        <v>192.7</v>
      </c>
      <c r="N32" s="22">
        <v>76</v>
      </c>
      <c r="O32" s="19">
        <v>185.6</v>
      </c>
      <c r="P32" s="22">
        <f t="shared" si="1"/>
        <v>125</v>
      </c>
      <c r="Q32" s="19"/>
      <c r="R32" s="33">
        <v>174</v>
      </c>
      <c r="S32" s="19"/>
      <c r="T32" s="21"/>
      <c r="U32" s="36"/>
      <c r="W32" s="22">
        <v>27</v>
      </c>
      <c r="X32" s="19"/>
      <c r="Y32" s="22">
        <v>76</v>
      </c>
      <c r="Z32" s="19"/>
      <c r="AA32" s="22">
        <f t="shared" si="2"/>
        <v>125</v>
      </c>
      <c r="AB32" s="19">
        <v>192.7</v>
      </c>
      <c r="AC32" s="33">
        <v>174</v>
      </c>
      <c r="AD32" s="19">
        <v>209.3</v>
      </c>
      <c r="AE32" s="21"/>
      <c r="AF32" s="36"/>
    </row>
    <row r="33" spans="1:32" ht="15.75" x14ac:dyDescent="0.25">
      <c r="A33" s="22">
        <v>28</v>
      </c>
      <c r="B33" s="19">
        <v>198.3</v>
      </c>
      <c r="C33" s="22">
        <v>77</v>
      </c>
      <c r="D33" s="19">
        <v>192.9</v>
      </c>
      <c r="E33" s="22">
        <f t="shared" si="0"/>
        <v>126</v>
      </c>
      <c r="F33" s="19">
        <v>198.8</v>
      </c>
      <c r="G33" s="33">
        <v>175</v>
      </c>
      <c r="H33" s="119">
        <v>208.4</v>
      </c>
      <c r="I33" s="20"/>
      <c r="J33" s="36"/>
      <c r="L33" s="22">
        <v>28</v>
      </c>
      <c r="M33" s="19">
        <v>198.3</v>
      </c>
      <c r="N33" s="22">
        <v>77</v>
      </c>
      <c r="O33" s="19">
        <v>192.9</v>
      </c>
      <c r="P33" s="22">
        <f t="shared" si="1"/>
        <v>126</v>
      </c>
      <c r="Q33" s="19"/>
      <c r="R33" s="33">
        <v>175</v>
      </c>
      <c r="S33" s="19"/>
      <c r="T33" s="20"/>
      <c r="U33" s="36"/>
      <c r="W33" s="22">
        <v>28</v>
      </c>
      <c r="X33" s="19"/>
      <c r="Y33" s="22">
        <v>77</v>
      </c>
      <c r="Z33" s="19"/>
      <c r="AA33" s="22">
        <f t="shared" si="2"/>
        <v>126</v>
      </c>
      <c r="AB33" s="19">
        <v>198.8</v>
      </c>
      <c r="AC33" s="33">
        <v>175</v>
      </c>
      <c r="AD33" s="19">
        <v>208.4</v>
      </c>
      <c r="AE33" s="20"/>
      <c r="AF33" s="36"/>
    </row>
    <row r="34" spans="1:32" ht="15.75" x14ac:dyDescent="0.25">
      <c r="A34" s="22">
        <v>29</v>
      </c>
      <c r="B34" s="19">
        <v>206.2</v>
      </c>
      <c r="C34" s="22">
        <v>78</v>
      </c>
      <c r="D34" s="19">
        <v>192.3</v>
      </c>
      <c r="E34" s="22">
        <f t="shared" si="0"/>
        <v>127</v>
      </c>
      <c r="F34" s="19">
        <v>204</v>
      </c>
      <c r="G34" s="33">
        <v>176</v>
      </c>
      <c r="H34" s="119">
        <v>216</v>
      </c>
      <c r="I34" s="20"/>
      <c r="J34" s="36"/>
      <c r="L34" s="22">
        <v>29</v>
      </c>
      <c r="M34" s="19">
        <v>206.2</v>
      </c>
      <c r="N34" s="22">
        <v>78</v>
      </c>
      <c r="O34" s="19">
        <v>192.3</v>
      </c>
      <c r="P34" s="22">
        <f t="shared" si="1"/>
        <v>127</v>
      </c>
      <c r="Q34" s="19"/>
      <c r="R34" s="33">
        <v>176</v>
      </c>
      <c r="S34" s="19"/>
      <c r="T34" s="20"/>
      <c r="U34" s="36"/>
      <c r="W34" s="22">
        <v>29</v>
      </c>
      <c r="X34" s="19"/>
      <c r="Y34" s="22">
        <v>78</v>
      </c>
      <c r="Z34" s="19"/>
      <c r="AA34" s="22">
        <f t="shared" si="2"/>
        <v>127</v>
      </c>
      <c r="AB34" s="19">
        <v>204</v>
      </c>
      <c r="AC34" s="33">
        <v>176</v>
      </c>
      <c r="AD34" s="19">
        <v>216</v>
      </c>
      <c r="AE34" s="20"/>
      <c r="AF34" s="36"/>
    </row>
    <row r="35" spans="1:32" ht="15.75" x14ac:dyDescent="0.25">
      <c r="A35" s="22">
        <v>30</v>
      </c>
      <c r="B35" s="19">
        <v>197.3</v>
      </c>
      <c r="C35" s="22">
        <v>79</v>
      </c>
      <c r="D35" s="19">
        <v>204.1</v>
      </c>
      <c r="E35" s="22">
        <f t="shared" si="0"/>
        <v>128</v>
      </c>
      <c r="F35" s="19">
        <v>198</v>
      </c>
      <c r="G35" s="33">
        <v>177</v>
      </c>
      <c r="H35" s="119">
        <v>211</v>
      </c>
      <c r="I35" s="21"/>
      <c r="J35" s="36"/>
      <c r="L35" s="22">
        <v>30</v>
      </c>
      <c r="M35" s="19">
        <v>197.3</v>
      </c>
      <c r="N35" s="22">
        <v>79</v>
      </c>
      <c r="O35" s="19">
        <v>204.1</v>
      </c>
      <c r="P35" s="22">
        <f t="shared" si="1"/>
        <v>128</v>
      </c>
      <c r="Q35" s="19"/>
      <c r="R35" s="33">
        <v>177</v>
      </c>
      <c r="S35" s="19"/>
      <c r="T35" s="21"/>
      <c r="U35" s="36"/>
      <c r="W35" s="22">
        <v>30</v>
      </c>
      <c r="X35" s="19"/>
      <c r="Y35" s="22">
        <v>79</v>
      </c>
      <c r="Z35" s="19"/>
      <c r="AA35" s="22">
        <f t="shared" si="2"/>
        <v>128</v>
      </c>
      <c r="AB35" s="19">
        <v>198</v>
      </c>
      <c r="AC35" s="33">
        <v>177</v>
      </c>
      <c r="AD35" s="19">
        <v>211</v>
      </c>
      <c r="AE35" s="21"/>
      <c r="AF35" s="36"/>
    </row>
    <row r="36" spans="1:32" ht="15.75" x14ac:dyDescent="0.25">
      <c r="A36" s="22">
        <v>31</v>
      </c>
      <c r="B36" s="19">
        <v>197.7</v>
      </c>
      <c r="C36" s="22">
        <v>80</v>
      </c>
      <c r="D36" s="19">
        <v>196.6</v>
      </c>
      <c r="E36" s="22">
        <f t="shared" si="0"/>
        <v>129</v>
      </c>
      <c r="F36" s="19">
        <v>197</v>
      </c>
      <c r="G36" s="33">
        <v>178</v>
      </c>
      <c r="H36" s="119">
        <v>206.9</v>
      </c>
      <c r="I36" s="20"/>
      <c r="J36" s="36"/>
      <c r="L36" s="22">
        <v>31</v>
      </c>
      <c r="M36" s="19">
        <v>197.7</v>
      </c>
      <c r="N36" s="22">
        <v>80</v>
      </c>
      <c r="O36" s="19">
        <v>196.6</v>
      </c>
      <c r="P36" s="22">
        <f t="shared" si="1"/>
        <v>129</v>
      </c>
      <c r="Q36" s="19"/>
      <c r="R36" s="33">
        <v>178</v>
      </c>
      <c r="S36" s="19"/>
      <c r="T36" s="20"/>
      <c r="U36" s="36"/>
      <c r="W36" s="22">
        <v>31</v>
      </c>
      <c r="X36" s="19"/>
      <c r="Y36" s="22">
        <v>80</v>
      </c>
      <c r="Z36" s="19"/>
      <c r="AA36" s="22">
        <f t="shared" si="2"/>
        <v>129</v>
      </c>
      <c r="AB36" s="19">
        <v>197</v>
      </c>
      <c r="AC36" s="33">
        <v>178</v>
      </c>
      <c r="AD36" s="19">
        <v>206.9</v>
      </c>
      <c r="AE36" s="20"/>
      <c r="AF36" s="36"/>
    </row>
    <row r="37" spans="1:32" ht="15.75" x14ac:dyDescent="0.25">
      <c r="A37" s="22">
        <v>32</v>
      </c>
      <c r="B37" s="19">
        <v>193.5</v>
      </c>
      <c r="C37" s="22">
        <v>81</v>
      </c>
      <c r="D37" s="19">
        <v>194.1</v>
      </c>
      <c r="E37" s="22">
        <f t="shared" si="0"/>
        <v>130</v>
      </c>
      <c r="F37" s="19">
        <v>204.3</v>
      </c>
      <c r="G37" s="33">
        <v>179</v>
      </c>
      <c r="H37" s="119">
        <v>208.4</v>
      </c>
      <c r="I37" s="20"/>
      <c r="J37" s="36"/>
      <c r="L37" s="22">
        <v>32</v>
      </c>
      <c r="M37" s="19">
        <v>193.5</v>
      </c>
      <c r="N37" s="22">
        <v>81</v>
      </c>
      <c r="O37" s="19">
        <v>194.1</v>
      </c>
      <c r="P37" s="22">
        <f t="shared" si="1"/>
        <v>130</v>
      </c>
      <c r="Q37" s="19"/>
      <c r="R37" s="33">
        <v>179</v>
      </c>
      <c r="S37" s="19"/>
      <c r="T37" s="20"/>
      <c r="U37" s="36"/>
      <c r="W37" s="22">
        <v>32</v>
      </c>
      <c r="X37" s="19"/>
      <c r="Y37" s="22">
        <v>81</v>
      </c>
      <c r="Z37" s="19"/>
      <c r="AA37" s="22">
        <f t="shared" si="2"/>
        <v>130</v>
      </c>
      <c r="AB37" s="19">
        <v>204.3</v>
      </c>
      <c r="AC37" s="33">
        <v>179</v>
      </c>
      <c r="AD37" s="19">
        <v>208.4</v>
      </c>
      <c r="AE37" s="20"/>
      <c r="AF37" s="36"/>
    </row>
    <row r="38" spans="1:32" ht="15.75" x14ac:dyDescent="0.25">
      <c r="A38" s="22">
        <v>33</v>
      </c>
      <c r="B38" s="19">
        <v>204.2</v>
      </c>
      <c r="C38" s="22">
        <v>82</v>
      </c>
      <c r="D38" s="19">
        <v>201.1</v>
      </c>
      <c r="E38" s="22">
        <f t="shared" si="0"/>
        <v>131</v>
      </c>
      <c r="F38" s="19">
        <v>196.5</v>
      </c>
      <c r="G38" s="33">
        <v>180</v>
      </c>
      <c r="H38" s="119">
        <v>206.7</v>
      </c>
      <c r="I38" s="21"/>
      <c r="J38" s="36"/>
      <c r="L38" s="22">
        <v>33</v>
      </c>
      <c r="M38" s="19">
        <v>204.2</v>
      </c>
      <c r="N38" s="22">
        <v>82</v>
      </c>
      <c r="O38" s="19">
        <v>201.1</v>
      </c>
      <c r="P38" s="22">
        <f t="shared" si="1"/>
        <v>131</v>
      </c>
      <c r="Q38" s="19"/>
      <c r="R38" s="33">
        <v>180</v>
      </c>
      <c r="S38" s="19"/>
      <c r="T38" s="21"/>
      <c r="U38" s="36"/>
      <c r="W38" s="22">
        <v>33</v>
      </c>
      <c r="X38" s="19"/>
      <c r="Y38" s="22">
        <v>82</v>
      </c>
      <c r="Z38" s="19"/>
      <c r="AA38" s="22">
        <f t="shared" si="2"/>
        <v>131</v>
      </c>
      <c r="AB38" s="19">
        <v>196.5</v>
      </c>
      <c r="AC38" s="33">
        <v>180</v>
      </c>
      <c r="AD38" s="19">
        <v>206.7</v>
      </c>
      <c r="AE38" s="21"/>
      <c r="AF38" s="36"/>
    </row>
    <row r="39" spans="1:32" ht="15.75" x14ac:dyDescent="0.25">
      <c r="A39" s="22">
        <v>34</v>
      </c>
      <c r="B39" s="19">
        <v>197.5</v>
      </c>
      <c r="C39" s="22">
        <v>83</v>
      </c>
      <c r="D39" s="19">
        <v>198.5</v>
      </c>
      <c r="E39" s="22">
        <f t="shared" si="0"/>
        <v>132</v>
      </c>
      <c r="F39" s="19">
        <v>196.9</v>
      </c>
      <c r="G39" s="33">
        <v>181</v>
      </c>
      <c r="H39" s="119">
        <v>217.6</v>
      </c>
      <c r="I39" s="21"/>
      <c r="J39" s="36"/>
      <c r="L39" s="22">
        <v>34</v>
      </c>
      <c r="M39" s="19">
        <v>197.5</v>
      </c>
      <c r="N39" s="22">
        <v>83</v>
      </c>
      <c r="O39" s="19">
        <v>198.5</v>
      </c>
      <c r="P39" s="22">
        <f t="shared" si="1"/>
        <v>132</v>
      </c>
      <c r="Q39" s="19"/>
      <c r="R39" s="33">
        <v>181</v>
      </c>
      <c r="S39" s="19"/>
      <c r="T39" s="21"/>
      <c r="U39" s="36"/>
      <c r="W39" s="22">
        <v>34</v>
      </c>
      <c r="X39" s="19"/>
      <c r="Y39" s="22">
        <v>83</v>
      </c>
      <c r="Z39" s="19"/>
      <c r="AA39" s="22">
        <f t="shared" si="2"/>
        <v>132</v>
      </c>
      <c r="AB39" s="19">
        <v>196.9</v>
      </c>
      <c r="AC39" s="33">
        <v>181</v>
      </c>
      <c r="AD39" s="19">
        <v>217.6</v>
      </c>
      <c r="AE39" s="21"/>
      <c r="AF39" s="36"/>
    </row>
    <row r="40" spans="1:32" ht="15.75" x14ac:dyDescent="0.25">
      <c r="A40" s="22">
        <v>35</v>
      </c>
      <c r="B40" s="19">
        <v>189.1</v>
      </c>
      <c r="C40" s="22">
        <v>84</v>
      </c>
      <c r="D40" s="19">
        <v>201.5</v>
      </c>
      <c r="E40" s="22">
        <f t="shared" si="0"/>
        <v>133</v>
      </c>
      <c r="F40" s="19">
        <v>204.9</v>
      </c>
      <c r="G40" s="33">
        <v>182</v>
      </c>
      <c r="H40" s="119">
        <v>212.4</v>
      </c>
      <c r="I40" s="20"/>
      <c r="J40" s="36"/>
      <c r="L40" s="22">
        <v>35</v>
      </c>
      <c r="M40" s="19">
        <v>189.1</v>
      </c>
      <c r="N40" s="22">
        <v>84</v>
      </c>
      <c r="O40" s="19">
        <v>201.5</v>
      </c>
      <c r="P40" s="22">
        <f t="shared" si="1"/>
        <v>133</v>
      </c>
      <c r="Q40" s="19"/>
      <c r="R40" s="33">
        <v>182</v>
      </c>
      <c r="S40" s="19"/>
      <c r="T40" s="20"/>
      <c r="U40" s="36"/>
      <c r="W40" s="22">
        <v>35</v>
      </c>
      <c r="X40" s="19"/>
      <c r="Y40" s="22">
        <v>84</v>
      </c>
      <c r="Z40" s="19"/>
      <c r="AA40" s="22">
        <f t="shared" si="2"/>
        <v>133</v>
      </c>
      <c r="AB40" s="19">
        <v>204.9</v>
      </c>
      <c r="AC40" s="33">
        <v>182</v>
      </c>
      <c r="AD40" s="19">
        <v>212.4</v>
      </c>
      <c r="AE40" s="20"/>
      <c r="AF40" s="36"/>
    </row>
    <row r="41" spans="1:32" ht="15.75" x14ac:dyDescent="0.25">
      <c r="A41" s="22">
        <v>36</v>
      </c>
      <c r="B41" s="19">
        <v>193.4</v>
      </c>
      <c r="C41" s="22">
        <v>85</v>
      </c>
      <c r="D41" s="19">
        <v>208</v>
      </c>
      <c r="E41" s="22">
        <f t="shared" si="0"/>
        <v>134</v>
      </c>
      <c r="F41" s="19">
        <v>196.7</v>
      </c>
      <c r="G41" s="33">
        <v>183</v>
      </c>
      <c r="H41" s="119">
        <v>209.9</v>
      </c>
      <c r="I41" s="20"/>
      <c r="J41" s="36"/>
      <c r="L41" s="22">
        <v>36</v>
      </c>
      <c r="M41" s="19">
        <v>193.4</v>
      </c>
      <c r="N41" s="22">
        <v>85</v>
      </c>
      <c r="O41" s="19">
        <v>208</v>
      </c>
      <c r="P41" s="22">
        <f t="shared" si="1"/>
        <v>134</v>
      </c>
      <c r="Q41" s="19"/>
      <c r="R41" s="33">
        <v>183</v>
      </c>
      <c r="S41" s="19"/>
      <c r="T41" s="20"/>
      <c r="U41" s="36"/>
      <c r="W41" s="22">
        <v>36</v>
      </c>
      <c r="X41" s="19"/>
      <c r="Y41" s="22">
        <v>85</v>
      </c>
      <c r="Z41" s="19"/>
      <c r="AA41" s="22">
        <f t="shared" si="2"/>
        <v>134</v>
      </c>
      <c r="AB41" s="19">
        <v>196.7</v>
      </c>
      <c r="AC41" s="33">
        <v>183</v>
      </c>
      <c r="AD41" s="19">
        <v>209.9</v>
      </c>
      <c r="AE41" s="20"/>
      <c r="AF41" s="36"/>
    </row>
    <row r="42" spans="1:32" ht="15.75" x14ac:dyDescent="0.25">
      <c r="A42" s="22">
        <v>37</v>
      </c>
      <c r="B42" s="19">
        <v>193.9</v>
      </c>
      <c r="C42" s="22">
        <v>86</v>
      </c>
      <c r="D42" s="19">
        <v>198.3</v>
      </c>
      <c r="E42" s="22">
        <f t="shared" si="0"/>
        <v>135</v>
      </c>
      <c r="F42" s="19">
        <v>198</v>
      </c>
      <c r="G42" s="33">
        <v>184</v>
      </c>
      <c r="H42" s="119">
        <v>213.1</v>
      </c>
      <c r="I42" s="21"/>
      <c r="J42" s="36"/>
      <c r="L42" s="22">
        <v>37</v>
      </c>
      <c r="M42" s="19">
        <v>193.9</v>
      </c>
      <c r="N42" s="22">
        <v>86</v>
      </c>
      <c r="O42" s="19">
        <v>198.3</v>
      </c>
      <c r="P42" s="22">
        <f t="shared" si="1"/>
        <v>135</v>
      </c>
      <c r="Q42" s="19"/>
      <c r="R42" s="33">
        <v>184</v>
      </c>
      <c r="S42" s="19"/>
      <c r="T42" s="21"/>
      <c r="U42" s="36"/>
      <c r="W42" s="22">
        <v>37</v>
      </c>
      <c r="X42" s="19"/>
      <c r="Y42" s="22">
        <v>86</v>
      </c>
      <c r="Z42" s="19"/>
      <c r="AA42" s="22">
        <f t="shared" si="2"/>
        <v>135</v>
      </c>
      <c r="AB42" s="19">
        <v>198</v>
      </c>
      <c r="AC42" s="33">
        <v>184</v>
      </c>
      <c r="AD42" s="19">
        <v>213.1</v>
      </c>
      <c r="AE42" s="21"/>
      <c r="AF42" s="36"/>
    </row>
    <row r="43" spans="1:32" ht="15.75" x14ac:dyDescent="0.25">
      <c r="A43" s="22">
        <v>38</v>
      </c>
      <c r="B43" s="19">
        <v>206.3</v>
      </c>
      <c r="C43" s="22">
        <v>87</v>
      </c>
      <c r="D43" s="19">
        <v>201.9</v>
      </c>
      <c r="E43" s="22">
        <f t="shared" si="0"/>
        <v>136</v>
      </c>
      <c r="F43" s="19">
        <v>208.8</v>
      </c>
      <c r="G43" s="33">
        <v>185</v>
      </c>
      <c r="H43" s="119">
        <v>213.5</v>
      </c>
      <c r="I43" s="20"/>
      <c r="J43" s="36"/>
      <c r="L43" s="22">
        <v>38</v>
      </c>
      <c r="M43" s="19">
        <v>206.3</v>
      </c>
      <c r="N43" s="22">
        <v>87</v>
      </c>
      <c r="O43" s="19">
        <v>201.9</v>
      </c>
      <c r="P43" s="22">
        <f t="shared" si="1"/>
        <v>136</v>
      </c>
      <c r="Q43" s="19"/>
      <c r="R43" s="33">
        <v>185</v>
      </c>
      <c r="S43" s="19"/>
      <c r="T43" s="20"/>
      <c r="U43" s="36"/>
      <c r="W43" s="22">
        <v>38</v>
      </c>
      <c r="X43" s="19"/>
      <c r="Y43" s="22">
        <v>87</v>
      </c>
      <c r="Z43" s="19"/>
      <c r="AA43" s="22">
        <f t="shared" si="2"/>
        <v>136</v>
      </c>
      <c r="AB43" s="19">
        <v>208.8</v>
      </c>
      <c r="AC43" s="33">
        <v>185</v>
      </c>
      <c r="AD43" s="19">
        <v>213.5</v>
      </c>
      <c r="AE43" s="20"/>
      <c r="AF43" s="36"/>
    </row>
    <row r="44" spans="1:32" ht="15.75" x14ac:dyDescent="0.25">
      <c r="A44" s="22">
        <v>39</v>
      </c>
      <c r="B44" s="19">
        <v>198.3</v>
      </c>
      <c r="C44" s="22">
        <v>88</v>
      </c>
      <c r="D44" s="19">
        <v>201.4</v>
      </c>
      <c r="E44" s="22">
        <f t="shared" si="0"/>
        <v>137</v>
      </c>
      <c r="F44" s="19">
        <v>202.9</v>
      </c>
      <c r="G44" s="33">
        <v>186</v>
      </c>
      <c r="H44" s="119">
        <v>209.7</v>
      </c>
      <c r="I44" s="20"/>
      <c r="J44" s="36"/>
      <c r="L44" s="22">
        <v>39</v>
      </c>
      <c r="M44" s="19">
        <v>198.3</v>
      </c>
      <c r="N44" s="22">
        <v>88</v>
      </c>
      <c r="O44" s="19">
        <v>201.4</v>
      </c>
      <c r="P44" s="22">
        <f t="shared" si="1"/>
        <v>137</v>
      </c>
      <c r="Q44" s="19"/>
      <c r="R44" s="33">
        <v>186</v>
      </c>
      <c r="S44" s="19"/>
      <c r="T44" s="20"/>
      <c r="U44" s="36"/>
      <c r="W44" s="22">
        <v>39</v>
      </c>
      <c r="X44" s="19"/>
      <c r="Y44" s="22">
        <v>88</v>
      </c>
      <c r="Z44" s="19"/>
      <c r="AA44" s="22">
        <f t="shared" si="2"/>
        <v>137</v>
      </c>
      <c r="AB44" s="19">
        <v>202.9</v>
      </c>
      <c r="AC44" s="33">
        <v>186</v>
      </c>
      <c r="AD44" s="19">
        <v>209.7</v>
      </c>
      <c r="AE44" s="20"/>
      <c r="AF44" s="36"/>
    </row>
    <row r="45" spans="1:32" ht="15.75" x14ac:dyDescent="0.25">
      <c r="A45" s="22">
        <v>40</v>
      </c>
      <c r="B45" s="19">
        <v>191.3</v>
      </c>
      <c r="C45" s="22">
        <v>89</v>
      </c>
      <c r="D45" s="19">
        <v>217.6</v>
      </c>
      <c r="E45" s="22">
        <f t="shared" si="0"/>
        <v>138</v>
      </c>
      <c r="F45" s="19">
        <v>203.3</v>
      </c>
      <c r="G45" s="33">
        <v>187</v>
      </c>
      <c r="H45" s="119">
        <v>208.8</v>
      </c>
      <c r="I45" s="21"/>
      <c r="J45" s="36"/>
      <c r="L45" s="22">
        <v>40</v>
      </c>
      <c r="M45" s="19">
        <v>191.3</v>
      </c>
      <c r="N45" s="22">
        <v>89</v>
      </c>
      <c r="O45" s="19">
        <v>217.6</v>
      </c>
      <c r="P45" s="22">
        <f t="shared" si="1"/>
        <v>138</v>
      </c>
      <c r="Q45" s="19"/>
      <c r="R45" s="33">
        <v>187</v>
      </c>
      <c r="S45" s="19"/>
      <c r="T45" s="21"/>
      <c r="U45" s="36"/>
      <c r="W45" s="22">
        <v>40</v>
      </c>
      <c r="X45" s="19"/>
      <c r="Y45" s="22">
        <v>89</v>
      </c>
      <c r="Z45" s="19"/>
      <c r="AA45" s="22">
        <f t="shared" si="2"/>
        <v>138</v>
      </c>
      <c r="AB45" s="19">
        <v>203.3</v>
      </c>
      <c r="AC45" s="33">
        <v>187</v>
      </c>
      <c r="AD45" s="19">
        <v>208.8</v>
      </c>
      <c r="AE45" s="21"/>
      <c r="AF45" s="36"/>
    </row>
    <row r="46" spans="1:32" ht="15.75" x14ac:dyDescent="0.25">
      <c r="A46" s="22">
        <v>41</v>
      </c>
      <c r="B46" s="19">
        <v>197</v>
      </c>
      <c r="C46" s="22">
        <v>90</v>
      </c>
      <c r="D46" s="19">
        <v>204.5</v>
      </c>
      <c r="E46" s="22">
        <f t="shared" si="0"/>
        <v>139</v>
      </c>
      <c r="F46" s="19">
        <v>212.1</v>
      </c>
      <c r="G46" s="33">
        <v>188</v>
      </c>
      <c r="H46" s="119">
        <v>208.2</v>
      </c>
      <c r="I46" s="20"/>
      <c r="J46" s="36"/>
      <c r="L46" s="22">
        <v>41</v>
      </c>
      <c r="M46" s="19">
        <v>197</v>
      </c>
      <c r="N46" s="22">
        <v>90</v>
      </c>
      <c r="O46" s="19">
        <v>204.5</v>
      </c>
      <c r="P46" s="22">
        <f t="shared" si="1"/>
        <v>139</v>
      </c>
      <c r="Q46" s="19"/>
      <c r="R46" s="33">
        <v>188</v>
      </c>
      <c r="S46" s="19"/>
      <c r="T46" s="20"/>
      <c r="U46" s="36"/>
      <c r="W46" s="22">
        <v>41</v>
      </c>
      <c r="X46" s="19"/>
      <c r="Y46" s="22">
        <v>90</v>
      </c>
      <c r="Z46" s="19"/>
      <c r="AA46" s="22">
        <f t="shared" si="2"/>
        <v>139</v>
      </c>
      <c r="AB46" s="19">
        <v>212.1</v>
      </c>
      <c r="AC46" s="33">
        <v>188</v>
      </c>
      <c r="AD46" s="19">
        <v>208.2</v>
      </c>
      <c r="AE46" s="20"/>
      <c r="AF46" s="36"/>
    </row>
    <row r="47" spans="1:32" ht="15.75" x14ac:dyDescent="0.25">
      <c r="A47" s="22">
        <v>42</v>
      </c>
      <c r="B47" s="19">
        <v>206.9</v>
      </c>
      <c r="C47" s="22">
        <v>91</v>
      </c>
      <c r="D47" s="19">
        <v>205.1</v>
      </c>
      <c r="E47" s="22">
        <f t="shared" si="0"/>
        <v>140</v>
      </c>
      <c r="F47" s="19">
        <v>201.3</v>
      </c>
      <c r="G47" s="33">
        <v>189</v>
      </c>
      <c r="H47" s="119">
        <v>206.2</v>
      </c>
      <c r="I47" s="20"/>
      <c r="J47" s="36"/>
      <c r="L47" s="22">
        <v>42</v>
      </c>
      <c r="M47" s="19">
        <v>206.9</v>
      </c>
      <c r="N47" s="22">
        <v>91</v>
      </c>
      <c r="O47" s="19">
        <v>205.1</v>
      </c>
      <c r="P47" s="22">
        <f t="shared" si="1"/>
        <v>140</v>
      </c>
      <c r="Q47" s="19"/>
      <c r="R47" s="33">
        <v>189</v>
      </c>
      <c r="S47" s="19"/>
      <c r="T47" s="20"/>
      <c r="U47" s="36"/>
      <c r="W47" s="22">
        <v>42</v>
      </c>
      <c r="X47" s="19"/>
      <c r="Y47" s="22">
        <v>91</v>
      </c>
      <c r="Z47" s="19"/>
      <c r="AA47" s="22">
        <f t="shared" si="2"/>
        <v>140</v>
      </c>
      <c r="AB47" s="19">
        <v>201.3</v>
      </c>
      <c r="AC47" s="33">
        <v>189</v>
      </c>
      <c r="AD47" s="19">
        <v>206.2</v>
      </c>
      <c r="AE47" s="20"/>
      <c r="AF47" s="36"/>
    </row>
    <row r="48" spans="1:32" ht="15.75" x14ac:dyDescent="0.25">
      <c r="A48" s="22">
        <v>43</v>
      </c>
      <c r="B48" s="19">
        <v>196.7</v>
      </c>
      <c r="C48" s="22">
        <v>92</v>
      </c>
      <c r="D48" s="19">
        <v>198.7</v>
      </c>
      <c r="E48" s="22">
        <f t="shared" si="0"/>
        <v>141</v>
      </c>
      <c r="F48" s="19">
        <v>193.2</v>
      </c>
      <c r="G48" s="33">
        <v>190</v>
      </c>
      <c r="H48" s="119">
        <v>204.6</v>
      </c>
      <c r="I48" s="21"/>
      <c r="J48" s="36"/>
      <c r="L48" s="22">
        <v>43</v>
      </c>
      <c r="M48" s="19">
        <v>196.7</v>
      </c>
      <c r="N48" s="22">
        <v>92</v>
      </c>
      <c r="O48" s="19">
        <v>198.7</v>
      </c>
      <c r="P48" s="22">
        <f t="shared" si="1"/>
        <v>141</v>
      </c>
      <c r="Q48" s="19"/>
      <c r="R48" s="33">
        <v>190</v>
      </c>
      <c r="S48" s="19"/>
      <c r="T48" s="21"/>
      <c r="U48" s="36"/>
      <c r="W48" s="22">
        <v>43</v>
      </c>
      <c r="X48" s="19"/>
      <c r="Y48" s="22">
        <v>92</v>
      </c>
      <c r="Z48" s="19"/>
      <c r="AA48" s="22">
        <f t="shared" si="2"/>
        <v>141</v>
      </c>
      <c r="AB48" s="19">
        <v>193.2</v>
      </c>
      <c r="AC48" s="33">
        <v>190</v>
      </c>
      <c r="AD48" s="19">
        <v>204.6</v>
      </c>
      <c r="AE48" s="21"/>
      <c r="AF48" s="36"/>
    </row>
    <row r="49" spans="1:32" ht="15.75" x14ac:dyDescent="0.25">
      <c r="A49" s="22">
        <v>44</v>
      </c>
      <c r="B49" s="19">
        <v>198.4</v>
      </c>
      <c r="C49" s="22">
        <v>93</v>
      </c>
      <c r="D49" s="19">
        <v>204.4</v>
      </c>
      <c r="E49" s="22">
        <f t="shared" si="0"/>
        <v>142</v>
      </c>
      <c r="F49" s="19">
        <v>205.3</v>
      </c>
      <c r="G49" s="33">
        <v>191</v>
      </c>
      <c r="H49" s="119">
        <v>204.8</v>
      </c>
      <c r="I49" s="21"/>
      <c r="J49" s="36"/>
      <c r="L49" s="22">
        <v>44</v>
      </c>
      <c r="M49" s="19">
        <v>198.4</v>
      </c>
      <c r="N49" s="22">
        <v>93</v>
      </c>
      <c r="O49" s="19">
        <v>204.4</v>
      </c>
      <c r="P49" s="22">
        <f t="shared" si="1"/>
        <v>142</v>
      </c>
      <c r="Q49" s="19"/>
      <c r="R49" s="33">
        <v>191</v>
      </c>
      <c r="S49" s="19"/>
      <c r="T49" s="21"/>
      <c r="U49" s="36"/>
      <c r="W49" s="22">
        <v>44</v>
      </c>
      <c r="X49" s="19"/>
      <c r="Y49" s="22">
        <v>93</v>
      </c>
      <c r="Z49" s="19"/>
      <c r="AA49" s="22">
        <f t="shared" si="2"/>
        <v>142</v>
      </c>
      <c r="AB49" s="19">
        <v>205.3</v>
      </c>
      <c r="AC49" s="33">
        <v>191</v>
      </c>
      <c r="AD49" s="19">
        <v>204.8</v>
      </c>
      <c r="AE49" s="21"/>
      <c r="AF49" s="36"/>
    </row>
    <row r="50" spans="1:32" ht="15.75" x14ac:dyDescent="0.25">
      <c r="A50" s="22">
        <v>45</v>
      </c>
      <c r="B50" s="19">
        <v>189.6</v>
      </c>
      <c r="C50" s="22">
        <v>94</v>
      </c>
      <c r="D50" s="19">
        <v>204.5</v>
      </c>
      <c r="E50" s="22">
        <f t="shared" si="0"/>
        <v>143</v>
      </c>
      <c r="F50" s="19">
        <v>198.1</v>
      </c>
      <c r="G50" s="33">
        <v>192</v>
      </c>
      <c r="H50" s="119">
        <v>205.8</v>
      </c>
      <c r="I50" s="20"/>
      <c r="J50" s="36"/>
      <c r="L50" s="22">
        <v>45</v>
      </c>
      <c r="M50" s="19">
        <v>189.6</v>
      </c>
      <c r="N50" s="22">
        <v>94</v>
      </c>
      <c r="O50" s="19">
        <v>204.5</v>
      </c>
      <c r="P50" s="22">
        <f t="shared" si="1"/>
        <v>143</v>
      </c>
      <c r="Q50" s="19"/>
      <c r="R50" s="33">
        <v>192</v>
      </c>
      <c r="S50" s="19"/>
      <c r="T50" s="20"/>
      <c r="U50" s="36"/>
      <c r="W50" s="22">
        <v>45</v>
      </c>
      <c r="X50" s="19"/>
      <c r="Y50" s="22">
        <v>94</v>
      </c>
      <c r="Z50" s="19"/>
      <c r="AA50" s="22">
        <f t="shared" si="2"/>
        <v>143</v>
      </c>
      <c r="AB50" s="19">
        <v>198.1</v>
      </c>
      <c r="AC50" s="33">
        <v>192</v>
      </c>
      <c r="AD50" s="19">
        <v>205.8</v>
      </c>
      <c r="AE50" s="20"/>
      <c r="AF50" s="36"/>
    </row>
    <row r="51" spans="1:32" ht="15.75" x14ac:dyDescent="0.25">
      <c r="A51" s="22">
        <v>46</v>
      </c>
      <c r="B51" s="19">
        <v>210.9</v>
      </c>
      <c r="C51" s="22">
        <v>95</v>
      </c>
      <c r="D51" s="19">
        <v>211.4</v>
      </c>
      <c r="E51" s="22">
        <f t="shared" si="0"/>
        <v>144</v>
      </c>
      <c r="F51" s="19">
        <v>204.1</v>
      </c>
      <c r="G51" s="33">
        <v>193</v>
      </c>
      <c r="H51" s="119">
        <v>208.7</v>
      </c>
      <c r="I51" s="20"/>
      <c r="J51" s="36"/>
      <c r="L51" s="22">
        <v>46</v>
      </c>
      <c r="M51" s="19">
        <v>210.9</v>
      </c>
      <c r="N51" s="22">
        <v>95</v>
      </c>
      <c r="O51" s="19">
        <v>211.4</v>
      </c>
      <c r="P51" s="22">
        <f t="shared" si="1"/>
        <v>144</v>
      </c>
      <c r="Q51" s="19"/>
      <c r="R51" s="33">
        <v>193</v>
      </c>
      <c r="S51" s="19"/>
      <c r="T51" s="20"/>
      <c r="U51" s="36"/>
      <c r="W51" s="22">
        <v>46</v>
      </c>
      <c r="X51" s="19"/>
      <c r="Y51" s="22">
        <v>95</v>
      </c>
      <c r="Z51" s="19"/>
      <c r="AA51" s="22">
        <f t="shared" si="2"/>
        <v>144</v>
      </c>
      <c r="AB51" s="19">
        <v>204.1</v>
      </c>
      <c r="AC51" s="33">
        <v>193</v>
      </c>
      <c r="AD51" s="19">
        <v>208.7</v>
      </c>
      <c r="AE51" s="20"/>
      <c r="AF51" s="36"/>
    </row>
    <row r="52" spans="1:32" ht="15.75" x14ac:dyDescent="0.25">
      <c r="A52" s="22">
        <v>47</v>
      </c>
      <c r="B52" s="19">
        <v>192.7</v>
      </c>
      <c r="C52" s="22">
        <v>96</v>
      </c>
      <c r="D52" s="19">
        <v>208.1</v>
      </c>
      <c r="E52" s="22">
        <f t="shared" si="0"/>
        <v>145</v>
      </c>
      <c r="F52" s="19">
        <v>204.5</v>
      </c>
      <c r="G52" s="33">
        <v>194</v>
      </c>
      <c r="H52" s="119">
        <v>195.7</v>
      </c>
      <c r="I52" s="21"/>
      <c r="J52" s="36"/>
      <c r="L52" s="22">
        <v>47</v>
      </c>
      <c r="M52" s="19">
        <v>192.7</v>
      </c>
      <c r="N52" s="22">
        <v>96</v>
      </c>
      <c r="O52" s="19">
        <v>208.1</v>
      </c>
      <c r="P52" s="22">
        <f t="shared" si="1"/>
        <v>145</v>
      </c>
      <c r="Q52" s="19"/>
      <c r="R52" s="33">
        <v>194</v>
      </c>
      <c r="S52" s="19"/>
      <c r="T52" s="21"/>
      <c r="U52" s="36"/>
      <c r="W52" s="22">
        <v>47</v>
      </c>
      <c r="X52" s="19"/>
      <c r="Y52" s="22">
        <v>96</v>
      </c>
      <c r="Z52" s="19"/>
      <c r="AA52" s="22">
        <f t="shared" si="2"/>
        <v>145</v>
      </c>
      <c r="AB52" s="19">
        <v>204.5</v>
      </c>
      <c r="AC52" s="33">
        <v>194</v>
      </c>
      <c r="AD52" s="19">
        <v>195.7</v>
      </c>
      <c r="AE52" s="21"/>
      <c r="AF52" s="36"/>
    </row>
    <row r="53" spans="1:32" ht="15.75" x14ac:dyDescent="0.25">
      <c r="A53" s="22">
        <v>48</v>
      </c>
      <c r="B53" s="19">
        <v>195.4</v>
      </c>
      <c r="C53" s="22">
        <v>97</v>
      </c>
      <c r="D53" s="19">
        <v>199</v>
      </c>
      <c r="E53" s="22">
        <f t="shared" si="0"/>
        <v>146</v>
      </c>
      <c r="F53" s="19">
        <v>205.4</v>
      </c>
      <c r="G53" s="33">
        <v>195</v>
      </c>
      <c r="H53" s="119">
        <v>201.9</v>
      </c>
      <c r="I53" s="20"/>
      <c r="J53" s="36"/>
      <c r="L53" s="22">
        <v>48</v>
      </c>
      <c r="M53" s="19">
        <v>195.4</v>
      </c>
      <c r="N53" s="22">
        <v>97</v>
      </c>
      <c r="O53" s="19">
        <v>199</v>
      </c>
      <c r="P53" s="22">
        <f t="shared" si="1"/>
        <v>146</v>
      </c>
      <c r="Q53" s="19"/>
      <c r="R53" s="33">
        <v>195</v>
      </c>
      <c r="S53" s="19"/>
      <c r="T53" s="20"/>
      <c r="U53" s="36"/>
      <c r="W53" s="22">
        <v>48</v>
      </c>
      <c r="X53" s="19"/>
      <c r="Y53" s="22">
        <v>97</v>
      </c>
      <c r="Z53" s="19"/>
      <c r="AA53" s="22">
        <f t="shared" si="2"/>
        <v>146</v>
      </c>
      <c r="AB53" s="19">
        <v>205.4</v>
      </c>
      <c r="AC53" s="33">
        <v>195</v>
      </c>
      <c r="AD53" s="19">
        <v>201.9</v>
      </c>
      <c r="AE53" s="20"/>
      <c r="AF53" s="36"/>
    </row>
    <row r="54" spans="1:32" ht="15.75" x14ac:dyDescent="0.25">
      <c r="A54" s="37">
        <v>49</v>
      </c>
      <c r="B54" s="19">
        <v>191</v>
      </c>
      <c r="C54" s="37">
        <v>98</v>
      </c>
      <c r="D54" s="19">
        <v>199.3</v>
      </c>
      <c r="E54" s="22">
        <f t="shared" si="0"/>
        <v>147</v>
      </c>
      <c r="F54" s="19">
        <v>203.2</v>
      </c>
      <c r="G54" s="38">
        <v>196</v>
      </c>
      <c r="H54" s="119">
        <v>200.8</v>
      </c>
      <c r="I54" s="39"/>
      <c r="J54" s="40"/>
      <c r="L54" s="37">
        <v>49</v>
      </c>
      <c r="M54" s="19">
        <v>191</v>
      </c>
      <c r="N54" s="37">
        <v>98</v>
      </c>
      <c r="O54" s="19">
        <v>199.3</v>
      </c>
      <c r="P54" s="22">
        <f t="shared" si="1"/>
        <v>147</v>
      </c>
      <c r="Q54" s="19"/>
      <c r="R54" s="38">
        <v>196</v>
      </c>
      <c r="S54" s="19"/>
      <c r="T54" s="39"/>
      <c r="U54" s="40"/>
      <c r="W54" s="37">
        <v>49</v>
      </c>
      <c r="X54" s="19"/>
      <c r="Y54" s="37">
        <v>98</v>
      </c>
      <c r="Z54" s="19"/>
      <c r="AA54" s="22">
        <f t="shared" si="2"/>
        <v>147</v>
      </c>
      <c r="AB54" s="19">
        <v>203.2</v>
      </c>
      <c r="AC54" s="38">
        <v>196</v>
      </c>
      <c r="AD54" s="19">
        <v>200.8</v>
      </c>
      <c r="AE54" s="39"/>
      <c r="AF54" s="40"/>
    </row>
    <row r="55" spans="1:32" ht="15.75" x14ac:dyDescent="0.25">
      <c r="A55" s="41"/>
      <c r="B55" s="117">
        <f>SUM(B6:B54)</f>
        <v>9670.9</v>
      </c>
      <c r="C55" s="117"/>
      <c r="D55" s="117">
        <f>SUM(D6:D54)</f>
        <v>9712.9</v>
      </c>
      <c r="E55" s="117"/>
      <c r="F55" s="117">
        <f>SUM(F6:F54)</f>
        <v>9916.3000000000011</v>
      </c>
      <c r="G55" s="117"/>
      <c r="H55" s="117">
        <f>SUM(H6:H54)</f>
        <v>10188.5</v>
      </c>
      <c r="I55" s="117"/>
      <c r="J55" s="117">
        <f>SUM(J6:J54)</f>
        <v>5012.1000000000004</v>
      </c>
      <c r="L55" s="41"/>
      <c r="M55" s="23">
        <f>SUM(M6:M54)</f>
        <v>9670.9</v>
      </c>
      <c r="N55" s="23"/>
      <c r="O55" s="23">
        <f>SUM(O6:O54)</f>
        <v>9712.9</v>
      </c>
      <c r="P55" s="23"/>
      <c r="Q55" s="23">
        <f>SUM(Q6:Q54)</f>
        <v>2684.6</v>
      </c>
      <c r="R55" s="23"/>
      <c r="S55" s="23">
        <f>SUM(S6:S54)</f>
        <v>0</v>
      </c>
      <c r="T55" s="41"/>
      <c r="U55" s="41">
        <f>SUM(U6:U54)</f>
        <v>0</v>
      </c>
      <c r="W55" s="41"/>
      <c r="X55" s="23">
        <f>SUM(X6:X54)</f>
        <v>0</v>
      </c>
      <c r="Y55" s="23"/>
      <c r="Z55" s="23">
        <f>SUM(Z6:Z54)</f>
        <v>0</v>
      </c>
      <c r="AA55" s="23"/>
      <c r="AB55" s="23">
        <f>SUM(AB6:AB54)</f>
        <v>7231.7</v>
      </c>
      <c r="AC55" s="23"/>
      <c r="AD55" s="23">
        <f>SUM(AD6:AD54)</f>
        <v>10188.5</v>
      </c>
      <c r="AE55" s="41"/>
      <c r="AF55" s="41">
        <f>SUM(AF6:AF54)</f>
        <v>5012.1000000000004</v>
      </c>
    </row>
    <row r="56" spans="1:32" ht="15.75" x14ac:dyDescent="0.25">
      <c r="A56" s="42" t="s">
        <v>5</v>
      </c>
      <c r="B56" s="43">
        <f>COUNT(B6:B54,D6:D54,F6:F54,H6:H54,J6:J54)</f>
        <v>220</v>
      </c>
      <c r="C56" s="13" t="s">
        <v>6</v>
      </c>
      <c r="D56" s="44"/>
      <c r="E56" s="45">
        <f>B55+D55+F55+H55+J55</f>
        <v>44500.7</v>
      </c>
      <c r="F56" s="24" t="s">
        <v>7</v>
      </c>
      <c r="G56" s="1">
        <f>B56*2.1</f>
        <v>462</v>
      </c>
      <c r="H56" s="13" t="s">
        <v>8</v>
      </c>
      <c r="I56" s="44"/>
      <c r="J56" s="45">
        <f>E56-G56</f>
        <v>44038.7</v>
      </c>
      <c r="L56" s="42" t="s">
        <v>5</v>
      </c>
      <c r="M56" s="43">
        <f>COUNT(M6:M54,O6:O54,Q6:Q54,S6:S54,U6:U54)</f>
        <v>111</v>
      </c>
      <c r="N56" s="13" t="s">
        <v>6</v>
      </c>
      <c r="O56" s="44"/>
      <c r="P56" s="45">
        <f>M55+O55+Q55+S55+U55</f>
        <v>22068.399999999998</v>
      </c>
      <c r="Q56" s="24" t="s">
        <v>7</v>
      </c>
      <c r="R56" s="1">
        <f>M56*2.1</f>
        <v>233.10000000000002</v>
      </c>
      <c r="S56" s="13" t="s">
        <v>8</v>
      </c>
      <c r="T56" s="44"/>
      <c r="U56" s="45">
        <f>P56-R56</f>
        <v>21835.3</v>
      </c>
      <c r="W56" s="42" t="s">
        <v>5</v>
      </c>
      <c r="X56" s="43">
        <f>COUNT(X6:X54,Z6:Z54,AB6:AB54,AD6:AD54,AF6:AF54)</f>
        <v>109</v>
      </c>
      <c r="Y56" s="13" t="s">
        <v>6</v>
      </c>
      <c r="Z56" s="44"/>
      <c r="AA56" s="45">
        <f>X55+Z55+AB55+AD55+AF55</f>
        <v>22432.300000000003</v>
      </c>
      <c r="AB56" s="24" t="s">
        <v>7</v>
      </c>
      <c r="AC56" s="1">
        <f>X56*2.1</f>
        <v>228.9</v>
      </c>
      <c r="AD56" s="13" t="s">
        <v>8</v>
      </c>
      <c r="AE56" s="44"/>
      <c r="AF56" s="45">
        <f>AA56-AC56</f>
        <v>22203.4</v>
      </c>
    </row>
    <row r="57" spans="1:32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  <c r="L57" s="42" t="s">
        <v>9</v>
      </c>
      <c r="M57" s="25"/>
      <c r="N57" s="46"/>
      <c r="O57" s="44"/>
      <c r="P57" s="47"/>
      <c r="Q57" s="25"/>
      <c r="R57" s="48"/>
      <c r="S57" s="46"/>
      <c r="T57" s="44"/>
      <c r="U57" s="49"/>
      <c r="W57" s="42" t="s">
        <v>9</v>
      </c>
      <c r="X57" s="25"/>
      <c r="Y57" s="46"/>
      <c r="Z57" s="44"/>
      <c r="AA57" s="47"/>
      <c r="AB57" s="25"/>
      <c r="AC57" s="48"/>
      <c r="AD57" s="46"/>
      <c r="AE57" s="44"/>
      <c r="AF57" s="49"/>
    </row>
    <row r="60" spans="1:32" x14ac:dyDescent="0.25">
      <c r="B60">
        <f>M56+X56</f>
        <v>220</v>
      </c>
      <c r="E60" s="80">
        <f>P56+AA56</f>
        <v>44500.7</v>
      </c>
      <c r="J60" s="80">
        <f>U56+AF56</f>
        <v>44038.7</v>
      </c>
    </row>
  </sheetData>
  <protectedRanges>
    <protectedRange password="CCE1" sqref="C6:C54 G6:G54 E6:E54 I6:I29 N6:N54 R6:R54 P6:P54 T6:T29 Y6:Y54 AC6:AC54 AA6:AA54 AE6:AE29" name="Диапазон1_3_1_7_2_1_1_1_1_1_1_1"/>
  </protectedRanges>
  <mergeCells count="6">
    <mergeCell ref="A1:J1"/>
    <mergeCell ref="I4:J4"/>
    <mergeCell ref="L1:U1"/>
    <mergeCell ref="T4:U4"/>
    <mergeCell ref="W1:AF1"/>
    <mergeCell ref="AE4:AF4"/>
  </mergeCells>
  <pageMargins left="0.7" right="0.7" top="0.75" bottom="0.75" header="0.3" footer="0.3"/>
  <pageSetup paperSize="9" scale="83" orientation="portrait" verticalDpi="0" r:id="rId1"/>
  <colBreaks count="2" manualBreakCount="2">
    <brk id="10" max="1048575" man="1"/>
    <brk id="21" max="56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8"/>
  <sheetViews>
    <sheetView topLeftCell="A43" zoomScale="90" zoomScaleNormal="90" workbookViewId="0">
      <selection activeCell="AF6" sqref="AF6:AF29"/>
    </sheetView>
  </sheetViews>
  <sheetFormatPr defaultRowHeight="15" x14ac:dyDescent="0.25"/>
  <cols>
    <col min="11" max="11" width="3.42578125" customWidth="1"/>
    <col min="22" max="22" width="2.7109375" customWidth="1"/>
  </cols>
  <sheetData>
    <row r="1" spans="1:32" ht="18.75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L1" s="204" t="s">
        <v>0</v>
      </c>
      <c r="M1" s="204"/>
      <c r="N1" s="204"/>
      <c r="O1" s="204"/>
      <c r="P1" s="204"/>
      <c r="Q1" s="204"/>
      <c r="R1" s="204"/>
      <c r="S1" s="204"/>
      <c r="T1" s="204"/>
      <c r="U1" s="204"/>
      <c r="W1" s="204" t="s">
        <v>0</v>
      </c>
      <c r="X1" s="204"/>
      <c r="Y1" s="204"/>
      <c r="Z1" s="204"/>
      <c r="AA1" s="204"/>
      <c r="AB1" s="204"/>
      <c r="AC1" s="204"/>
      <c r="AD1" s="204"/>
      <c r="AE1" s="204"/>
      <c r="AF1" s="204"/>
    </row>
    <row r="2" spans="1:32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  <c r="L2" s="13" t="s">
        <v>1</v>
      </c>
      <c r="M2" s="13"/>
      <c r="N2" s="13"/>
      <c r="O2" s="13"/>
      <c r="P2" s="13"/>
      <c r="Q2" s="13"/>
      <c r="R2" s="27"/>
      <c r="S2" s="13"/>
      <c r="T2" s="13"/>
      <c r="U2" s="13"/>
      <c r="W2" s="13" t="s">
        <v>1</v>
      </c>
      <c r="X2" s="13"/>
      <c r="Y2" s="13"/>
      <c r="Z2" s="13"/>
      <c r="AA2" s="13"/>
      <c r="AB2" s="13"/>
      <c r="AC2" s="27"/>
      <c r="AD2" s="13"/>
      <c r="AE2" s="13"/>
      <c r="AF2" s="13"/>
    </row>
    <row r="3" spans="1:32" ht="15.75" x14ac:dyDescent="0.25">
      <c r="A3" s="25" t="s">
        <v>2</v>
      </c>
      <c r="B3" s="27">
        <v>204</v>
      </c>
      <c r="C3" s="14"/>
      <c r="D3" s="15"/>
      <c r="E3" s="16"/>
      <c r="F3" s="16"/>
      <c r="G3" s="16"/>
      <c r="H3" s="16"/>
      <c r="I3" s="16" t="s">
        <v>33</v>
      </c>
      <c r="J3" s="16"/>
      <c r="L3" s="25" t="s">
        <v>2</v>
      </c>
      <c r="M3" s="27">
        <v>204</v>
      </c>
      <c r="N3" s="14"/>
      <c r="O3" s="15"/>
      <c r="P3" s="16"/>
      <c r="Q3" s="16"/>
      <c r="R3" s="16"/>
      <c r="S3" s="16"/>
      <c r="T3" s="16" t="s">
        <v>33</v>
      </c>
      <c r="U3" s="16"/>
      <c r="W3" s="25" t="s">
        <v>2</v>
      </c>
      <c r="X3" s="27">
        <v>204</v>
      </c>
      <c r="Y3" s="14"/>
      <c r="Z3" s="15"/>
      <c r="AA3" s="16"/>
      <c r="AB3" s="16"/>
      <c r="AC3" s="16"/>
      <c r="AD3" s="16"/>
      <c r="AE3" s="16" t="s">
        <v>33</v>
      </c>
      <c r="AF3" s="16"/>
    </row>
    <row r="4" spans="1:32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  <c r="L4" s="17"/>
      <c r="M4" s="17"/>
      <c r="N4" s="17"/>
      <c r="O4" s="17"/>
      <c r="P4" s="17"/>
      <c r="Q4" s="17"/>
      <c r="R4" s="17"/>
      <c r="S4" s="28"/>
      <c r="T4" s="205" t="s">
        <v>48</v>
      </c>
      <c r="U4" s="206"/>
      <c r="W4" s="17"/>
      <c r="X4" s="17"/>
      <c r="Y4" s="17"/>
      <c r="Z4" s="17"/>
      <c r="AA4" s="17"/>
      <c r="AB4" s="17"/>
      <c r="AC4" s="17"/>
      <c r="AD4" s="28"/>
      <c r="AE4" s="205" t="s">
        <v>50</v>
      </c>
      <c r="AF4" s="206"/>
    </row>
    <row r="5" spans="1:32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  <c r="L5" s="29" t="s">
        <v>3</v>
      </c>
      <c r="M5" s="18" t="s">
        <v>4</v>
      </c>
      <c r="N5" s="29" t="s">
        <v>3</v>
      </c>
      <c r="O5" s="18" t="s">
        <v>4</v>
      </c>
      <c r="P5" s="29" t="s">
        <v>3</v>
      </c>
      <c r="Q5" s="18" t="s">
        <v>4</v>
      </c>
      <c r="R5" s="29" t="s">
        <v>3</v>
      </c>
      <c r="S5" s="30" t="s">
        <v>4</v>
      </c>
      <c r="T5" s="31" t="s">
        <v>3</v>
      </c>
      <c r="U5" s="32" t="s">
        <v>4</v>
      </c>
      <c r="W5" s="29" t="s">
        <v>3</v>
      </c>
      <c r="X5" s="18" t="s">
        <v>4</v>
      </c>
      <c r="Y5" s="29" t="s">
        <v>3</v>
      </c>
      <c r="Z5" s="18" t="s">
        <v>4</v>
      </c>
      <c r="AA5" s="29" t="s">
        <v>3</v>
      </c>
      <c r="AB5" s="18" t="s">
        <v>4</v>
      </c>
      <c r="AC5" s="29" t="s">
        <v>3</v>
      </c>
      <c r="AD5" s="30" t="s">
        <v>4</v>
      </c>
      <c r="AE5" s="31" t="s">
        <v>3</v>
      </c>
      <c r="AF5" s="32" t="s">
        <v>4</v>
      </c>
    </row>
    <row r="6" spans="1:32" ht="15.75" x14ac:dyDescent="0.25">
      <c r="A6" s="22">
        <v>1</v>
      </c>
      <c r="B6" s="19">
        <v>197</v>
      </c>
      <c r="C6" s="22">
        <v>50</v>
      </c>
      <c r="D6" s="19">
        <v>190.7</v>
      </c>
      <c r="E6" s="22">
        <v>99</v>
      </c>
      <c r="F6" s="19">
        <v>195.8</v>
      </c>
      <c r="G6" s="33">
        <v>148</v>
      </c>
      <c r="H6" s="19">
        <v>191.6</v>
      </c>
      <c r="I6" s="34">
        <v>197</v>
      </c>
      <c r="J6" s="19">
        <v>198.1</v>
      </c>
      <c r="L6" s="22">
        <v>1</v>
      </c>
      <c r="M6" s="19">
        <v>197</v>
      </c>
      <c r="N6" s="22">
        <v>50</v>
      </c>
      <c r="O6" s="19">
        <v>190.7</v>
      </c>
      <c r="P6" s="22">
        <v>99</v>
      </c>
      <c r="Q6" s="19">
        <v>195.8</v>
      </c>
      <c r="R6" s="33">
        <v>148</v>
      </c>
      <c r="S6" s="19"/>
      <c r="T6" s="34">
        <v>197</v>
      </c>
      <c r="U6" s="19"/>
      <c r="W6" s="22">
        <v>1</v>
      </c>
      <c r="X6" s="19"/>
      <c r="Y6" s="22">
        <v>50</v>
      </c>
      <c r="Z6" s="19"/>
      <c r="AA6" s="22">
        <v>99</v>
      </c>
      <c r="AB6" s="19"/>
      <c r="AC6" s="33">
        <v>148</v>
      </c>
      <c r="AD6" s="19">
        <v>191.6</v>
      </c>
      <c r="AE6" s="34">
        <v>197</v>
      </c>
      <c r="AF6" s="19">
        <v>198.1</v>
      </c>
    </row>
    <row r="7" spans="1:32" ht="15.75" x14ac:dyDescent="0.25">
      <c r="A7" s="22">
        <v>2</v>
      </c>
      <c r="B7" s="19">
        <v>189.6</v>
      </c>
      <c r="C7" s="22">
        <v>51</v>
      </c>
      <c r="D7" s="19">
        <v>182.5</v>
      </c>
      <c r="E7" s="22">
        <v>100</v>
      </c>
      <c r="F7" s="19">
        <v>191.2</v>
      </c>
      <c r="G7" s="33">
        <v>149</v>
      </c>
      <c r="H7" s="19">
        <v>193</v>
      </c>
      <c r="I7" s="33">
        <v>198</v>
      </c>
      <c r="J7" s="19">
        <v>186.3</v>
      </c>
      <c r="L7" s="22">
        <v>2</v>
      </c>
      <c r="M7" s="19">
        <v>189.6</v>
      </c>
      <c r="N7" s="22">
        <v>51</v>
      </c>
      <c r="O7" s="19">
        <v>182.5</v>
      </c>
      <c r="P7" s="22">
        <v>100</v>
      </c>
      <c r="Q7" s="19">
        <v>191.2</v>
      </c>
      <c r="R7" s="33">
        <v>149</v>
      </c>
      <c r="S7" s="19"/>
      <c r="T7" s="33">
        <v>198</v>
      </c>
      <c r="U7" s="19"/>
      <c r="W7" s="22">
        <v>2</v>
      </c>
      <c r="X7" s="19"/>
      <c r="Y7" s="22">
        <v>51</v>
      </c>
      <c r="Z7" s="19"/>
      <c r="AA7" s="22">
        <v>100</v>
      </c>
      <c r="AB7" s="19"/>
      <c r="AC7" s="33">
        <v>149</v>
      </c>
      <c r="AD7" s="19">
        <v>193</v>
      </c>
      <c r="AE7" s="33">
        <v>198</v>
      </c>
      <c r="AF7" s="19">
        <v>186.3</v>
      </c>
    </row>
    <row r="8" spans="1:32" ht="15.75" x14ac:dyDescent="0.25">
      <c r="A8" s="22">
        <v>3</v>
      </c>
      <c r="B8" s="19">
        <v>193.1</v>
      </c>
      <c r="C8" s="22">
        <v>52</v>
      </c>
      <c r="D8" s="19">
        <v>190.7</v>
      </c>
      <c r="E8" s="22">
        <f t="shared" ref="E8:E54" si="0">+E7+1</f>
        <v>101</v>
      </c>
      <c r="F8" s="19">
        <v>194.9</v>
      </c>
      <c r="G8" s="33">
        <v>150</v>
      </c>
      <c r="H8" s="19">
        <v>188.3</v>
      </c>
      <c r="I8" s="33">
        <v>199</v>
      </c>
      <c r="J8" s="19">
        <v>197.8</v>
      </c>
      <c r="L8" s="22">
        <v>3</v>
      </c>
      <c r="M8" s="19">
        <v>193.1</v>
      </c>
      <c r="N8" s="22">
        <v>52</v>
      </c>
      <c r="O8" s="19">
        <v>190.7</v>
      </c>
      <c r="P8" s="22">
        <f t="shared" ref="P8:P54" si="1">+P7+1</f>
        <v>101</v>
      </c>
      <c r="Q8" s="19">
        <v>194.9</v>
      </c>
      <c r="R8" s="33">
        <v>150</v>
      </c>
      <c r="S8" s="19"/>
      <c r="T8" s="33">
        <v>199</v>
      </c>
      <c r="U8" s="19"/>
      <c r="W8" s="22">
        <v>3</v>
      </c>
      <c r="X8" s="19"/>
      <c r="Y8" s="22">
        <v>52</v>
      </c>
      <c r="Z8" s="19"/>
      <c r="AA8" s="22">
        <f t="shared" ref="AA8:AA54" si="2">+AA7+1</f>
        <v>101</v>
      </c>
      <c r="AB8" s="19"/>
      <c r="AC8" s="33">
        <v>150</v>
      </c>
      <c r="AD8" s="19">
        <v>188.3</v>
      </c>
      <c r="AE8" s="33">
        <v>199</v>
      </c>
      <c r="AF8" s="19">
        <v>197.8</v>
      </c>
    </row>
    <row r="9" spans="1:32" ht="15.75" x14ac:dyDescent="0.25">
      <c r="A9" s="22">
        <v>4</v>
      </c>
      <c r="B9" s="19">
        <v>190.6</v>
      </c>
      <c r="C9" s="22">
        <v>53</v>
      </c>
      <c r="D9" s="19">
        <v>191.8</v>
      </c>
      <c r="E9" s="22">
        <f t="shared" si="0"/>
        <v>102</v>
      </c>
      <c r="F9" s="19">
        <v>186.2</v>
      </c>
      <c r="G9" s="33">
        <v>151</v>
      </c>
      <c r="H9" s="19">
        <v>192.7</v>
      </c>
      <c r="I9" s="33">
        <v>200</v>
      </c>
      <c r="J9" s="19">
        <v>202</v>
      </c>
      <c r="L9" s="22">
        <v>4</v>
      </c>
      <c r="M9" s="19">
        <v>190.6</v>
      </c>
      <c r="N9" s="22">
        <v>53</v>
      </c>
      <c r="O9" s="19">
        <v>191.8</v>
      </c>
      <c r="P9" s="22">
        <f t="shared" si="1"/>
        <v>102</v>
      </c>
      <c r="Q9" s="19">
        <v>186.2</v>
      </c>
      <c r="R9" s="33">
        <v>151</v>
      </c>
      <c r="S9" s="19"/>
      <c r="T9" s="33">
        <v>200</v>
      </c>
      <c r="U9" s="19"/>
      <c r="W9" s="22">
        <v>4</v>
      </c>
      <c r="X9" s="19"/>
      <c r="Y9" s="22">
        <v>53</v>
      </c>
      <c r="Z9" s="19"/>
      <c r="AA9" s="22">
        <f t="shared" si="2"/>
        <v>102</v>
      </c>
      <c r="AB9" s="19"/>
      <c r="AC9" s="33">
        <v>151</v>
      </c>
      <c r="AD9" s="19">
        <v>192.7</v>
      </c>
      <c r="AE9" s="33">
        <v>200</v>
      </c>
      <c r="AF9" s="19">
        <v>202</v>
      </c>
    </row>
    <row r="10" spans="1:32" ht="15.75" x14ac:dyDescent="0.25">
      <c r="A10" s="22">
        <v>5</v>
      </c>
      <c r="B10" s="19">
        <v>196.8</v>
      </c>
      <c r="C10" s="22">
        <v>54</v>
      </c>
      <c r="D10" s="19">
        <v>191.2</v>
      </c>
      <c r="E10" s="22">
        <f t="shared" si="0"/>
        <v>103</v>
      </c>
      <c r="F10" s="19">
        <v>187.9</v>
      </c>
      <c r="G10" s="33">
        <v>152</v>
      </c>
      <c r="H10" s="19">
        <v>189.9</v>
      </c>
      <c r="I10" s="33">
        <v>201</v>
      </c>
      <c r="J10" s="19">
        <v>191.6</v>
      </c>
      <c r="L10" s="22">
        <v>5</v>
      </c>
      <c r="M10" s="19">
        <v>196.8</v>
      </c>
      <c r="N10" s="22">
        <v>54</v>
      </c>
      <c r="O10" s="19">
        <v>191.2</v>
      </c>
      <c r="P10" s="22">
        <f t="shared" si="1"/>
        <v>103</v>
      </c>
      <c r="Q10" s="19">
        <v>187.9</v>
      </c>
      <c r="R10" s="33">
        <v>152</v>
      </c>
      <c r="S10" s="19"/>
      <c r="T10" s="33">
        <v>201</v>
      </c>
      <c r="U10" s="19"/>
      <c r="W10" s="22">
        <v>5</v>
      </c>
      <c r="X10" s="19"/>
      <c r="Y10" s="22">
        <v>54</v>
      </c>
      <c r="Z10" s="19"/>
      <c r="AA10" s="22">
        <f t="shared" si="2"/>
        <v>103</v>
      </c>
      <c r="AB10" s="19"/>
      <c r="AC10" s="33">
        <v>152</v>
      </c>
      <c r="AD10" s="19">
        <v>189.9</v>
      </c>
      <c r="AE10" s="33">
        <v>201</v>
      </c>
      <c r="AF10" s="19">
        <v>191.6</v>
      </c>
    </row>
    <row r="11" spans="1:32" ht="15.75" x14ac:dyDescent="0.25">
      <c r="A11" s="22">
        <v>6</v>
      </c>
      <c r="B11" s="19">
        <v>188.2</v>
      </c>
      <c r="C11" s="22">
        <v>55</v>
      </c>
      <c r="D11" s="19">
        <v>191.4</v>
      </c>
      <c r="E11" s="22">
        <f t="shared" si="0"/>
        <v>104</v>
      </c>
      <c r="F11" s="19">
        <v>189.5</v>
      </c>
      <c r="G11" s="33">
        <v>153</v>
      </c>
      <c r="H11" s="19">
        <v>192.3</v>
      </c>
      <c r="I11" s="33">
        <v>202</v>
      </c>
      <c r="J11" s="19">
        <v>199.5</v>
      </c>
      <c r="L11" s="22">
        <v>6</v>
      </c>
      <c r="M11" s="19">
        <v>188.2</v>
      </c>
      <c r="N11" s="22">
        <v>55</v>
      </c>
      <c r="O11" s="19">
        <v>191.4</v>
      </c>
      <c r="P11" s="22">
        <f t="shared" si="1"/>
        <v>104</v>
      </c>
      <c r="Q11" s="19">
        <v>189.5</v>
      </c>
      <c r="R11" s="33">
        <v>153</v>
      </c>
      <c r="S11" s="19"/>
      <c r="T11" s="33">
        <v>202</v>
      </c>
      <c r="U11" s="19"/>
      <c r="W11" s="22">
        <v>6</v>
      </c>
      <c r="X11" s="19"/>
      <c r="Y11" s="22">
        <v>55</v>
      </c>
      <c r="Z11" s="19"/>
      <c r="AA11" s="22">
        <f t="shared" si="2"/>
        <v>104</v>
      </c>
      <c r="AB11" s="19"/>
      <c r="AC11" s="33">
        <v>153</v>
      </c>
      <c r="AD11" s="19">
        <v>192.3</v>
      </c>
      <c r="AE11" s="33">
        <v>202</v>
      </c>
      <c r="AF11" s="19">
        <v>199.5</v>
      </c>
    </row>
    <row r="12" spans="1:32" ht="15.75" x14ac:dyDescent="0.25">
      <c r="A12" s="22">
        <v>7</v>
      </c>
      <c r="B12" s="19">
        <v>190</v>
      </c>
      <c r="C12" s="22">
        <v>56</v>
      </c>
      <c r="D12" s="19">
        <v>190</v>
      </c>
      <c r="E12" s="22">
        <f t="shared" si="0"/>
        <v>105</v>
      </c>
      <c r="F12" s="19">
        <v>190.9</v>
      </c>
      <c r="G12" s="33">
        <v>154</v>
      </c>
      <c r="H12" s="19">
        <v>193.7</v>
      </c>
      <c r="I12" s="33">
        <v>203</v>
      </c>
      <c r="J12" s="19">
        <v>193.9</v>
      </c>
      <c r="L12" s="22">
        <v>7</v>
      </c>
      <c r="M12" s="19">
        <v>190</v>
      </c>
      <c r="N12" s="22">
        <v>56</v>
      </c>
      <c r="O12" s="19">
        <v>190</v>
      </c>
      <c r="P12" s="22">
        <f t="shared" si="1"/>
        <v>105</v>
      </c>
      <c r="Q12" s="19">
        <v>190.9</v>
      </c>
      <c r="R12" s="33">
        <v>154</v>
      </c>
      <c r="S12" s="19"/>
      <c r="T12" s="33">
        <v>203</v>
      </c>
      <c r="U12" s="19"/>
      <c r="W12" s="22">
        <v>7</v>
      </c>
      <c r="X12" s="19"/>
      <c r="Y12" s="22">
        <v>56</v>
      </c>
      <c r="Z12" s="19"/>
      <c r="AA12" s="22">
        <f t="shared" si="2"/>
        <v>105</v>
      </c>
      <c r="AB12" s="19"/>
      <c r="AC12" s="33">
        <v>154</v>
      </c>
      <c r="AD12" s="19">
        <v>193.7</v>
      </c>
      <c r="AE12" s="33">
        <v>203</v>
      </c>
      <c r="AF12" s="19">
        <v>193.9</v>
      </c>
    </row>
    <row r="13" spans="1:32" ht="15.75" x14ac:dyDescent="0.25">
      <c r="A13" s="22">
        <v>8</v>
      </c>
      <c r="B13" s="19">
        <v>186.1</v>
      </c>
      <c r="C13" s="22">
        <v>57</v>
      </c>
      <c r="D13" s="19">
        <v>186.6</v>
      </c>
      <c r="E13" s="22">
        <f t="shared" si="0"/>
        <v>106</v>
      </c>
      <c r="F13" s="19">
        <v>191</v>
      </c>
      <c r="G13" s="33">
        <v>155</v>
      </c>
      <c r="H13" s="19">
        <v>194</v>
      </c>
      <c r="I13" s="33">
        <v>204</v>
      </c>
      <c r="J13" s="19">
        <v>189</v>
      </c>
      <c r="L13" s="22">
        <v>8</v>
      </c>
      <c r="M13" s="19">
        <v>186.1</v>
      </c>
      <c r="N13" s="22">
        <v>57</v>
      </c>
      <c r="O13" s="19">
        <v>186.6</v>
      </c>
      <c r="P13" s="22">
        <f t="shared" si="1"/>
        <v>106</v>
      </c>
      <c r="Q13" s="19">
        <v>191</v>
      </c>
      <c r="R13" s="33">
        <v>155</v>
      </c>
      <c r="S13" s="19"/>
      <c r="T13" s="33">
        <v>204</v>
      </c>
      <c r="U13" s="19"/>
      <c r="W13" s="22">
        <v>8</v>
      </c>
      <c r="X13" s="19"/>
      <c r="Y13" s="22">
        <v>57</v>
      </c>
      <c r="Z13" s="19"/>
      <c r="AA13" s="22">
        <f t="shared" si="2"/>
        <v>106</v>
      </c>
      <c r="AB13" s="19"/>
      <c r="AC13" s="33">
        <v>155</v>
      </c>
      <c r="AD13" s="19">
        <v>194</v>
      </c>
      <c r="AE13" s="33">
        <v>204</v>
      </c>
      <c r="AF13" s="19">
        <v>189</v>
      </c>
    </row>
    <row r="14" spans="1:32" ht="15.75" x14ac:dyDescent="0.25">
      <c r="A14" s="22">
        <v>9</v>
      </c>
      <c r="B14" s="19">
        <v>192.6</v>
      </c>
      <c r="C14" s="22">
        <v>58</v>
      </c>
      <c r="D14" s="19">
        <v>188.1</v>
      </c>
      <c r="E14" s="22">
        <f t="shared" si="0"/>
        <v>107</v>
      </c>
      <c r="F14" s="19">
        <v>194.4</v>
      </c>
      <c r="G14" s="33">
        <v>156</v>
      </c>
      <c r="H14" s="19">
        <v>198.4</v>
      </c>
      <c r="I14" s="33">
        <v>205</v>
      </c>
      <c r="J14" s="19">
        <v>191.3</v>
      </c>
      <c r="L14" s="22">
        <v>9</v>
      </c>
      <c r="M14" s="19">
        <v>192.6</v>
      </c>
      <c r="N14" s="22">
        <v>58</v>
      </c>
      <c r="O14" s="19">
        <v>188.1</v>
      </c>
      <c r="P14" s="22">
        <f t="shared" si="1"/>
        <v>107</v>
      </c>
      <c r="Q14" s="19">
        <v>194.4</v>
      </c>
      <c r="R14" s="33">
        <v>156</v>
      </c>
      <c r="S14" s="19"/>
      <c r="T14" s="33">
        <v>205</v>
      </c>
      <c r="U14" s="19"/>
      <c r="W14" s="22">
        <v>9</v>
      </c>
      <c r="X14" s="19"/>
      <c r="Y14" s="22">
        <v>58</v>
      </c>
      <c r="Z14" s="19"/>
      <c r="AA14" s="22">
        <f t="shared" si="2"/>
        <v>107</v>
      </c>
      <c r="AB14" s="19"/>
      <c r="AC14" s="33">
        <v>156</v>
      </c>
      <c r="AD14" s="19">
        <v>198.4</v>
      </c>
      <c r="AE14" s="33">
        <v>205</v>
      </c>
      <c r="AF14" s="19">
        <v>191.3</v>
      </c>
    </row>
    <row r="15" spans="1:32" ht="15.75" x14ac:dyDescent="0.25">
      <c r="A15" s="22">
        <v>10</v>
      </c>
      <c r="B15" s="19">
        <v>192.9</v>
      </c>
      <c r="C15" s="22">
        <v>59</v>
      </c>
      <c r="D15" s="19">
        <v>189.7</v>
      </c>
      <c r="E15" s="22">
        <f t="shared" si="0"/>
        <v>108</v>
      </c>
      <c r="F15" s="19">
        <v>190.4</v>
      </c>
      <c r="G15" s="33">
        <v>157</v>
      </c>
      <c r="H15" s="19">
        <v>198.8</v>
      </c>
      <c r="I15" s="33">
        <v>206</v>
      </c>
      <c r="J15" s="19">
        <v>193.5</v>
      </c>
      <c r="L15" s="22">
        <v>10</v>
      </c>
      <c r="M15" s="19">
        <v>192.9</v>
      </c>
      <c r="N15" s="22">
        <v>59</v>
      </c>
      <c r="O15" s="19">
        <v>189.7</v>
      </c>
      <c r="P15" s="22">
        <f t="shared" si="1"/>
        <v>108</v>
      </c>
      <c r="Q15" s="19">
        <v>190.4</v>
      </c>
      <c r="R15" s="33">
        <v>157</v>
      </c>
      <c r="S15" s="19"/>
      <c r="T15" s="33">
        <v>206</v>
      </c>
      <c r="U15" s="19"/>
      <c r="W15" s="22">
        <v>10</v>
      </c>
      <c r="X15" s="19"/>
      <c r="Y15" s="22">
        <v>59</v>
      </c>
      <c r="Z15" s="19"/>
      <c r="AA15" s="22">
        <f t="shared" si="2"/>
        <v>108</v>
      </c>
      <c r="AB15" s="19"/>
      <c r="AC15" s="33">
        <v>157</v>
      </c>
      <c r="AD15" s="19">
        <v>198.8</v>
      </c>
      <c r="AE15" s="33">
        <v>206</v>
      </c>
      <c r="AF15" s="19">
        <v>193.5</v>
      </c>
    </row>
    <row r="16" spans="1:32" ht="15.75" x14ac:dyDescent="0.25">
      <c r="A16" s="22">
        <v>11</v>
      </c>
      <c r="B16" s="19">
        <v>194.8</v>
      </c>
      <c r="C16" s="22">
        <v>60</v>
      </c>
      <c r="D16" s="19">
        <v>192.4</v>
      </c>
      <c r="E16" s="22">
        <f t="shared" si="0"/>
        <v>109</v>
      </c>
      <c r="F16" s="19">
        <v>190.5</v>
      </c>
      <c r="G16" s="33">
        <v>158</v>
      </c>
      <c r="H16" s="19">
        <v>199</v>
      </c>
      <c r="I16" s="33">
        <v>207</v>
      </c>
      <c r="J16" s="19">
        <v>194.6</v>
      </c>
      <c r="L16" s="22">
        <v>11</v>
      </c>
      <c r="M16" s="19">
        <v>194.8</v>
      </c>
      <c r="N16" s="22">
        <v>60</v>
      </c>
      <c r="O16" s="19">
        <v>192.4</v>
      </c>
      <c r="P16" s="22">
        <f t="shared" si="1"/>
        <v>109</v>
      </c>
      <c r="Q16" s="19">
        <v>190.5</v>
      </c>
      <c r="R16" s="33">
        <v>158</v>
      </c>
      <c r="S16" s="19"/>
      <c r="T16" s="33">
        <v>207</v>
      </c>
      <c r="U16" s="19"/>
      <c r="W16" s="22">
        <v>11</v>
      </c>
      <c r="X16" s="19"/>
      <c r="Y16" s="22">
        <v>60</v>
      </c>
      <c r="Z16" s="19"/>
      <c r="AA16" s="22">
        <f t="shared" si="2"/>
        <v>109</v>
      </c>
      <c r="AB16" s="19"/>
      <c r="AC16" s="33">
        <v>158</v>
      </c>
      <c r="AD16" s="19">
        <v>199</v>
      </c>
      <c r="AE16" s="33">
        <v>207</v>
      </c>
      <c r="AF16" s="19">
        <v>194.6</v>
      </c>
    </row>
    <row r="17" spans="1:32" ht="15.75" x14ac:dyDescent="0.25">
      <c r="A17" s="22">
        <v>12</v>
      </c>
      <c r="B17" s="19">
        <v>188.2</v>
      </c>
      <c r="C17" s="22">
        <v>61</v>
      </c>
      <c r="D17" s="19">
        <v>188</v>
      </c>
      <c r="E17" s="22">
        <f t="shared" si="0"/>
        <v>110</v>
      </c>
      <c r="F17" s="19">
        <v>194.6</v>
      </c>
      <c r="G17" s="33">
        <v>159</v>
      </c>
      <c r="H17" s="19">
        <v>192.4</v>
      </c>
      <c r="I17" s="33">
        <v>208</v>
      </c>
      <c r="J17" s="19">
        <v>189</v>
      </c>
      <c r="L17" s="22">
        <v>12</v>
      </c>
      <c r="M17" s="19">
        <v>188.2</v>
      </c>
      <c r="N17" s="22">
        <v>61</v>
      </c>
      <c r="O17" s="19">
        <v>188</v>
      </c>
      <c r="P17" s="22">
        <f t="shared" si="1"/>
        <v>110</v>
      </c>
      <c r="Q17" s="19"/>
      <c r="R17" s="33">
        <v>159</v>
      </c>
      <c r="S17" s="19"/>
      <c r="T17" s="33">
        <v>208</v>
      </c>
      <c r="U17" s="19"/>
      <c r="W17" s="22">
        <v>12</v>
      </c>
      <c r="X17" s="19"/>
      <c r="Y17" s="22">
        <v>61</v>
      </c>
      <c r="Z17" s="19"/>
      <c r="AA17" s="22">
        <f t="shared" si="2"/>
        <v>110</v>
      </c>
      <c r="AB17" s="19">
        <v>194.6</v>
      </c>
      <c r="AC17" s="33">
        <v>159</v>
      </c>
      <c r="AD17" s="19">
        <v>192.4</v>
      </c>
      <c r="AE17" s="33">
        <v>208</v>
      </c>
      <c r="AF17" s="19">
        <v>189</v>
      </c>
    </row>
    <row r="18" spans="1:32" ht="15.75" x14ac:dyDescent="0.25">
      <c r="A18" s="22">
        <v>13</v>
      </c>
      <c r="B18" s="19">
        <v>186.6</v>
      </c>
      <c r="C18" s="22">
        <v>62</v>
      </c>
      <c r="D18" s="19">
        <v>185.8</v>
      </c>
      <c r="E18" s="22">
        <f t="shared" si="0"/>
        <v>111</v>
      </c>
      <c r="F18" s="19">
        <v>194.5</v>
      </c>
      <c r="G18" s="33">
        <v>160</v>
      </c>
      <c r="H18" s="19">
        <v>201.7</v>
      </c>
      <c r="I18" s="33">
        <v>209</v>
      </c>
      <c r="J18" s="19">
        <v>192.3</v>
      </c>
      <c r="L18" s="22">
        <v>13</v>
      </c>
      <c r="M18" s="19">
        <v>186.6</v>
      </c>
      <c r="N18" s="22">
        <v>62</v>
      </c>
      <c r="O18" s="19">
        <v>185.8</v>
      </c>
      <c r="P18" s="22">
        <f t="shared" si="1"/>
        <v>111</v>
      </c>
      <c r="Q18" s="19"/>
      <c r="R18" s="33">
        <v>160</v>
      </c>
      <c r="S18" s="19"/>
      <c r="T18" s="33">
        <v>209</v>
      </c>
      <c r="U18" s="19"/>
      <c r="W18" s="22">
        <v>13</v>
      </c>
      <c r="X18" s="19"/>
      <c r="Y18" s="22">
        <v>62</v>
      </c>
      <c r="Z18" s="19"/>
      <c r="AA18" s="22">
        <f t="shared" si="2"/>
        <v>111</v>
      </c>
      <c r="AB18" s="19">
        <v>194.5</v>
      </c>
      <c r="AC18" s="33">
        <v>160</v>
      </c>
      <c r="AD18" s="19">
        <v>201.7</v>
      </c>
      <c r="AE18" s="33">
        <v>209</v>
      </c>
      <c r="AF18" s="19">
        <v>192.3</v>
      </c>
    </row>
    <row r="19" spans="1:32" ht="15.75" x14ac:dyDescent="0.25">
      <c r="A19" s="22">
        <v>14</v>
      </c>
      <c r="B19" s="19">
        <v>188.8</v>
      </c>
      <c r="C19" s="22">
        <v>63</v>
      </c>
      <c r="D19" s="19">
        <v>192.3</v>
      </c>
      <c r="E19" s="22">
        <f t="shared" si="0"/>
        <v>112</v>
      </c>
      <c r="F19" s="19">
        <v>196.2</v>
      </c>
      <c r="G19" s="33">
        <v>161</v>
      </c>
      <c r="H19" s="19">
        <v>189.2</v>
      </c>
      <c r="I19" s="33">
        <v>210</v>
      </c>
      <c r="J19" s="19">
        <v>186.9</v>
      </c>
      <c r="L19" s="22">
        <v>14</v>
      </c>
      <c r="M19" s="19">
        <v>188.8</v>
      </c>
      <c r="N19" s="22">
        <v>63</v>
      </c>
      <c r="O19" s="19">
        <v>192.3</v>
      </c>
      <c r="P19" s="22">
        <f t="shared" si="1"/>
        <v>112</v>
      </c>
      <c r="Q19" s="19"/>
      <c r="R19" s="33">
        <v>161</v>
      </c>
      <c r="S19" s="19"/>
      <c r="T19" s="33">
        <v>210</v>
      </c>
      <c r="U19" s="19"/>
      <c r="W19" s="22">
        <v>14</v>
      </c>
      <c r="X19" s="19"/>
      <c r="Y19" s="22">
        <v>63</v>
      </c>
      <c r="Z19" s="19"/>
      <c r="AA19" s="22">
        <f t="shared" si="2"/>
        <v>112</v>
      </c>
      <c r="AB19" s="19">
        <v>196.2</v>
      </c>
      <c r="AC19" s="33">
        <v>161</v>
      </c>
      <c r="AD19" s="19">
        <v>189.2</v>
      </c>
      <c r="AE19" s="33">
        <v>210</v>
      </c>
      <c r="AF19" s="19">
        <v>186.9</v>
      </c>
    </row>
    <row r="20" spans="1:32" ht="15.75" x14ac:dyDescent="0.25">
      <c r="A20" s="22">
        <v>15</v>
      </c>
      <c r="B20" s="19">
        <v>189.3</v>
      </c>
      <c r="C20" s="22">
        <v>64</v>
      </c>
      <c r="D20" s="19">
        <v>192.7</v>
      </c>
      <c r="E20" s="22">
        <f t="shared" si="0"/>
        <v>113</v>
      </c>
      <c r="F20" s="19">
        <v>197.7</v>
      </c>
      <c r="G20" s="35">
        <v>162</v>
      </c>
      <c r="H20" s="19">
        <v>192.4</v>
      </c>
      <c r="I20" s="33">
        <v>211</v>
      </c>
      <c r="J20" s="19">
        <v>193.2</v>
      </c>
      <c r="L20" s="22">
        <v>15</v>
      </c>
      <c r="M20" s="19">
        <v>189.3</v>
      </c>
      <c r="N20" s="22">
        <v>64</v>
      </c>
      <c r="O20" s="19">
        <v>192.7</v>
      </c>
      <c r="P20" s="22">
        <f t="shared" si="1"/>
        <v>113</v>
      </c>
      <c r="Q20" s="19"/>
      <c r="R20" s="35">
        <v>162</v>
      </c>
      <c r="S20" s="19"/>
      <c r="T20" s="33">
        <v>211</v>
      </c>
      <c r="U20" s="19"/>
      <c r="W20" s="22">
        <v>15</v>
      </c>
      <c r="X20" s="19"/>
      <c r="Y20" s="22">
        <v>64</v>
      </c>
      <c r="Z20" s="19"/>
      <c r="AA20" s="22">
        <f t="shared" si="2"/>
        <v>113</v>
      </c>
      <c r="AB20" s="19">
        <v>197.7</v>
      </c>
      <c r="AC20" s="35">
        <v>162</v>
      </c>
      <c r="AD20" s="19">
        <v>192.4</v>
      </c>
      <c r="AE20" s="33">
        <v>211</v>
      </c>
      <c r="AF20" s="19">
        <v>193.2</v>
      </c>
    </row>
    <row r="21" spans="1:32" ht="15.75" x14ac:dyDescent="0.25">
      <c r="A21" s="22">
        <v>16</v>
      </c>
      <c r="B21" s="19">
        <v>195.1</v>
      </c>
      <c r="C21" s="22">
        <v>65</v>
      </c>
      <c r="D21" s="19">
        <v>185.5</v>
      </c>
      <c r="E21" s="22">
        <f t="shared" si="0"/>
        <v>114</v>
      </c>
      <c r="F21" s="19">
        <v>188.9</v>
      </c>
      <c r="G21" s="35">
        <v>163</v>
      </c>
      <c r="H21" s="19">
        <v>191.7</v>
      </c>
      <c r="I21" s="33">
        <v>212</v>
      </c>
      <c r="J21" s="19">
        <v>191.8</v>
      </c>
      <c r="L21" s="22">
        <v>16</v>
      </c>
      <c r="M21" s="19">
        <v>195.1</v>
      </c>
      <c r="N21" s="22">
        <v>65</v>
      </c>
      <c r="O21" s="19">
        <v>185.5</v>
      </c>
      <c r="P21" s="22">
        <f t="shared" si="1"/>
        <v>114</v>
      </c>
      <c r="Q21" s="19"/>
      <c r="R21" s="35">
        <v>163</v>
      </c>
      <c r="S21" s="19"/>
      <c r="T21" s="33">
        <v>212</v>
      </c>
      <c r="U21" s="19"/>
      <c r="W21" s="22">
        <v>16</v>
      </c>
      <c r="X21" s="19"/>
      <c r="Y21" s="22">
        <v>65</v>
      </c>
      <c r="Z21" s="19"/>
      <c r="AA21" s="22">
        <f t="shared" si="2"/>
        <v>114</v>
      </c>
      <c r="AB21" s="19">
        <v>188.9</v>
      </c>
      <c r="AC21" s="35">
        <v>163</v>
      </c>
      <c r="AD21" s="19">
        <v>191.7</v>
      </c>
      <c r="AE21" s="33">
        <v>212</v>
      </c>
      <c r="AF21" s="19">
        <v>191.8</v>
      </c>
    </row>
    <row r="22" spans="1:32" ht="15.75" x14ac:dyDescent="0.25">
      <c r="A22" s="22">
        <v>17</v>
      </c>
      <c r="B22" s="19">
        <v>196.6</v>
      </c>
      <c r="C22" s="22">
        <v>66</v>
      </c>
      <c r="D22" s="19">
        <v>189.9</v>
      </c>
      <c r="E22" s="22">
        <f t="shared" si="0"/>
        <v>115</v>
      </c>
      <c r="F22" s="19">
        <v>191.8</v>
      </c>
      <c r="G22" s="35">
        <v>164</v>
      </c>
      <c r="H22" s="19">
        <v>202.4</v>
      </c>
      <c r="I22" s="33">
        <v>213</v>
      </c>
      <c r="J22" s="19">
        <v>194.1</v>
      </c>
      <c r="L22" s="22">
        <v>17</v>
      </c>
      <c r="M22" s="19">
        <v>196.6</v>
      </c>
      <c r="N22" s="22">
        <v>66</v>
      </c>
      <c r="O22" s="19">
        <v>189.9</v>
      </c>
      <c r="P22" s="22">
        <f t="shared" si="1"/>
        <v>115</v>
      </c>
      <c r="Q22" s="19"/>
      <c r="R22" s="35">
        <v>164</v>
      </c>
      <c r="S22" s="19"/>
      <c r="T22" s="33">
        <v>213</v>
      </c>
      <c r="U22" s="19"/>
      <c r="W22" s="22">
        <v>17</v>
      </c>
      <c r="X22" s="19"/>
      <c r="Y22" s="22">
        <v>66</v>
      </c>
      <c r="Z22" s="19"/>
      <c r="AA22" s="22">
        <f t="shared" si="2"/>
        <v>115</v>
      </c>
      <c r="AB22" s="19">
        <v>191.8</v>
      </c>
      <c r="AC22" s="35">
        <v>164</v>
      </c>
      <c r="AD22" s="19">
        <v>202.4</v>
      </c>
      <c r="AE22" s="33">
        <v>213</v>
      </c>
      <c r="AF22" s="19">
        <v>194.1</v>
      </c>
    </row>
    <row r="23" spans="1:32" ht="15.75" x14ac:dyDescent="0.25">
      <c r="A23" s="22">
        <v>18</v>
      </c>
      <c r="B23" s="19">
        <v>191.1</v>
      </c>
      <c r="C23" s="22">
        <v>67</v>
      </c>
      <c r="D23" s="19">
        <v>187.3</v>
      </c>
      <c r="E23" s="22">
        <f t="shared" si="0"/>
        <v>116</v>
      </c>
      <c r="F23" s="19">
        <v>194.1</v>
      </c>
      <c r="G23" s="35">
        <v>165</v>
      </c>
      <c r="H23" s="19">
        <v>185.2</v>
      </c>
      <c r="I23" s="33">
        <v>214</v>
      </c>
      <c r="J23" s="19">
        <v>184.4</v>
      </c>
      <c r="L23" s="22">
        <v>18</v>
      </c>
      <c r="M23" s="19">
        <v>191.1</v>
      </c>
      <c r="N23" s="22">
        <v>67</v>
      </c>
      <c r="O23" s="19">
        <v>187.3</v>
      </c>
      <c r="P23" s="22">
        <f t="shared" si="1"/>
        <v>116</v>
      </c>
      <c r="Q23" s="19"/>
      <c r="R23" s="35">
        <v>165</v>
      </c>
      <c r="S23" s="19"/>
      <c r="T23" s="33">
        <v>214</v>
      </c>
      <c r="U23" s="19"/>
      <c r="W23" s="22">
        <v>18</v>
      </c>
      <c r="X23" s="19"/>
      <c r="Y23" s="22">
        <v>67</v>
      </c>
      <c r="Z23" s="19"/>
      <c r="AA23" s="22">
        <f t="shared" si="2"/>
        <v>116</v>
      </c>
      <c r="AB23" s="19">
        <v>194.1</v>
      </c>
      <c r="AC23" s="35">
        <v>165</v>
      </c>
      <c r="AD23" s="19">
        <v>185.2</v>
      </c>
      <c r="AE23" s="33">
        <v>214</v>
      </c>
      <c r="AF23" s="19">
        <v>184.4</v>
      </c>
    </row>
    <row r="24" spans="1:32" ht="15.75" x14ac:dyDescent="0.25">
      <c r="A24" s="22">
        <v>19</v>
      </c>
      <c r="B24" s="19">
        <v>191.8</v>
      </c>
      <c r="C24" s="22">
        <v>68</v>
      </c>
      <c r="D24" s="19">
        <v>194.6</v>
      </c>
      <c r="E24" s="22">
        <f t="shared" si="0"/>
        <v>117</v>
      </c>
      <c r="F24" s="19">
        <v>192.5</v>
      </c>
      <c r="G24" s="35">
        <v>166</v>
      </c>
      <c r="H24" s="19">
        <v>196.5</v>
      </c>
      <c r="I24" s="33">
        <v>215</v>
      </c>
      <c r="J24" s="19">
        <v>192.3</v>
      </c>
      <c r="L24" s="22">
        <v>19</v>
      </c>
      <c r="M24" s="19">
        <v>191.8</v>
      </c>
      <c r="N24" s="22">
        <v>68</v>
      </c>
      <c r="O24" s="19">
        <v>194.6</v>
      </c>
      <c r="P24" s="22">
        <f t="shared" si="1"/>
        <v>117</v>
      </c>
      <c r="Q24" s="19"/>
      <c r="R24" s="35">
        <v>166</v>
      </c>
      <c r="S24" s="19"/>
      <c r="T24" s="33">
        <v>215</v>
      </c>
      <c r="U24" s="19"/>
      <c r="W24" s="22">
        <v>19</v>
      </c>
      <c r="X24" s="19"/>
      <c r="Y24" s="22">
        <v>68</v>
      </c>
      <c r="Z24" s="19"/>
      <c r="AA24" s="22">
        <f t="shared" si="2"/>
        <v>117</v>
      </c>
      <c r="AB24" s="19">
        <v>192.5</v>
      </c>
      <c r="AC24" s="35">
        <v>166</v>
      </c>
      <c r="AD24" s="19">
        <v>196.5</v>
      </c>
      <c r="AE24" s="33">
        <v>215</v>
      </c>
      <c r="AF24" s="19">
        <v>192.3</v>
      </c>
    </row>
    <row r="25" spans="1:32" ht="15.75" x14ac:dyDescent="0.25">
      <c r="A25" s="22">
        <v>20</v>
      </c>
      <c r="B25" s="19">
        <v>186.4</v>
      </c>
      <c r="C25" s="22">
        <v>69</v>
      </c>
      <c r="D25" s="19">
        <v>190.5</v>
      </c>
      <c r="E25" s="22">
        <f t="shared" si="0"/>
        <v>118</v>
      </c>
      <c r="F25" s="19">
        <v>186.1</v>
      </c>
      <c r="G25" s="35">
        <v>167</v>
      </c>
      <c r="H25" s="19">
        <v>194.4</v>
      </c>
      <c r="I25" s="33">
        <v>216</v>
      </c>
      <c r="J25" s="19">
        <v>196.3</v>
      </c>
      <c r="L25" s="22">
        <v>20</v>
      </c>
      <c r="M25" s="19">
        <v>186.4</v>
      </c>
      <c r="N25" s="22">
        <v>69</v>
      </c>
      <c r="O25" s="19">
        <v>190.5</v>
      </c>
      <c r="P25" s="22">
        <f t="shared" si="1"/>
        <v>118</v>
      </c>
      <c r="Q25" s="19"/>
      <c r="R25" s="35">
        <v>167</v>
      </c>
      <c r="S25" s="19"/>
      <c r="T25" s="33">
        <v>216</v>
      </c>
      <c r="U25" s="19"/>
      <c r="W25" s="22">
        <v>20</v>
      </c>
      <c r="X25" s="19"/>
      <c r="Y25" s="22">
        <v>69</v>
      </c>
      <c r="Z25" s="19"/>
      <c r="AA25" s="22">
        <f t="shared" si="2"/>
        <v>118</v>
      </c>
      <c r="AB25" s="19">
        <v>186.1</v>
      </c>
      <c r="AC25" s="35">
        <v>167</v>
      </c>
      <c r="AD25" s="19">
        <v>194.4</v>
      </c>
      <c r="AE25" s="33">
        <v>216</v>
      </c>
      <c r="AF25" s="19">
        <v>196.3</v>
      </c>
    </row>
    <row r="26" spans="1:32" ht="15.75" x14ac:dyDescent="0.25">
      <c r="A26" s="22">
        <v>21</v>
      </c>
      <c r="B26" s="19">
        <v>193.2</v>
      </c>
      <c r="C26" s="22">
        <v>70</v>
      </c>
      <c r="D26" s="19">
        <v>193.9</v>
      </c>
      <c r="E26" s="22">
        <f t="shared" si="0"/>
        <v>119</v>
      </c>
      <c r="F26" s="19">
        <v>192.9</v>
      </c>
      <c r="G26" s="35">
        <v>168</v>
      </c>
      <c r="H26" s="19">
        <v>190.9</v>
      </c>
      <c r="I26" s="33">
        <v>217</v>
      </c>
      <c r="J26" s="19">
        <v>190</v>
      </c>
      <c r="L26" s="22">
        <v>21</v>
      </c>
      <c r="M26" s="19">
        <v>193.2</v>
      </c>
      <c r="N26" s="22">
        <v>70</v>
      </c>
      <c r="O26" s="19">
        <v>193.9</v>
      </c>
      <c r="P26" s="22">
        <f t="shared" si="1"/>
        <v>119</v>
      </c>
      <c r="Q26" s="19"/>
      <c r="R26" s="35">
        <v>168</v>
      </c>
      <c r="S26" s="19"/>
      <c r="T26" s="33">
        <v>217</v>
      </c>
      <c r="U26" s="19"/>
      <c r="W26" s="22">
        <v>21</v>
      </c>
      <c r="X26" s="19"/>
      <c r="Y26" s="22">
        <v>70</v>
      </c>
      <c r="Z26" s="19"/>
      <c r="AA26" s="22">
        <f t="shared" si="2"/>
        <v>119</v>
      </c>
      <c r="AB26" s="19">
        <v>192.9</v>
      </c>
      <c r="AC26" s="35">
        <v>168</v>
      </c>
      <c r="AD26" s="19">
        <v>190.9</v>
      </c>
      <c r="AE26" s="33">
        <v>217</v>
      </c>
      <c r="AF26" s="19">
        <v>190</v>
      </c>
    </row>
    <row r="27" spans="1:32" ht="15.75" x14ac:dyDescent="0.25">
      <c r="A27" s="22">
        <v>22</v>
      </c>
      <c r="B27" s="19">
        <v>194.1</v>
      </c>
      <c r="C27" s="22">
        <v>71</v>
      </c>
      <c r="D27" s="19">
        <v>185.3</v>
      </c>
      <c r="E27" s="22">
        <f t="shared" si="0"/>
        <v>120</v>
      </c>
      <c r="F27" s="19">
        <v>190</v>
      </c>
      <c r="G27" s="35">
        <v>169</v>
      </c>
      <c r="H27" s="19">
        <v>192.2</v>
      </c>
      <c r="I27" s="33">
        <v>218</v>
      </c>
      <c r="J27" s="19">
        <v>196.5</v>
      </c>
      <c r="L27" s="22">
        <v>22</v>
      </c>
      <c r="M27" s="19">
        <v>194.1</v>
      </c>
      <c r="N27" s="22">
        <v>71</v>
      </c>
      <c r="O27" s="19">
        <v>185.3</v>
      </c>
      <c r="P27" s="22">
        <f t="shared" si="1"/>
        <v>120</v>
      </c>
      <c r="Q27" s="19"/>
      <c r="R27" s="35">
        <v>169</v>
      </c>
      <c r="S27" s="19"/>
      <c r="T27" s="33">
        <v>218</v>
      </c>
      <c r="U27" s="19"/>
      <c r="W27" s="22">
        <v>22</v>
      </c>
      <c r="X27" s="19"/>
      <c r="Y27" s="22">
        <v>71</v>
      </c>
      <c r="Z27" s="19"/>
      <c r="AA27" s="22">
        <f t="shared" si="2"/>
        <v>120</v>
      </c>
      <c r="AB27" s="19">
        <v>190</v>
      </c>
      <c r="AC27" s="35">
        <v>169</v>
      </c>
      <c r="AD27" s="19">
        <v>192.2</v>
      </c>
      <c r="AE27" s="33">
        <v>218</v>
      </c>
      <c r="AF27" s="19">
        <v>196.5</v>
      </c>
    </row>
    <row r="28" spans="1:32" ht="15.75" x14ac:dyDescent="0.25">
      <c r="A28" s="22">
        <v>23</v>
      </c>
      <c r="B28" s="19">
        <v>194</v>
      </c>
      <c r="C28" s="22">
        <v>72</v>
      </c>
      <c r="D28" s="19">
        <v>185.5</v>
      </c>
      <c r="E28" s="22">
        <f t="shared" si="0"/>
        <v>121</v>
      </c>
      <c r="F28" s="19">
        <v>183.8</v>
      </c>
      <c r="G28" s="35">
        <v>170</v>
      </c>
      <c r="H28" s="19">
        <v>196.4</v>
      </c>
      <c r="I28" s="33">
        <v>219</v>
      </c>
      <c r="J28" s="19">
        <v>191.1</v>
      </c>
      <c r="L28" s="22">
        <v>23</v>
      </c>
      <c r="M28" s="19">
        <v>194</v>
      </c>
      <c r="N28" s="22">
        <v>72</v>
      </c>
      <c r="O28" s="19">
        <v>185.5</v>
      </c>
      <c r="P28" s="22">
        <f t="shared" si="1"/>
        <v>121</v>
      </c>
      <c r="Q28" s="19"/>
      <c r="R28" s="35">
        <v>170</v>
      </c>
      <c r="S28" s="19"/>
      <c r="T28" s="33">
        <v>219</v>
      </c>
      <c r="U28" s="19"/>
      <c r="W28" s="22">
        <v>23</v>
      </c>
      <c r="X28" s="19"/>
      <c r="Y28" s="22">
        <v>72</v>
      </c>
      <c r="Z28" s="19"/>
      <c r="AA28" s="22">
        <f t="shared" si="2"/>
        <v>121</v>
      </c>
      <c r="AB28" s="19">
        <v>183.8</v>
      </c>
      <c r="AC28" s="35">
        <v>170</v>
      </c>
      <c r="AD28" s="19">
        <v>196.4</v>
      </c>
      <c r="AE28" s="33">
        <v>219</v>
      </c>
      <c r="AF28" s="19">
        <v>191.1</v>
      </c>
    </row>
    <row r="29" spans="1:32" ht="15.75" x14ac:dyDescent="0.25">
      <c r="A29" s="22">
        <v>24</v>
      </c>
      <c r="B29" s="19">
        <v>192.2</v>
      </c>
      <c r="C29" s="22">
        <v>73</v>
      </c>
      <c r="D29" s="19">
        <v>192.5</v>
      </c>
      <c r="E29" s="22">
        <f t="shared" si="0"/>
        <v>122</v>
      </c>
      <c r="F29" s="19">
        <v>189.2</v>
      </c>
      <c r="G29" s="35">
        <v>171</v>
      </c>
      <c r="H29" s="19">
        <v>194.6</v>
      </c>
      <c r="I29" s="33">
        <v>220</v>
      </c>
      <c r="J29" s="19">
        <v>191.5</v>
      </c>
      <c r="L29" s="22">
        <v>24</v>
      </c>
      <c r="M29" s="19">
        <v>192.2</v>
      </c>
      <c r="N29" s="22">
        <v>73</v>
      </c>
      <c r="O29" s="19">
        <v>192.5</v>
      </c>
      <c r="P29" s="22">
        <f t="shared" si="1"/>
        <v>122</v>
      </c>
      <c r="Q29" s="19"/>
      <c r="R29" s="35">
        <v>171</v>
      </c>
      <c r="S29" s="19"/>
      <c r="T29" s="33">
        <v>220</v>
      </c>
      <c r="U29" s="19"/>
      <c r="W29" s="22">
        <v>24</v>
      </c>
      <c r="X29" s="19"/>
      <c r="Y29" s="22">
        <v>73</v>
      </c>
      <c r="Z29" s="19"/>
      <c r="AA29" s="22">
        <f t="shared" si="2"/>
        <v>122</v>
      </c>
      <c r="AB29" s="19">
        <v>189.2</v>
      </c>
      <c r="AC29" s="35">
        <v>171</v>
      </c>
      <c r="AD29" s="19">
        <v>194.6</v>
      </c>
      <c r="AE29" s="33">
        <v>220</v>
      </c>
      <c r="AF29" s="19">
        <v>191.5</v>
      </c>
    </row>
    <row r="30" spans="1:32" ht="15.75" x14ac:dyDescent="0.25">
      <c r="A30" s="22">
        <v>25</v>
      </c>
      <c r="B30" s="19">
        <v>189.8</v>
      </c>
      <c r="C30" s="22">
        <v>74</v>
      </c>
      <c r="D30" s="19">
        <v>189.5</v>
      </c>
      <c r="E30" s="22">
        <f t="shared" si="0"/>
        <v>123</v>
      </c>
      <c r="F30" s="19">
        <v>194.2</v>
      </c>
      <c r="G30" s="35">
        <v>172</v>
      </c>
      <c r="H30" s="19">
        <v>198.8</v>
      </c>
      <c r="I30" s="20"/>
      <c r="J30" s="36"/>
      <c r="L30" s="22">
        <v>25</v>
      </c>
      <c r="M30" s="19">
        <v>189.8</v>
      </c>
      <c r="N30" s="22">
        <v>74</v>
      </c>
      <c r="O30" s="19">
        <v>189.5</v>
      </c>
      <c r="P30" s="22">
        <f t="shared" si="1"/>
        <v>123</v>
      </c>
      <c r="Q30" s="19"/>
      <c r="R30" s="35">
        <v>172</v>
      </c>
      <c r="S30" s="19"/>
      <c r="T30" s="20"/>
      <c r="U30" s="36"/>
      <c r="W30" s="22">
        <v>25</v>
      </c>
      <c r="X30" s="19"/>
      <c r="Y30" s="22">
        <v>74</v>
      </c>
      <c r="Z30" s="19"/>
      <c r="AA30" s="22">
        <f t="shared" si="2"/>
        <v>123</v>
      </c>
      <c r="AB30" s="19">
        <v>194.2</v>
      </c>
      <c r="AC30" s="35">
        <v>172</v>
      </c>
      <c r="AD30" s="19">
        <v>198.8</v>
      </c>
      <c r="AE30" s="20"/>
      <c r="AF30" s="36"/>
    </row>
    <row r="31" spans="1:32" ht="15.75" x14ac:dyDescent="0.25">
      <c r="A31" s="22">
        <v>26</v>
      </c>
      <c r="B31" s="19">
        <v>191.2</v>
      </c>
      <c r="C31" s="22">
        <v>75</v>
      </c>
      <c r="D31" s="19">
        <v>189.4</v>
      </c>
      <c r="E31" s="22">
        <f t="shared" si="0"/>
        <v>124</v>
      </c>
      <c r="F31" s="19">
        <v>192.1</v>
      </c>
      <c r="G31" s="35">
        <v>173</v>
      </c>
      <c r="H31" s="19">
        <v>194.1</v>
      </c>
      <c r="I31" s="20"/>
      <c r="J31" s="36"/>
      <c r="L31" s="22">
        <v>26</v>
      </c>
      <c r="M31" s="19">
        <v>191.2</v>
      </c>
      <c r="N31" s="22">
        <v>75</v>
      </c>
      <c r="O31" s="19">
        <v>189.4</v>
      </c>
      <c r="P31" s="22">
        <f t="shared" si="1"/>
        <v>124</v>
      </c>
      <c r="Q31" s="19"/>
      <c r="R31" s="35">
        <v>173</v>
      </c>
      <c r="S31" s="19"/>
      <c r="T31" s="20"/>
      <c r="U31" s="36"/>
      <c r="W31" s="22">
        <v>26</v>
      </c>
      <c r="X31" s="19"/>
      <c r="Y31" s="22">
        <v>75</v>
      </c>
      <c r="Z31" s="19"/>
      <c r="AA31" s="22">
        <f t="shared" si="2"/>
        <v>124</v>
      </c>
      <c r="AB31" s="19">
        <v>192.1</v>
      </c>
      <c r="AC31" s="35">
        <v>173</v>
      </c>
      <c r="AD31" s="19">
        <v>194.1</v>
      </c>
      <c r="AE31" s="20"/>
      <c r="AF31" s="36"/>
    </row>
    <row r="32" spans="1:32" ht="15.75" x14ac:dyDescent="0.25">
      <c r="A32" s="22">
        <v>27</v>
      </c>
      <c r="B32" s="19">
        <v>188.8</v>
      </c>
      <c r="C32" s="22">
        <v>76</v>
      </c>
      <c r="D32" s="19">
        <v>187.8</v>
      </c>
      <c r="E32" s="22">
        <f t="shared" si="0"/>
        <v>125</v>
      </c>
      <c r="F32" s="19">
        <v>197.7</v>
      </c>
      <c r="G32" s="33">
        <v>174</v>
      </c>
      <c r="H32" s="19">
        <v>191.3</v>
      </c>
      <c r="I32" s="21"/>
      <c r="J32" s="36"/>
      <c r="L32" s="22">
        <v>27</v>
      </c>
      <c r="M32" s="19">
        <v>188.8</v>
      </c>
      <c r="N32" s="22">
        <v>76</v>
      </c>
      <c r="O32" s="19">
        <v>187.8</v>
      </c>
      <c r="P32" s="22">
        <f t="shared" si="1"/>
        <v>125</v>
      </c>
      <c r="Q32" s="19"/>
      <c r="R32" s="33">
        <v>174</v>
      </c>
      <c r="S32" s="19"/>
      <c r="T32" s="21"/>
      <c r="U32" s="36"/>
      <c r="W32" s="22">
        <v>27</v>
      </c>
      <c r="X32" s="19"/>
      <c r="Y32" s="22">
        <v>76</v>
      </c>
      <c r="Z32" s="19"/>
      <c r="AA32" s="22">
        <f t="shared" si="2"/>
        <v>125</v>
      </c>
      <c r="AB32" s="19">
        <v>197.7</v>
      </c>
      <c r="AC32" s="33">
        <v>174</v>
      </c>
      <c r="AD32" s="19">
        <v>191.3</v>
      </c>
      <c r="AE32" s="21"/>
      <c r="AF32" s="36"/>
    </row>
    <row r="33" spans="1:32" ht="15.75" x14ac:dyDescent="0.25">
      <c r="A33" s="22">
        <v>28</v>
      </c>
      <c r="B33" s="19">
        <v>191</v>
      </c>
      <c r="C33" s="22">
        <v>77</v>
      </c>
      <c r="D33" s="19">
        <v>181.7</v>
      </c>
      <c r="E33" s="22">
        <f t="shared" si="0"/>
        <v>126</v>
      </c>
      <c r="F33" s="19">
        <v>190.3</v>
      </c>
      <c r="G33" s="33">
        <v>175</v>
      </c>
      <c r="H33" s="19">
        <v>197.6</v>
      </c>
      <c r="I33" s="20"/>
      <c r="J33" s="36"/>
      <c r="L33" s="22">
        <v>28</v>
      </c>
      <c r="M33" s="19">
        <v>191</v>
      </c>
      <c r="N33" s="22">
        <v>77</v>
      </c>
      <c r="O33" s="19">
        <v>181.7</v>
      </c>
      <c r="P33" s="22">
        <f t="shared" si="1"/>
        <v>126</v>
      </c>
      <c r="Q33" s="19"/>
      <c r="R33" s="33">
        <v>175</v>
      </c>
      <c r="S33" s="19"/>
      <c r="T33" s="20"/>
      <c r="U33" s="36"/>
      <c r="W33" s="22">
        <v>28</v>
      </c>
      <c r="X33" s="19"/>
      <c r="Y33" s="22">
        <v>77</v>
      </c>
      <c r="Z33" s="19"/>
      <c r="AA33" s="22">
        <f t="shared" si="2"/>
        <v>126</v>
      </c>
      <c r="AB33" s="19">
        <v>190.3</v>
      </c>
      <c r="AC33" s="33">
        <v>175</v>
      </c>
      <c r="AD33" s="19">
        <v>197.6</v>
      </c>
      <c r="AE33" s="20"/>
      <c r="AF33" s="36"/>
    </row>
    <row r="34" spans="1:32" ht="15.75" x14ac:dyDescent="0.25">
      <c r="A34" s="22">
        <v>29</v>
      </c>
      <c r="B34" s="19">
        <v>191.4</v>
      </c>
      <c r="C34" s="22">
        <v>78</v>
      </c>
      <c r="D34" s="19">
        <v>189.2</v>
      </c>
      <c r="E34" s="22">
        <f t="shared" si="0"/>
        <v>127</v>
      </c>
      <c r="F34" s="19">
        <v>185.9</v>
      </c>
      <c r="G34" s="33">
        <v>176</v>
      </c>
      <c r="H34" s="19">
        <v>190.8</v>
      </c>
      <c r="I34" s="20"/>
      <c r="J34" s="36"/>
      <c r="L34" s="22">
        <v>29</v>
      </c>
      <c r="M34" s="19">
        <v>191.4</v>
      </c>
      <c r="N34" s="22">
        <v>78</v>
      </c>
      <c r="O34" s="19">
        <v>189.2</v>
      </c>
      <c r="P34" s="22">
        <f t="shared" si="1"/>
        <v>127</v>
      </c>
      <c r="Q34" s="19"/>
      <c r="R34" s="33">
        <v>176</v>
      </c>
      <c r="S34" s="19"/>
      <c r="T34" s="20"/>
      <c r="U34" s="36"/>
      <c r="W34" s="22">
        <v>29</v>
      </c>
      <c r="X34" s="19"/>
      <c r="Y34" s="22">
        <v>78</v>
      </c>
      <c r="Z34" s="19"/>
      <c r="AA34" s="22">
        <f t="shared" si="2"/>
        <v>127</v>
      </c>
      <c r="AB34" s="19">
        <v>185.9</v>
      </c>
      <c r="AC34" s="33">
        <v>176</v>
      </c>
      <c r="AD34" s="19">
        <v>190.8</v>
      </c>
      <c r="AE34" s="20"/>
      <c r="AF34" s="36"/>
    </row>
    <row r="35" spans="1:32" ht="15.75" x14ac:dyDescent="0.25">
      <c r="A35" s="22">
        <v>30</v>
      </c>
      <c r="B35" s="19">
        <v>192.4</v>
      </c>
      <c r="C35" s="22">
        <v>79</v>
      </c>
      <c r="D35" s="19">
        <v>187.4</v>
      </c>
      <c r="E35" s="22">
        <f t="shared" si="0"/>
        <v>128</v>
      </c>
      <c r="F35" s="19">
        <v>186.1</v>
      </c>
      <c r="G35" s="33">
        <v>177</v>
      </c>
      <c r="H35" s="19">
        <v>193.4</v>
      </c>
      <c r="I35" s="21"/>
      <c r="J35" s="36"/>
      <c r="L35" s="22">
        <v>30</v>
      </c>
      <c r="M35" s="19">
        <v>192.4</v>
      </c>
      <c r="N35" s="22">
        <v>79</v>
      </c>
      <c r="O35" s="19">
        <v>187.4</v>
      </c>
      <c r="P35" s="22">
        <f t="shared" si="1"/>
        <v>128</v>
      </c>
      <c r="Q35" s="19"/>
      <c r="R35" s="33">
        <v>177</v>
      </c>
      <c r="S35" s="19"/>
      <c r="T35" s="21"/>
      <c r="U35" s="36"/>
      <c r="W35" s="22">
        <v>30</v>
      </c>
      <c r="X35" s="19"/>
      <c r="Y35" s="22">
        <v>79</v>
      </c>
      <c r="Z35" s="19"/>
      <c r="AA35" s="22">
        <f t="shared" si="2"/>
        <v>128</v>
      </c>
      <c r="AB35" s="19">
        <v>186.1</v>
      </c>
      <c r="AC35" s="33">
        <v>177</v>
      </c>
      <c r="AD35" s="19">
        <v>193.4</v>
      </c>
      <c r="AE35" s="21"/>
      <c r="AF35" s="36"/>
    </row>
    <row r="36" spans="1:32" ht="15.75" x14ac:dyDescent="0.25">
      <c r="A36" s="22">
        <v>31</v>
      </c>
      <c r="B36" s="19">
        <v>194</v>
      </c>
      <c r="C36" s="22">
        <v>80</v>
      </c>
      <c r="D36" s="19">
        <v>186.9</v>
      </c>
      <c r="E36" s="22">
        <f t="shared" si="0"/>
        <v>129</v>
      </c>
      <c r="F36" s="19">
        <v>194.2</v>
      </c>
      <c r="G36" s="33">
        <v>178</v>
      </c>
      <c r="H36" s="19">
        <v>197.4</v>
      </c>
      <c r="I36" s="20"/>
      <c r="J36" s="36"/>
      <c r="L36" s="22">
        <v>31</v>
      </c>
      <c r="M36" s="19">
        <v>194</v>
      </c>
      <c r="N36" s="22">
        <v>80</v>
      </c>
      <c r="O36" s="19">
        <v>186.9</v>
      </c>
      <c r="P36" s="22">
        <f t="shared" si="1"/>
        <v>129</v>
      </c>
      <c r="Q36" s="19"/>
      <c r="R36" s="33">
        <v>178</v>
      </c>
      <c r="S36" s="19"/>
      <c r="T36" s="20"/>
      <c r="U36" s="36"/>
      <c r="W36" s="22">
        <v>31</v>
      </c>
      <c r="X36" s="19"/>
      <c r="Y36" s="22">
        <v>80</v>
      </c>
      <c r="Z36" s="19"/>
      <c r="AA36" s="22">
        <f t="shared" si="2"/>
        <v>129</v>
      </c>
      <c r="AB36" s="19">
        <v>194.2</v>
      </c>
      <c r="AC36" s="33">
        <v>178</v>
      </c>
      <c r="AD36" s="19">
        <v>197.4</v>
      </c>
      <c r="AE36" s="20"/>
      <c r="AF36" s="36"/>
    </row>
    <row r="37" spans="1:32" ht="15.75" x14ac:dyDescent="0.25">
      <c r="A37" s="22">
        <v>32</v>
      </c>
      <c r="B37" s="19">
        <v>192.2</v>
      </c>
      <c r="C37" s="22">
        <v>81</v>
      </c>
      <c r="D37" s="19">
        <v>189</v>
      </c>
      <c r="E37" s="22">
        <f t="shared" si="0"/>
        <v>130</v>
      </c>
      <c r="F37" s="19">
        <v>194.4</v>
      </c>
      <c r="G37" s="33">
        <v>179</v>
      </c>
      <c r="H37" s="19">
        <v>194.9</v>
      </c>
      <c r="I37" s="20"/>
      <c r="J37" s="36"/>
      <c r="L37" s="22">
        <v>32</v>
      </c>
      <c r="M37" s="19">
        <v>192.2</v>
      </c>
      <c r="N37" s="22">
        <v>81</v>
      </c>
      <c r="O37" s="19">
        <v>189</v>
      </c>
      <c r="P37" s="22">
        <f t="shared" si="1"/>
        <v>130</v>
      </c>
      <c r="Q37" s="19"/>
      <c r="R37" s="33">
        <v>179</v>
      </c>
      <c r="S37" s="19"/>
      <c r="T37" s="20"/>
      <c r="U37" s="36"/>
      <c r="W37" s="22">
        <v>32</v>
      </c>
      <c r="X37" s="19"/>
      <c r="Y37" s="22">
        <v>81</v>
      </c>
      <c r="Z37" s="19"/>
      <c r="AA37" s="22">
        <f t="shared" si="2"/>
        <v>130</v>
      </c>
      <c r="AB37" s="19">
        <v>194.4</v>
      </c>
      <c r="AC37" s="33">
        <v>179</v>
      </c>
      <c r="AD37" s="19">
        <v>194.9</v>
      </c>
      <c r="AE37" s="20"/>
      <c r="AF37" s="36"/>
    </row>
    <row r="38" spans="1:32" ht="15.75" x14ac:dyDescent="0.25">
      <c r="A38" s="22">
        <v>33</v>
      </c>
      <c r="B38" s="19">
        <v>194.5</v>
      </c>
      <c r="C38" s="22">
        <v>82</v>
      </c>
      <c r="D38" s="19">
        <v>193.9</v>
      </c>
      <c r="E38" s="22">
        <f t="shared" si="0"/>
        <v>131</v>
      </c>
      <c r="F38" s="19">
        <v>189.4</v>
      </c>
      <c r="G38" s="33">
        <v>180</v>
      </c>
      <c r="H38" s="19">
        <v>196.4</v>
      </c>
      <c r="I38" s="21"/>
      <c r="J38" s="36"/>
      <c r="L38" s="22">
        <v>33</v>
      </c>
      <c r="M38" s="19">
        <v>194.5</v>
      </c>
      <c r="N38" s="22">
        <v>82</v>
      </c>
      <c r="O38" s="19">
        <v>193.9</v>
      </c>
      <c r="P38" s="22">
        <f t="shared" si="1"/>
        <v>131</v>
      </c>
      <c r="Q38" s="19"/>
      <c r="R38" s="33">
        <v>180</v>
      </c>
      <c r="S38" s="19"/>
      <c r="T38" s="21"/>
      <c r="U38" s="36"/>
      <c r="W38" s="22">
        <v>33</v>
      </c>
      <c r="X38" s="19"/>
      <c r="Y38" s="22">
        <v>82</v>
      </c>
      <c r="Z38" s="19"/>
      <c r="AA38" s="22">
        <f t="shared" si="2"/>
        <v>131</v>
      </c>
      <c r="AB38" s="19">
        <v>189.4</v>
      </c>
      <c r="AC38" s="33">
        <v>180</v>
      </c>
      <c r="AD38" s="19">
        <v>196.4</v>
      </c>
      <c r="AE38" s="21"/>
      <c r="AF38" s="36"/>
    </row>
    <row r="39" spans="1:32" ht="15.75" x14ac:dyDescent="0.25">
      <c r="A39" s="22">
        <v>34</v>
      </c>
      <c r="B39" s="19">
        <v>185.1</v>
      </c>
      <c r="C39" s="22">
        <v>83</v>
      </c>
      <c r="D39" s="19">
        <v>192.6</v>
      </c>
      <c r="E39" s="22">
        <f t="shared" si="0"/>
        <v>132</v>
      </c>
      <c r="F39" s="19">
        <v>194.3</v>
      </c>
      <c r="G39" s="33">
        <v>181</v>
      </c>
      <c r="H39" s="19">
        <v>203.6</v>
      </c>
      <c r="I39" s="21"/>
      <c r="J39" s="36"/>
      <c r="L39" s="22">
        <v>34</v>
      </c>
      <c r="M39" s="19">
        <v>185.1</v>
      </c>
      <c r="N39" s="22">
        <v>83</v>
      </c>
      <c r="O39" s="19">
        <v>192.6</v>
      </c>
      <c r="P39" s="22">
        <f t="shared" si="1"/>
        <v>132</v>
      </c>
      <c r="Q39" s="19"/>
      <c r="R39" s="33">
        <v>181</v>
      </c>
      <c r="S39" s="19"/>
      <c r="T39" s="21"/>
      <c r="U39" s="36"/>
      <c r="W39" s="22">
        <v>34</v>
      </c>
      <c r="X39" s="19"/>
      <c r="Y39" s="22">
        <v>83</v>
      </c>
      <c r="Z39" s="19"/>
      <c r="AA39" s="22">
        <f t="shared" si="2"/>
        <v>132</v>
      </c>
      <c r="AB39" s="19">
        <v>194.3</v>
      </c>
      <c r="AC39" s="33">
        <v>181</v>
      </c>
      <c r="AD39" s="19">
        <v>203.6</v>
      </c>
      <c r="AE39" s="21"/>
      <c r="AF39" s="36"/>
    </row>
    <row r="40" spans="1:32" ht="15.75" x14ac:dyDescent="0.25">
      <c r="A40" s="22">
        <v>35</v>
      </c>
      <c r="B40" s="19">
        <v>189.2</v>
      </c>
      <c r="C40" s="22">
        <v>84</v>
      </c>
      <c r="D40" s="19">
        <v>186.9</v>
      </c>
      <c r="E40" s="22">
        <f t="shared" si="0"/>
        <v>133</v>
      </c>
      <c r="F40" s="19">
        <v>191.4</v>
      </c>
      <c r="G40" s="33">
        <v>182</v>
      </c>
      <c r="H40" s="19">
        <v>194.9</v>
      </c>
      <c r="I40" s="20"/>
      <c r="J40" s="36"/>
      <c r="L40" s="22">
        <v>35</v>
      </c>
      <c r="M40" s="19">
        <v>189.2</v>
      </c>
      <c r="N40" s="22">
        <v>84</v>
      </c>
      <c r="O40" s="19">
        <v>186.9</v>
      </c>
      <c r="P40" s="22">
        <f t="shared" si="1"/>
        <v>133</v>
      </c>
      <c r="Q40" s="19"/>
      <c r="R40" s="33">
        <v>182</v>
      </c>
      <c r="S40" s="19"/>
      <c r="T40" s="20"/>
      <c r="U40" s="36"/>
      <c r="W40" s="22">
        <v>35</v>
      </c>
      <c r="X40" s="19"/>
      <c r="Y40" s="22">
        <v>84</v>
      </c>
      <c r="Z40" s="19"/>
      <c r="AA40" s="22">
        <f t="shared" si="2"/>
        <v>133</v>
      </c>
      <c r="AB40" s="19">
        <v>191.4</v>
      </c>
      <c r="AC40" s="33">
        <v>182</v>
      </c>
      <c r="AD40" s="19">
        <v>194.9</v>
      </c>
      <c r="AE40" s="20"/>
      <c r="AF40" s="36"/>
    </row>
    <row r="41" spans="1:32" ht="15.75" x14ac:dyDescent="0.25">
      <c r="A41" s="22">
        <v>36</v>
      </c>
      <c r="B41" s="19">
        <v>190.4</v>
      </c>
      <c r="C41" s="22">
        <v>85</v>
      </c>
      <c r="D41" s="19">
        <v>186.1</v>
      </c>
      <c r="E41" s="22">
        <f t="shared" si="0"/>
        <v>134</v>
      </c>
      <c r="F41" s="19">
        <v>190.8</v>
      </c>
      <c r="G41" s="33">
        <v>183</v>
      </c>
      <c r="H41" s="19">
        <v>197.5</v>
      </c>
      <c r="I41" s="20"/>
      <c r="J41" s="36"/>
      <c r="L41" s="22">
        <v>36</v>
      </c>
      <c r="M41" s="19">
        <v>190.4</v>
      </c>
      <c r="N41" s="22">
        <v>85</v>
      </c>
      <c r="O41" s="19">
        <v>186.1</v>
      </c>
      <c r="P41" s="22">
        <f t="shared" si="1"/>
        <v>134</v>
      </c>
      <c r="Q41" s="19"/>
      <c r="R41" s="33">
        <v>183</v>
      </c>
      <c r="S41" s="19"/>
      <c r="T41" s="20"/>
      <c r="U41" s="36"/>
      <c r="W41" s="22">
        <v>36</v>
      </c>
      <c r="X41" s="19"/>
      <c r="Y41" s="22">
        <v>85</v>
      </c>
      <c r="Z41" s="19"/>
      <c r="AA41" s="22">
        <f t="shared" si="2"/>
        <v>134</v>
      </c>
      <c r="AB41" s="19">
        <v>190.8</v>
      </c>
      <c r="AC41" s="33">
        <v>183</v>
      </c>
      <c r="AD41" s="19">
        <v>197.5</v>
      </c>
      <c r="AE41" s="20"/>
      <c r="AF41" s="36"/>
    </row>
    <row r="42" spans="1:32" ht="15.75" x14ac:dyDescent="0.25">
      <c r="A42" s="22">
        <v>37</v>
      </c>
      <c r="B42" s="19">
        <v>191.4</v>
      </c>
      <c r="C42" s="22">
        <v>86</v>
      </c>
      <c r="D42" s="19">
        <v>185.6</v>
      </c>
      <c r="E42" s="22">
        <f t="shared" si="0"/>
        <v>135</v>
      </c>
      <c r="F42" s="19">
        <v>185.1</v>
      </c>
      <c r="G42" s="33">
        <v>184</v>
      </c>
      <c r="H42" s="19">
        <v>192.7</v>
      </c>
      <c r="I42" s="21"/>
      <c r="J42" s="36"/>
      <c r="L42" s="22">
        <v>37</v>
      </c>
      <c r="M42" s="19">
        <v>191.4</v>
      </c>
      <c r="N42" s="22">
        <v>86</v>
      </c>
      <c r="O42" s="19">
        <v>185.6</v>
      </c>
      <c r="P42" s="22">
        <f t="shared" si="1"/>
        <v>135</v>
      </c>
      <c r="Q42" s="19"/>
      <c r="R42" s="33">
        <v>184</v>
      </c>
      <c r="S42" s="19"/>
      <c r="T42" s="21"/>
      <c r="U42" s="36"/>
      <c r="W42" s="22">
        <v>37</v>
      </c>
      <c r="X42" s="19"/>
      <c r="Y42" s="22">
        <v>86</v>
      </c>
      <c r="Z42" s="19"/>
      <c r="AA42" s="22">
        <f t="shared" si="2"/>
        <v>135</v>
      </c>
      <c r="AB42" s="19">
        <v>185.1</v>
      </c>
      <c r="AC42" s="33">
        <v>184</v>
      </c>
      <c r="AD42" s="19">
        <v>192.7</v>
      </c>
      <c r="AE42" s="21"/>
      <c r="AF42" s="36"/>
    </row>
    <row r="43" spans="1:32" ht="15.75" x14ac:dyDescent="0.25">
      <c r="A43" s="22">
        <v>38</v>
      </c>
      <c r="B43" s="19">
        <v>190</v>
      </c>
      <c r="C43" s="22">
        <v>87</v>
      </c>
      <c r="D43" s="19">
        <v>191.8</v>
      </c>
      <c r="E43" s="22">
        <f t="shared" si="0"/>
        <v>136</v>
      </c>
      <c r="F43" s="19">
        <v>187.9</v>
      </c>
      <c r="G43" s="33">
        <v>185</v>
      </c>
      <c r="H43" s="19">
        <v>191.9</v>
      </c>
      <c r="I43" s="20"/>
      <c r="J43" s="36"/>
      <c r="L43" s="22">
        <v>38</v>
      </c>
      <c r="M43" s="19">
        <v>190</v>
      </c>
      <c r="N43" s="22">
        <v>87</v>
      </c>
      <c r="O43" s="19">
        <v>191.8</v>
      </c>
      <c r="P43" s="22">
        <f t="shared" si="1"/>
        <v>136</v>
      </c>
      <c r="Q43" s="19"/>
      <c r="R43" s="33">
        <v>185</v>
      </c>
      <c r="S43" s="19"/>
      <c r="T43" s="20"/>
      <c r="U43" s="36"/>
      <c r="W43" s="22">
        <v>38</v>
      </c>
      <c r="X43" s="19"/>
      <c r="Y43" s="22">
        <v>87</v>
      </c>
      <c r="Z43" s="19"/>
      <c r="AA43" s="22">
        <f t="shared" si="2"/>
        <v>136</v>
      </c>
      <c r="AB43" s="19">
        <v>187.9</v>
      </c>
      <c r="AC43" s="33">
        <v>185</v>
      </c>
      <c r="AD43" s="19">
        <v>191.9</v>
      </c>
      <c r="AE43" s="20"/>
      <c r="AF43" s="36"/>
    </row>
    <row r="44" spans="1:32" ht="15.75" x14ac:dyDescent="0.25">
      <c r="A44" s="22">
        <v>39</v>
      </c>
      <c r="B44" s="19">
        <v>191.4</v>
      </c>
      <c r="C44" s="22">
        <v>88</v>
      </c>
      <c r="D44" s="19">
        <v>186</v>
      </c>
      <c r="E44" s="22">
        <f t="shared" si="0"/>
        <v>137</v>
      </c>
      <c r="F44" s="19">
        <v>195.4</v>
      </c>
      <c r="G44" s="33">
        <v>186</v>
      </c>
      <c r="H44" s="19">
        <v>191.7</v>
      </c>
      <c r="I44" s="20"/>
      <c r="J44" s="36"/>
      <c r="L44" s="22">
        <v>39</v>
      </c>
      <c r="M44" s="19">
        <v>191.4</v>
      </c>
      <c r="N44" s="22">
        <v>88</v>
      </c>
      <c r="O44" s="19">
        <v>186</v>
      </c>
      <c r="P44" s="22">
        <f t="shared" si="1"/>
        <v>137</v>
      </c>
      <c r="Q44" s="19"/>
      <c r="R44" s="33">
        <v>186</v>
      </c>
      <c r="S44" s="19"/>
      <c r="T44" s="20"/>
      <c r="U44" s="36"/>
      <c r="W44" s="22">
        <v>39</v>
      </c>
      <c r="X44" s="19"/>
      <c r="Y44" s="22">
        <v>88</v>
      </c>
      <c r="Z44" s="19"/>
      <c r="AA44" s="22">
        <f t="shared" si="2"/>
        <v>137</v>
      </c>
      <c r="AB44" s="19">
        <v>195.4</v>
      </c>
      <c r="AC44" s="33">
        <v>186</v>
      </c>
      <c r="AD44" s="19">
        <v>191.7</v>
      </c>
      <c r="AE44" s="20"/>
      <c r="AF44" s="36"/>
    </row>
    <row r="45" spans="1:32" ht="15.75" x14ac:dyDescent="0.25">
      <c r="A45" s="22">
        <v>40</v>
      </c>
      <c r="B45" s="19">
        <v>188.8</v>
      </c>
      <c r="C45" s="22">
        <v>89</v>
      </c>
      <c r="D45" s="19">
        <v>185.6</v>
      </c>
      <c r="E45" s="22">
        <f t="shared" si="0"/>
        <v>138</v>
      </c>
      <c r="F45" s="19">
        <v>191.3</v>
      </c>
      <c r="G45" s="33">
        <v>187</v>
      </c>
      <c r="H45" s="19">
        <v>193.3</v>
      </c>
      <c r="I45" s="21"/>
      <c r="J45" s="36"/>
      <c r="L45" s="22">
        <v>40</v>
      </c>
      <c r="M45" s="19">
        <v>188.8</v>
      </c>
      <c r="N45" s="22">
        <v>89</v>
      </c>
      <c r="O45" s="19">
        <v>185.6</v>
      </c>
      <c r="P45" s="22">
        <f t="shared" si="1"/>
        <v>138</v>
      </c>
      <c r="Q45" s="19"/>
      <c r="R45" s="33">
        <v>187</v>
      </c>
      <c r="S45" s="19"/>
      <c r="T45" s="21"/>
      <c r="U45" s="36"/>
      <c r="W45" s="22">
        <v>40</v>
      </c>
      <c r="X45" s="19"/>
      <c r="Y45" s="22">
        <v>89</v>
      </c>
      <c r="Z45" s="19"/>
      <c r="AA45" s="22">
        <f t="shared" si="2"/>
        <v>138</v>
      </c>
      <c r="AB45" s="19">
        <v>191.3</v>
      </c>
      <c r="AC45" s="33">
        <v>187</v>
      </c>
      <c r="AD45" s="19">
        <v>193.3</v>
      </c>
      <c r="AE45" s="21"/>
      <c r="AF45" s="36"/>
    </row>
    <row r="46" spans="1:32" ht="15.75" x14ac:dyDescent="0.25">
      <c r="A46" s="22">
        <v>41</v>
      </c>
      <c r="B46" s="19">
        <v>187.5</v>
      </c>
      <c r="C46" s="22">
        <v>90</v>
      </c>
      <c r="D46" s="19">
        <v>192.1</v>
      </c>
      <c r="E46" s="22">
        <f t="shared" si="0"/>
        <v>139</v>
      </c>
      <c r="F46" s="19">
        <v>185.8</v>
      </c>
      <c r="G46" s="33">
        <v>188</v>
      </c>
      <c r="H46" s="19">
        <v>191.2</v>
      </c>
      <c r="I46" s="20"/>
      <c r="J46" s="36"/>
      <c r="L46" s="22">
        <v>41</v>
      </c>
      <c r="M46" s="19">
        <v>187.5</v>
      </c>
      <c r="N46" s="22">
        <v>90</v>
      </c>
      <c r="O46" s="19">
        <v>192.1</v>
      </c>
      <c r="P46" s="22">
        <f t="shared" si="1"/>
        <v>139</v>
      </c>
      <c r="Q46" s="19"/>
      <c r="R46" s="33">
        <v>188</v>
      </c>
      <c r="S46" s="19"/>
      <c r="T46" s="20"/>
      <c r="U46" s="36"/>
      <c r="W46" s="22">
        <v>41</v>
      </c>
      <c r="X46" s="19"/>
      <c r="Y46" s="22">
        <v>90</v>
      </c>
      <c r="Z46" s="19"/>
      <c r="AA46" s="22">
        <f t="shared" si="2"/>
        <v>139</v>
      </c>
      <c r="AB46" s="19">
        <v>185.8</v>
      </c>
      <c r="AC46" s="33">
        <v>188</v>
      </c>
      <c r="AD46" s="19">
        <v>191.2</v>
      </c>
      <c r="AE46" s="20"/>
      <c r="AF46" s="36"/>
    </row>
    <row r="47" spans="1:32" ht="15.75" x14ac:dyDescent="0.25">
      <c r="A47" s="22">
        <v>42</v>
      </c>
      <c r="B47" s="19">
        <v>188.8</v>
      </c>
      <c r="C47" s="22">
        <v>91</v>
      </c>
      <c r="D47" s="19">
        <v>193.8</v>
      </c>
      <c r="E47" s="22">
        <f t="shared" si="0"/>
        <v>140</v>
      </c>
      <c r="F47" s="19">
        <v>199.8</v>
      </c>
      <c r="G47" s="33">
        <v>189</v>
      </c>
      <c r="H47" s="19">
        <v>197.9</v>
      </c>
      <c r="I47" s="20"/>
      <c r="J47" s="36"/>
      <c r="L47" s="22">
        <v>42</v>
      </c>
      <c r="M47" s="19">
        <v>188.8</v>
      </c>
      <c r="N47" s="22">
        <v>91</v>
      </c>
      <c r="O47" s="19">
        <v>193.8</v>
      </c>
      <c r="P47" s="22">
        <f t="shared" si="1"/>
        <v>140</v>
      </c>
      <c r="Q47" s="19"/>
      <c r="R47" s="33">
        <v>189</v>
      </c>
      <c r="S47" s="19"/>
      <c r="T47" s="20"/>
      <c r="U47" s="36"/>
      <c r="W47" s="22">
        <v>42</v>
      </c>
      <c r="X47" s="19"/>
      <c r="Y47" s="22">
        <v>91</v>
      </c>
      <c r="Z47" s="19"/>
      <c r="AA47" s="22">
        <f t="shared" si="2"/>
        <v>140</v>
      </c>
      <c r="AB47" s="19">
        <v>199.8</v>
      </c>
      <c r="AC47" s="33">
        <v>189</v>
      </c>
      <c r="AD47" s="19">
        <v>197.9</v>
      </c>
      <c r="AE47" s="20"/>
      <c r="AF47" s="36"/>
    </row>
    <row r="48" spans="1:32" ht="15.75" x14ac:dyDescent="0.25">
      <c r="A48" s="22">
        <v>43</v>
      </c>
      <c r="B48" s="19">
        <v>193.8</v>
      </c>
      <c r="C48" s="22">
        <v>92</v>
      </c>
      <c r="D48" s="19">
        <v>190.4</v>
      </c>
      <c r="E48" s="22">
        <f t="shared" si="0"/>
        <v>141</v>
      </c>
      <c r="F48" s="19">
        <v>194.5</v>
      </c>
      <c r="G48" s="33">
        <v>190</v>
      </c>
      <c r="H48" s="19">
        <v>194.6</v>
      </c>
      <c r="I48" s="21"/>
      <c r="J48" s="36"/>
      <c r="L48" s="22">
        <v>43</v>
      </c>
      <c r="M48" s="19">
        <v>193.8</v>
      </c>
      <c r="N48" s="22">
        <v>92</v>
      </c>
      <c r="O48" s="19">
        <v>190.4</v>
      </c>
      <c r="P48" s="22">
        <f t="shared" si="1"/>
        <v>141</v>
      </c>
      <c r="Q48" s="19"/>
      <c r="R48" s="33">
        <v>190</v>
      </c>
      <c r="S48" s="19"/>
      <c r="T48" s="21"/>
      <c r="U48" s="36"/>
      <c r="W48" s="22">
        <v>43</v>
      </c>
      <c r="X48" s="19"/>
      <c r="Y48" s="22">
        <v>92</v>
      </c>
      <c r="Z48" s="19"/>
      <c r="AA48" s="22">
        <f t="shared" si="2"/>
        <v>141</v>
      </c>
      <c r="AB48" s="19">
        <v>194.5</v>
      </c>
      <c r="AC48" s="33">
        <v>190</v>
      </c>
      <c r="AD48" s="19">
        <v>194.6</v>
      </c>
      <c r="AE48" s="21"/>
      <c r="AF48" s="36"/>
    </row>
    <row r="49" spans="1:32" ht="15.75" x14ac:dyDescent="0.25">
      <c r="A49" s="22">
        <v>44</v>
      </c>
      <c r="B49" s="19">
        <v>193.8</v>
      </c>
      <c r="C49" s="22">
        <v>93</v>
      </c>
      <c r="D49" s="19">
        <v>192.1</v>
      </c>
      <c r="E49" s="22">
        <f t="shared" si="0"/>
        <v>142</v>
      </c>
      <c r="F49" s="19">
        <v>194.4</v>
      </c>
      <c r="G49" s="33">
        <v>191</v>
      </c>
      <c r="H49" s="19">
        <v>194</v>
      </c>
      <c r="I49" s="21"/>
      <c r="J49" s="36"/>
      <c r="L49" s="22">
        <v>44</v>
      </c>
      <c r="M49" s="19">
        <v>193.8</v>
      </c>
      <c r="N49" s="22">
        <v>93</v>
      </c>
      <c r="O49" s="19">
        <v>192.1</v>
      </c>
      <c r="P49" s="22">
        <f t="shared" si="1"/>
        <v>142</v>
      </c>
      <c r="Q49" s="19"/>
      <c r="R49" s="33">
        <v>191</v>
      </c>
      <c r="S49" s="19"/>
      <c r="T49" s="21"/>
      <c r="U49" s="36"/>
      <c r="W49" s="22">
        <v>44</v>
      </c>
      <c r="X49" s="19"/>
      <c r="Y49" s="22">
        <v>93</v>
      </c>
      <c r="Z49" s="19"/>
      <c r="AA49" s="22">
        <f t="shared" si="2"/>
        <v>142</v>
      </c>
      <c r="AB49" s="19">
        <v>194.4</v>
      </c>
      <c r="AC49" s="33">
        <v>191</v>
      </c>
      <c r="AD49" s="19">
        <v>194</v>
      </c>
      <c r="AE49" s="21"/>
      <c r="AF49" s="36"/>
    </row>
    <row r="50" spans="1:32" ht="15.75" x14ac:dyDescent="0.25">
      <c r="A50" s="22">
        <v>45</v>
      </c>
      <c r="B50" s="19">
        <v>191.1</v>
      </c>
      <c r="C50" s="22">
        <v>94</v>
      </c>
      <c r="D50" s="19">
        <v>189.3</v>
      </c>
      <c r="E50" s="22">
        <f t="shared" si="0"/>
        <v>143</v>
      </c>
      <c r="F50" s="19">
        <v>194.3</v>
      </c>
      <c r="G50" s="33">
        <v>192</v>
      </c>
      <c r="H50" s="19">
        <v>192.1</v>
      </c>
      <c r="I50" s="20"/>
      <c r="J50" s="36"/>
      <c r="L50" s="22">
        <v>45</v>
      </c>
      <c r="M50" s="19">
        <v>191.1</v>
      </c>
      <c r="N50" s="22">
        <v>94</v>
      </c>
      <c r="O50" s="19">
        <v>189.3</v>
      </c>
      <c r="P50" s="22">
        <f t="shared" si="1"/>
        <v>143</v>
      </c>
      <c r="Q50" s="19"/>
      <c r="R50" s="33">
        <v>192</v>
      </c>
      <c r="S50" s="19"/>
      <c r="T50" s="20"/>
      <c r="U50" s="36"/>
      <c r="W50" s="22">
        <v>45</v>
      </c>
      <c r="X50" s="19"/>
      <c r="Y50" s="22">
        <v>94</v>
      </c>
      <c r="Z50" s="19"/>
      <c r="AA50" s="22">
        <f t="shared" si="2"/>
        <v>143</v>
      </c>
      <c r="AB50" s="19">
        <v>194.3</v>
      </c>
      <c r="AC50" s="33">
        <v>192</v>
      </c>
      <c r="AD50" s="19">
        <v>192.1</v>
      </c>
      <c r="AE50" s="20"/>
      <c r="AF50" s="36"/>
    </row>
    <row r="51" spans="1:32" ht="15.75" x14ac:dyDescent="0.25">
      <c r="A51" s="22">
        <v>46</v>
      </c>
      <c r="B51" s="19">
        <v>183</v>
      </c>
      <c r="C51" s="22">
        <v>95</v>
      </c>
      <c r="D51" s="19">
        <v>189.2</v>
      </c>
      <c r="E51" s="22">
        <f t="shared" si="0"/>
        <v>144</v>
      </c>
      <c r="F51" s="19">
        <v>192.1</v>
      </c>
      <c r="G51" s="33">
        <v>193</v>
      </c>
      <c r="H51" s="19">
        <v>193.6</v>
      </c>
      <c r="I51" s="20"/>
      <c r="J51" s="36"/>
      <c r="L51" s="22">
        <v>46</v>
      </c>
      <c r="M51" s="19">
        <v>183</v>
      </c>
      <c r="N51" s="22">
        <v>95</v>
      </c>
      <c r="O51" s="19">
        <v>189.2</v>
      </c>
      <c r="P51" s="22">
        <f t="shared" si="1"/>
        <v>144</v>
      </c>
      <c r="Q51" s="19"/>
      <c r="R51" s="33">
        <v>193</v>
      </c>
      <c r="S51" s="19"/>
      <c r="T51" s="20"/>
      <c r="U51" s="36"/>
      <c r="W51" s="22">
        <v>46</v>
      </c>
      <c r="X51" s="19"/>
      <c r="Y51" s="22">
        <v>95</v>
      </c>
      <c r="Z51" s="19"/>
      <c r="AA51" s="22">
        <f t="shared" si="2"/>
        <v>144</v>
      </c>
      <c r="AB51" s="19">
        <v>192.1</v>
      </c>
      <c r="AC51" s="33">
        <v>193</v>
      </c>
      <c r="AD51" s="19">
        <v>193.6</v>
      </c>
      <c r="AE51" s="20"/>
      <c r="AF51" s="36"/>
    </row>
    <row r="52" spans="1:32" ht="15.75" x14ac:dyDescent="0.25">
      <c r="A52" s="22">
        <v>47</v>
      </c>
      <c r="B52" s="19">
        <v>189.4</v>
      </c>
      <c r="C52" s="22">
        <v>96</v>
      </c>
      <c r="D52" s="19">
        <v>195</v>
      </c>
      <c r="E52" s="22">
        <f t="shared" si="0"/>
        <v>145</v>
      </c>
      <c r="F52" s="19">
        <v>197</v>
      </c>
      <c r="G52" s="33">
        <v>194</v>
      </c>
      <c r="H52" s="19">
        <v>191.4</v>
      </c>
      <c r="I52" s="21"/>
      <c r="J52" s="36"/>
      <c r="L52" s="22">
        <v>47</v>
      </c>
      <c r="M52" s="19">
        <v>189.4</v>
      </c>
      <c r="N52" s="22">
        <v>96</v>
      </c>
      <c r="O52" s="19">
        <v>195</v>
      </c>
      <c r="P52" s="22">
        <f t="shared" si="1"/>
        <v>145</v>
      </c>
      <c r="Q52" s="19"/>
      <c r="R52" s="33">
        <v>194</v>
      </c>
      <c r="S52" s="19"/>
      <c r="T52" s="21"/>
      <c r="U52" s="36"/>
      <c r="W52" s="22">
        <v>47</v>
      </c>
      <c r="X52" s="19"/>
      <c r="Y52" s="22">
        <v>96</v>
      </c>
      <c r="Z52" s="19"/>
      <c r="AA52" s="22">
        <f t="shared" si="2"/>
        <v>145</v>
      </c>
      <c r="AB52" s="19">
        <v>197</v>
      </c>
      <c r="AC52" s="33">
        <v>194</v>
      </c>
      <c r="AD52" s="19">
        <v>191.4</v>
      </c>
      <c r="AE52" s="21"/>
      <c r="AF52" s="36"/>
    </row>
    <row r="53" spans="1:32" ht="15.75" x14ac:dyDescent="0.25">
      <c r="A53" s="22">
        <v>48</v>
      </c>
      <c r="B53" s="19">
        <v>193.4</v>
      </c>
      <c r="C53" s="22">
        <v>97</v>
      </c>
      <c r="D53" s="19">
        <v>190.1</v>
      </c>
      <c r="E53" s="22">
        <f t="shared" si="0"/>
        <v>146</v>
      </c>
      <c r="F53" s="19">
        <v>195.9</v>
      </c>
      <c r="G53" s="33">
        <v>195</v>
      </c>
      <c r="H53" s="19">
        <v>188.1</v>
      </c>
      <c r="I53" s="20"/>
      <c r="J53" s="36"/>
      <c r="L53" s="22">
        <v>48</v>
      </c>
      <c r="M53" s="19">
        <v>193.4</v>
      </c>
      <c r="N53" s="22">
        <v>97</v>
      </c>
      <c r="O53" s="19">
        <v>190.1</v>
      </c>
      <c r="P53" s="22">
        <f t="shared" si="1"/>
        <v>146</v>
      </c>
      <c r="Q53" s="19"/>
      <c r="R53" s="33">
        <v>195</v>
      </c>
      <c r="S53" s="19"/>
      <c r="T53" s="20"/>
      <c r="U53" s="36"/>
      <c r="W53" s="22">
        <v>48</v>
      </c>
      <c r="X53" s="19"/>
      <c r="Y53" s="22">
        <v>97</v>
      </c>
      <c r="Z53" s="19"/>
      <c r="AA53" s="22">
        <f t="shared" si="2"/>
        <v>146</v>
      </c>
      <c r="AB53" s="19">
        <v>195.9</v>
      </c>
      <c r="AC53" s="33">
        <v>195</v>
      </c>
      <c r="AD53" s="19">
        <v>188.1</v>
      </c>
      <c r="AE53" s="20"/>
      <c r="AF53" s="36"/>
    </row>
    <row r="54" spans="1:32" ht="15.75" x14ac:dyDescent="0.25">
      <c r="A54" s="37">
        <v>49</v>
      </c>
      <c r="B54" s="19">
        <v>192.5</v>
      </c>
      <c r="C54" s="37">
        <v>98</v>
      </c>
      <c r="D54" s="19">
        <v>186.9</v>
      </c>
      <c r="E54" s="22">
        <f t="shared" si="0"/>
        <v>147</v>
      </c>
      <c r="F54" s="19">
        <v>191.7</v>
      </c>
      <c r="G54" s="38">
        <v>196</v>
      </c>
      <c r="H54" s="19">
        <v>192.5</v>
      </c>
      <c r="I54" s="39"/>
      <c r="J54" s="40"/>
      <c r="L54" s="37">
        <v>49</v>
      </c>
      <c r="M54" s="19">
        <v>192.5</v>
      </c>
      <c r="N54" s="37">
        <v>98</v>
      </c>
      <c r="O54" s="19">
        <v>186.9</v>
      </c>
      <c r="P54" s="22">
        <f t="shared" si="1"/>
        <v>147</v>
      </c>
      <c r="Q54" s="19"/>
      <c r="R54" s="38">
        <v>196</v>
      </c>
      <c r="S54" s="19"/>
      <c r="T54" s="39"/>
      <c r="U54" s="40"/>
      <c r="W54" s="37">
        <v>49</v>
      </c>
      <c r="X54" s="19"/>
      <c r="Y54" s="37">
        <v>98</v>
      </c>
      <c r="Z54" s="19"/>
      <c r="AA54" s="22">
        <f t="shared" si="2"/>
        <v>147</v>
      </c>
      <c r="AB54" s="19">
        <v>191.7</v>
      </c>
      <c r="AC54" s="38">
        <v>196</v>
      </c>
      <c r="AD54" s="19">
        <v>192.5</v>
      </c>
      <c r="AE54" s="39"/>
      <c r="AF54" s="40"/>
    </row>
    <row r="55" spans="1:32" ht="15.75" x14ac:dyDescent="0.25">
      <c r="A55" s="41"/>
      <c r="B55" s="23">
        <f>SUM(B6:B54)</f>
        <v>9363.9999999999982</v>
      </c>
      <c r="C55" s="23"/>
      <c r="D55" s="23">
        <f>SUM(D6:D54)</f>
        <v>9277.2000000000007</v>
      </c>
      <c r="E55" s="23"/>
      <c r="F55" s="23">
        <f>SUM(F6:F54)</f>
        <v>9400.9999999999982</v>
      </c>
      <c r="G55" s="23"/>
      <c r="H55" s="23">
        <f>SUM(H6:H54)</f>
        <v>9507.4</v>
      </c>
      <c r="I55" s="41"/>
      <c r="J55" s="41">
        <f>SUM(J6:J54)</f>
        <v>4627.0000000000018</v>
      </c>
      <c r="L55" s="41"/>
      <c r="M55" s="23">
        <f>SUM(M6:M54)</f>
        <v>9363.9999999999982</v>
      </c>
      <c r="N55" s="23"/>
      <c r="O55" s="23">
        <f>SUM(O6:O54)</f>
        <v>9277.2000000000007</v>
      </c>
      <c r="P55" s="23"/>
      <c r="Q55" s="23">
        <f>SUM(Q6:Q54)</f>
        <v>2102.7000000000003</v>
      </c>
      <c r="R55" s="23"/>
      <c r="S55" s="23">
        <f>SUM(S6:S54)</f>
        <v>0</v>
      </c>
      <c r="T55" s="41"/>
      <c r="U55" s="41">
        <f>SUM(U6:U54)</f>
        <v>0</v>
      </c>
      <c r="W55" s="41"/>
      <c r="X55" s="23">
        <f>SUM(X6:X54)</f>
        <v>0</v>
      </c>
      <c r="Y55" s="23"/>
      <c r="Z55" s="23">
        <f>SUM(Z6:Z54)</f>
        <v>0</v>
      </c>
      <c r="AA55" s="23"/>
      <c r="AB55" s="23">
        <f>SUM(AB6:AB54)</f>
        <v>7298.2999999999993</v>
      </c>
      <c r="AC55" s="23"/>
      <c r="AD55" s="23">
        <f>SUM(AD6:AD54)</f>
        <v>9507.4</v>
      </c>
      <c r="AE55" s="41"/>
      <c r="AF55" s="41">
        <f>SUM(AF6:AF54)</f>
        <v>4627.0000000000018</v>
      </c>
    </row>
    <row r="56" spans="1:32" ht="15.75" x14ac:dyDescent="0.25">
      <c r="A56" s="42" t="s">
        <v>5</v>
      </c>
      <c r="B56" s="43">
        <f>COUNT(B6:B54,D6:D54,F6:F54,H6:H54,J6:J54)</f>
        <v>220</v>
      </c>
      <c r="C56" s="13" t="s">
        <v>6</v>
      </c>
      <c r="D56" s="44"/>
      <c r="E56" s="45">
        <f>B55+D55+F55+H55+J55</f>
        <v>42176.6</v>
      </c>
      <c r="F56" s="24" t="s">
        <v>7</v>
      </c>
      <c r="G56" s="1">
        <f>B56*2.1</f>
        <v>462</v>
      </c>
      <c r="H56" s="13" t="s">
        <v>8</v>
      </c>
      <c r="I56" s="44"/>
      <c r="J56" s="45">
        <f>E56-G56</f>
        <v>41714.6</v>
      </c>
      <c r="L56" s="42" t="s">
        <v>5</v>
      </c>
      <c r="M56" s="43">
        <f>COUNT(M6:M54,O6:O54,Q6:Q54,S6:S54,U6:U54)</f>
        <v>109</v>
      </c>
      <c r="N56" s="13" t="s">
        <v>6</v>
      </c>
      <c r="O56" s="44"/>
      <c r="P56" s="45">
        <f>M55+O55+Q55+S55+U55</f>
        <v>20743.899999999998</v>
      </c>
      <c r="Q56" s="24" t="s">
        <v>7</v>
      </c>
      <c r="R56" s="1">
        <f>M56*2.1</f>
        <v>228.9</v>
      </c>
      <c r="S56" s="13" t="s">
        <v>8</v>
      </c>
      <c r="T56" s="44"/>
      <c r="U56" s="45">
        <f>P56-R56</f>
        <v>20514.999999999996</v>
      </c>
      <c r="W56" s="42" t="s">
        <v>5</v>
      </c>
      <c r="X56" s="43">
        <f>COUNT(X6:X54,Z6:Z54,AB6:AB54,AD6:AD54,AF6:AF54)</f>
        <v>111</v>
      </c>
      <c r="Y56" s="13" t="s">
        <v>6</v>
      </c>
      <c r="Z56" s="44"/>
      <c r="AA56" s="45">
        <f>X55+Z55+AB55+AD55+AF55</f>
        <v>21432.699999999997</v>
      </c>
      <c r="AB56" s="24" t="s">
        <v>7</v>
      </c>
      <c r="AC56" s="1">
        <f>X56*2.1</f>
        <v>233.10000000000002</v>
      </c>
      <c r="AD56" s="13" t="s">
        <v>8</v>
      </c>
      <c r="AE56" s="44"/>
      <c r="AF56" s="45">
        <f>AA56-AC56</f>
        <v>21199.599999999999</v>
      </c>
    </row>
    <row r="57" spans="1:32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  <c r="L57" s="42" t="s">
        <v>9</v>
      </c>
      <c r="M57" s="25"/>
      <c r="N57" s="46"/>
      <c r="O57" s="44"/>
      <c r="P57" s="47"/>
      <c r="Q57" s="25"/>
      <c r="R57" s="48"/>
      <c r="S57" s="46"/>
      <c r="T57" s="44"/>
      <c r="U57" s="49"/>
      <c r="W57" s="42" t="s">
        <v>9</v>
      </c>
      <c r="X57" s="25"/>
      <c r="Y57" s="46"/>
      <c r="Z57" s="44"/>
      <c r="AA57" s="47"/>
      <c r="AB57" s="25"/>
      <c r="AC57" s="48"/>
      <c r="AD57" s="46"/>
      <c r="AE57" s="44"/>
      <c r="AF57" s="49"/>
    </row>
    <row r="58" spans="1:32" x14ac:dyDescent="0.25">
      <c r="B58">
        <f>M56+X56</f>
        <v>220</v>
      </c>
      <c r="E58" s="80">
        <f>P56+AA56</f>
        <v>42176.599999999991</v>
      </c>
      <c r="J58" s="80">
        <f>U56+AF56</f>
        <v>41714.599999999991</v>
      </c>
    </row>
  </sheetData>
  <protectedRanges>
    <protectedRange password="CCE1" sqref="C6:C54 G6:G54 E6:E54 I6:I29 N6:N54 R6:R54 P6:P54 T6:T29 Y6:Y54 AC6:AC54 AA6:AA54 AE6:AE29" name="Диапазон1_3_1_7_2_1_1_1_1_1_1_1"/>
  </protectedRanges>
  <mergeCells count="6">
    <mergeCell ref="A1:J1"/>
    <mergeCell ref="I4:J4"/>
    <mergeCell ref="L1:U1"/>
    <mergeCell ref="T4:U4"/>
    <mergeCell ref="W1:AF1"/>
    <mergeCell ref="AE4:AF4"/>
  </mergeCells>
  <pageMargins left="0.7" right="0.7" top="0.75" bottom="0.75" header="0.3" footer="0.3"/>
  <pageSetup paperSize="9" scale="83" orientation="portrait" verticalDpi="0" r:id="rId1"/>
  <rowBreaks count="1" manualBreakCount="1">
    <brk id="57" max="16383" man="1"/>
  </rowBreaks>
  <colBreaks count="2" manualBreakCount="2">
    <brk id="10" max="56" man="1"/>
    <brk id="21" max="56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7"/>
  <sheetViews>
    <sheetView topLeftCell="A34" zoomScale="80" zoomScaleNormal="80" workbookViewId="0">
      <selection activeCell="I63" sqref="I63"/>
    </sheetView>
  </sheetViews>
  <sheetFormatPr defaultRowHeight="15" x14ac:dyDescent="0.25"/>
  <cols>
    <col min="10" max="10" width="10.42578125" customWidth="1"/>
    <col min="11" max="11" width="3.28515625" customWidth="1"/>
    <col min="22" max="22" width="2.140625" customWidth="1"/>
  </cols>
  <sheetData>
    <row r="1" spans="1:32" ht="18.75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L1" s="204" t="s">
        <v>0</v>
      </c>
      <c r="M1" s="204"/>
      <c r="N1" s="204"/>
      <c r="O1" s="204"/>
      <c r="P1" s="204"/>
      <c r="Q1" s="204"/>
      <c r="R1" s="204"/>
      <c r="S1" s="204"/>
      <c r="T1" s="204"/>
      <c r="U1" s="204"/>
      <c r="W1" s="204" t="s">
        <v>0</v>
      </c>
      <c r="X1" s="204"/>
      <c r="Y1" s="204"/>
      <c r="Z1" s="204"/>
      <c r="AA1" s="204"/>
      <c r="AB1" s="204"/>
      <c r="AC1" s="204"/>
      <c r="AD1" s="204"/>
      <c r="AE1" s="204"/>
      <c r="AF1" s="204"/>
    </row>
    <row r="2" spans="1:32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  <c r="L2" s="13" t="s">
        <v>1</v>
      </c>
      <c r="M2" s="13"/>
      <c r="N2" s="13"/>
      <c r="O2" s="13"/>
      <c r="P2" s="13"/>
      <c r="Q2" s="13"/>
      <c r="R2" s="27"/>
      <c r="S2" s="13"/>
      <c r="T2" s="13"/>
      <c r="U2" s="13"/>
      <c r="W2" s="13" t="s">
        <v>1</v>
      </c>
      <c r="X2" s="13"/>
      <c r="Y2" s="13"/>
      <c r="Z2" s="13"/>
      <c r="AA2" s="13"/>
      <c r="AB2" s="13"/>
      <c r="AC2" s="27"/>
      <c r="AD2" s="13"/>
      <c r="AE2" s="13"/>
      <c r="AF2" s="13"/>
    </row>
    <row r="3" spans="1:32" ht="15.75" x14ac:dyDescent="0.25">
      <c r="A3" s="25" t="s">
        <v>2</v>
      </c>
      <c r="B3" s="27">
        <v>203</v>
      </c>
      <c r="C3" s="14"/>
      <c r="D3" s="15"/>
      <c r="E3" s="16"/>
      <c r="F3" s="16"/>
      <c r="G3" s="16"/>
      <c r="H3" s="16"/>
      <c r="I3" s="16" t="s">
        <v>33</v>
      </c>
      <c r="J3" s="16"/>
      <c r="L3" s="25" t="s">
        <v>2</v>
      </c>
      <c r="M3" s="27">
        <v>203</v>
      </c>
      <c r="N3" s="14"/>
      <c r="O3" s="15"/>
      <c r="P3" s="16"/>
      <c r="Q3" s="16"/>
      <c r="R3" s="16"/>
      <c r="S3" s="16"/>
      <c r="T3" s="16" t="s">
        <v>33</v>
      </c>
      <c r="U3" s="16"/>
      <c r="W3" s="25" t="s">
        <v>2</v>
      </c>
      <c r="X3" s="27">
        <v>203</v>
      </c>
      <c r="Y3" s="14"/>
      <c r="Z3" s="15"/>
      <c r="AA3" s="16"/>
      <c r="AB3" s="16"/>
      <c r="AC3" s="16"/>
      <c r="AD3" s="16"/>
      <c r="AE3" s="16" t="s">
        <v>33</v>
      </c>
      <c r="AF3" s="16"/>
    </row>
    <row r="4" spans="1:32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  <c r="L4" s="17"/>
      <c r="M4" s="17"/>
      <c r="N4" s="17"/>
      <c r="O4" s="17"/>
      <c r="P4" s="17"/>
      <c r="Q4" s="17"/>
      <c r="R4" s="17"/>
      <c r="S4" s="28"/>
      <c r="T4" s="205" t="s">
        <v>48</v>
      </c>
      <c r="U4" s="206"/>
      <c r="W4" s="17"/>
      <c r="X4" s="17"/>
      <c r="Y4" s="17"/>
      <c r="Z4" s="17"/>
      <c r="AA4" s="17"/>
      <c r="AB4" s="17"/>
      <c r="AC4" s="17"/>
      <c r="AD4" s="28"/>
      <c r="AE4" s="205" t="s">
        <v>54</v>
      </c>
      <c r="AF4" s="206"/>
    </row>
    <row r="5" spans="1:32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  <c r="L5" s="29" t="s">
        <v>3</v>
      </c>
      <c r="M5" s="18" t="s">
        <v>4</v>
      </c>
      <c r="N5" s="29" t="s">
        <v>3</v>
      </c>
      <c r="O5" s="18" t="s">
        <v>4</v>
      </c>
      <c r="P5" s="29" t="s">
        <v>3</v>
      </c>
      <c r="Q5" s="18" t="s">
        <v>4</v>
      </c>
      <c r="R5" s="29" t="s">
        <v>3</v>
      </c>
      <c r="S5" s="30" t="s">
        <v>4</v>
      </c>
      <c r="T5" s="31" t="s">
        <v>3</v>
      </c>
      <c r="U5" s="32" t="s">
        <v>4</v>
      </c>
      <c r="W5" s="29" t="s">
        <v>3</v>
      </c>
      <c r="X5" s="18" t="s">
        <v>4</v>
      </c>
      <c r="Y5" s="29" t="s">
        <v>3</v>
      </c>
      <c r="Z5" s="18" t="s">
        <v>4</v>
      </c>
      <c r="AA5" s="29" t="s">
        <v>3</v>
      </c>
      <c r="AB5" s="18" t="s">
        <v>4</v>
      </c>
      <c r="AC5" s="29" t="s">
        <v>3</v>
      </c>
      <c r="AD5" s="30" t="s">
        <v>4</v>
      </c>
      <c r="AE5" s="31" t="s">
        <v>3</v>
      </c>
      <c r="AF5" s="32" t="s">
        <v>4</v>
      </c>
    </row>
    <row r="6" spans="1:32" ht="15.75" x14ac:dyDescent="0.25">
      <c r="A6" s="22">
        <v>1</v>
      </c>
      <c r="B6" s="19">
        <v>198.8</v>
      </c>
      <c r="C6" s="22">
        <v>50</v>
      </c>
      <c r="D6" s="19">
        <v>196.4</v>
      </c>
      <c r="E6" s="22">
        <v>99</v>
      </c>
      <c r="F6" s="19">
        <v>187.8</v>
      </c>
      <c r="G6" s="33">
        <v>148</v>
      </c>
      <c r="H6" s="19">
        <v>195.4</v>
      </c>
      <c r="I6" s="34">
        <v>197</v>
      </c>
      <c r="J6" s="19">
        <v>194.9</v>
      </c>
      <c r="L6" s="22">
        <v>1</v>
      </c>
      <c r="M6" s="19"/>
      <c r="N6" s="22">
        <v>50</v>
      </c>
      <c r="O6" s="19"/>
      <c r="P6" s="22">
        <v>99</v>
      </c>
      <c r="Q6" s="19">
        <v>187.8</v>
      </c>
      <c r="R6" s="33">
        <v>148</v>
      </c>
      <c r="S6" s="19">
        <v>195.4</v>
      </c>
      <c r="T6" s="34">
        <v>197</v>
      </c>
      <c r="U6" s="19">
        <v>194.9</v>
      </c>
      <c r="W6" s="22">
        <v>1</v>
      </c>
      <c r="X6" s="19">
        <v>198.8</v>
      </c>
      <c r="Y6" s="22">
        <v>50</v>
      </c>
      <c r="Z6" s="19">
        <v>196.4</v>
      </c>
      <c r="AA6" s="22">
        <v>99</v>
      </c>
      <c r="AB6" s="19"/>
      <c r="AC6" s="33">
        <v>148</v>
      </c>
      <c r="AD6" s="19"/>
      <c r="AE6" s="34">
        <v>197</v>
      </c>
      <c r="AF6" s="19"/>
    </row>
    <row r="7" spans="1:32" ht="15.75" x14ac:dyDescent="0.25">
      <c r="A7" s="22">
        <v>2</v>
      </c>
      <c r="B7" s="19">
        <v>195.4</v>
      </c>
      <c r="C7" s="22">
        <v>51</v>
      </c>
      <c r="D7" s="19">
        <v>194.8</v>
      </c>
      <c r="E7" s="22">
        <v>100</v>
      </c>
      <c r="F7" s="19">
        <v>191</v>
      </c>
      <c r="G7" s="33">
        <v>149</v>
      </c>
      <c r="H7" s="19">
        <v>201.9</v>
      </c>
      <c r="I7" s="33">
        <v>198</v>
      </c>
      <c r="J7" s="19">
        <v>194.1</v>
      </c>
      <c r="L7" s="22">
        <v>2</v>
      </c>
      <c r="M7" s="19"/>
      <c r="N7" s="22">
        <v>51</v>
      </c>
      <c r="O7" s="19"/>
      <c r="P7" s="22">
        <v>100</v>
      </c>
      <c r="Q7" s="19">
        <v>191</v>
      </c>
      <c r="R7" s="33">
        <v>149</v>
      </c>
      <c r="S7" s="19">
        <v>201.9</v>
      </c>
      <c r="T7" s="33">
        <v>198</v>
      </c>
      <c r="U7" s="19">
        <v>194.1</v>
      </c>
      <c r="W7" s="22">
        <v>2</v>
      </c>
      <c r="X7" s="19">
        <v>195.4</v>
      </c>
      <c r="Y7" s="22">
        <v>51</v>
      </c>
      <c r="Z7" s="19">
        <v>194.8</v>
      </c>
      <c r="AA7" s="22">
        <v>100</v>
      </c>
      <c r="AB7" s="19"/>
      <c r="AC7" s="33">
        <v>149</v>
      </c>
      <c r="AD7" s="19"/>
      <c r="AE7" s="33">
        <v>198</v>
      </c>
      <c r="AF7" s="19"/>
    </row>
    <row r="8" spans="1:32" ht="15.75" x14ac:dyDescent="0.25">
      <c r="A8" s="22">
        <v>3</v>
      </c>
      <c r="B8" s="19">
        <v>188.7</v>
      </c>
      <c r="C8" s="22">
        <v>52</v>
      </c>
      <c r="D8" s="19">
        <v>201.6</v>
      </c>
      <c r="E8" s="22">
        <f t="shared" ref="E8:E54" si="0">+E7+1</f>
        <v>101</v>
      </c>
      <c r="F8" s="19">
        <v>186.6</v>
      </c>
      <c r="G8" s="33">
        <v>150</v>
      </c>
      <c r="H8" s="19">
        <v>197.4</v>
      </c>
      <c r="I8" s="33">
        <v>199</v>
      </c>
      <c r="J8" s="19">
        <v>188.2</v>
      </c>
      <c r="L8" s="22">
        <v>3</v>
      </c>
      <c r="M8" s="19"/>
      <c r="N8" s="22">
        <v>52</v>
      </c>
      <c r="O8" s="19"/>
      <c r="P8" s="22">
        <f t="shared" ref="P8:P54" si="1">+P7+1</f>
        <v>101</v>
      </c>
      <c r="Q8" s="19">
        <v>186.6</v>
      </c>
      <c r="R8" s="33">
        <v>150</v>
      </c>
      <c r="S8" s="19">
        <v>197.4</v>
      </c>
      <c r="T8" s="33">
        <v>199</v>
      </c>
      <c r="U8" s="19">
        <v>188.2</v>
      </c>
      <c r="W8" s="22">
        <v>3</v>
      </c>
      <c r="X8" s="19">
        <v>188.7</v>
      </c>
      <c r="Y8" s="22">
        <v>52</v>
      </c>
      <c r="Z8" s="19">
        <v>201.6</v>
      </c>
      <c r="AA8" s="22">
        <f t="shared" ref="AA8:AA54" si="2">+AA7+1</f>
        <v>101</v>
      </c>
      <c r="AB8" s="19"/>
      <c r="AC8" s="33">
        <v>150</v>
      </c>
      <c r="AD8" s="19"/>
      <c r="AE8" s="33">
        <v>199</v>
      </c>
      <c r="AF8" s="19"/>
    </row>
    <row r="9" spans="1:32" ht="15.75" x14ac:dyDescent="0.25">
      <c r="A9" s="22">
        <v>4</v>
      </c>
      <c r="B9" s="19">
        <v>200.6</v>
      </c>
      <c r="C9" s="22">
        <v>53</v>
      </c>
      <c r="D9" s="19">
        <v>207</v>
      </c>
      <c r="E9" s="22">
        <f t="shared" si="0"/>
        <v>102</v>
      </c>
      <c r="F9" s="19">
        <v>192.4</v>
      </c>
      <c r="G9" s="33">
        <v>151</v>
      </c>
      <c r="H9" s="19">
        <v>193.2</v>
      </c>
      <c r="I9" s="33">
        <v>200</v>
      </c>
      <c r="J9" s="19">
        <v>187.3</v>
      </c>
      <c r="L9" s="22">
        <v>4</v>
      </c>
      <c r="M9" s="19"/>
      <c r="N9" s="22">
        <v>53</v>
      </c>
      <c r="O9" s="19"/>
      <c r="P9" s="22">
        <f t="shared" si="1"/>
        <v>102</v>
      </c>
      <c r="Q9" s="19">
        <v>192.4</v>
      </c>
      <c r="R9" s="33">
        <v>151</v>
      </c>
      <c r="S9" s="19">
        <v>193.2</v>
      </c>
      <c r="T9" s="33">
        <v>200</v>
      </c>
      <c r="U9" s="19">
        <v>187.3</v>
      </c>
      <c r="W9" s="22">
        <v>4</v>
      </c>
      <c r="X9" s="19">
        <v>200.6</v>
      </c>
      <c r="Y9" s="22">
        <v>53</v>
      </c>
      <c r="Z9" s="19">
        <v>207</v>
      </c>
      <c r="AA9" s="22">
        <f t="shared" si="2"/>
        <v>102</v>
      </c>
      <c r="AB9" s="19"/>
      <c r="AC9" s="33">
        <v>151</v>
      </c>
      <c r="AD9" s="19"/>
      <c r="AE9" s="33">
        <v>200</v>
      </c>
      <c r="AF9" s="19"/>
    </row>
    <row r="10" spans="1:32" ht="15.75" x14ac:dyDescent="0.25">
      <c r="A10" s="22">
        <v>5</v>
      </c>
      <c r="B10" s="19">
        <v>192.6</v>
      </c>
      <c r="C10" s="22">
        <v>54</v>
      </c>
      <c r="D10" s="19">
        <v>202.7</v>
      </c>
      <c r="E10" s="22">
        <f t="shared" si="0"/>
        <v>103</v>
      </c>
      <c r="F10" s="19">
        <v>187.1</v>
      </c>
      <c r="G10" s="33">
        <v>152</v>
      </c>
      <c r="H10" s="19">
        <v>194.3</v>
      </c>
      <c r="I10" s="33">
        <v>201</v>
      </c>
      <c r="J10" s="19">
        <v>193.2</v>
      </c>
      <c r="L10" s="22">
        <v>5</v>
      </c>
      <c r="M10" s="19"/>
      <c r="N10" s="22">
        <v>54</v>
      </c>
      <c r="O10" s="19"/>
      <c r="P10" s="22">
        <f t="shared" si="1"/>
        <v>103</v>
      </c>
      <c r="Q10" s="19">
        <v>187.1</v>
      </c>
      <c r="R10" s="33">
        <v>152</v>
      </c>
      <c r="S10" s="19">
        <v>194.3</v>
      </c>
      <c r="T10" s="33">
        <v>201</v>
      </c>
      <c r="U10" s="19">
        <v>193.2</v>
      </c>
      <c r="W10" s="22">
        <v>5</v>
      </c>
      <c r="X10" s="19">
        <v>192.6</v>
      </c>
      <c r="Y10" s="22">
        <v>54</v>
      </c>
      <c r="Z10" s="19">
        <v>202.7</v>
      </c>
      <c r="AA10" s="22">
        <f t="shared" si="2"/>
        <v>103</v>
      </c>
      <c r="AB10" s="19"/>
      <c r="AC10" s="33">
        <v>152</v>
      </c>
      <c r="AD10" s="19"/>
      <c r="AE10" s="33">
        <v>201</v>
      </c>
      <c r="AF10" s="19"/>
    </row>
    <row r="11" spans="1:32" ht="15.75" x14ac:dyDescent="0.25">
      <c r="A11" s="22">
        <v>6</v>
      </c>
      <c r="B11" s="19">
        <v>194.4</v>
      </c>
      <c r="C11" s="22">
        <v>55</v>
      </c>
      <c r="D11" s="19">
        <v>203.5</v>
      </c>
      <c r="E11" s="22">
        <f t="shared" si="0"/>
        <v>104</v>
      </c>
      <c r="F11" s="19">
        <v>191.1</v>
      </c>
      <c r="G11" s="33">
        <v>153</v>
      </c>
      <c r="H11" s="19">
        <v>193.6</v>
      </c>
      <c r="I11" s="33">
        <v>202</v>
      </c>
      <c r="J11" s="19">
        <v>195.1</v>
      </c>
      <c r="L11" s="22">
        <v>6</v>
      </c>
      <c r="M11" s="19"/>
      <c r="N11" s="22">
        <v>55</v>
      </c>
      <c r="O11" s="19"/>
      <c r="P11" s="22">
        <f t="shared" si="1"/>
        <v>104</v>
      </c>
      <c r="Q11" s="19">
        <v>191.1</v>
      </c>
      <c r="R11" s="33">
        <v>153</v>
      </c>
      <c r="S11" s="19">
        <v>193.6</v>
      </c>
      <c r="T11" s="33">
        <v>202</v>
      </c>
      <c r="U11" s="19">
        <v>195.1</v>
      </c>
      <c r="W11" s="22">
        <v>6</v>
      </c>
      <c r="X11" s="19">
        <v>194.4</v>
      </c>
      <c r="Y11" s="22">
        <v>55</v>
      </c>
      <c r="Z11" s="19">
        <v>203.5</v>
      </c>
      <c r="AA11" s="22">
        <f t="shared" si="2"/>
        <v>104</v>
      </c>
      <c r="AB11" s="19"/>
      <c r="AC11" s="33">
        <v>153</v>
      </c>
      <c r="AD11" s="19"/>
      <c r="AE11" s="33">
        <v>202</v>
      </c>
      <c r="AF11" s="19"/>
    </row>
    <row r="12" spans="1:32" ht="15.75" x14ac:dyDescent="0.25">
      <c r="A12" s="22">
        <v>7</v>
      </c>
      <c r="B12" s="19">
        <v>190.7</v>
      </c>
      <c r="C12" s="22">
        <v>56</v>
      </c>
      <c r="D12" s="19">
        <v>205.1</v>
      </c>
      <c r="E12" s="22">
        <f t="shared" si="0"/>
        <v>105</v>
      </c>
      <c r="F12" s="19">
        <v>190.8</v>
      </c>
      <c r="G12" s="33">
        <v>154</v>
      </c>
      <c r="H12" s="19">
        <v>195.9</v>
      </c>
      <c r="I12" s="33">
        <v>203</v>
      </c>
      <c r="J12" s="19">
        <v>188.4</v>
      </c>
      <c r="L12" s="22">
        <v>7</v>
      </c>
      <c r="M12" s="19"/>
      <c r="N12" s="22">
        <v>56</v>
      </c>
      <c r="O12" s="19"/>
      <c r="P12" s="22">
        <f t="shared" si="1"/>
        <v>105</v>
      </c>
      <c r="Q12" s="19">
        <v>190.8</v>
      </c>
      <c r="R12" s="33">
        <v>154</v>
      </c>
      <c r="S12" s="19">
        <v>195.9</v>
      </c>
      <c r="T12" s="33">
        <v>203</v>
      </c>
      <c r="U12" s="19">
        <v>188.4</v>
      </c>
      <c r="W12" s="22">
        <v>7</v>
      </c>
      <c r="X12" s="19">
        <v>190.7</v>
      </c>
      <c r="Y12" s="22">
        <v>56</v>
      </c>
      <c r="Z12" s="19">
        <v>205.1</v>
      </c>
      <c r="AA12" s="22">
        <f t="shared" si="2"/>
        <v>105</v>
      </c>
      <c r="AB12" s="19"/>
      <c r="AC12" s="33">
        <v>154</v>
      </c>
      <c r="AD12" s="19"/>
      <c r="AE12" s="33">
        <v>203</v>
      </c>
      <c r="AF12" s="19"/>
    </row>
    <row r="13" spans="1:32" ht="15.75" x14ac:dyDescent="0.25">
      <c r="A13" s="22">
        <v>8</v>
      </c>
      <c r="B13" s="19">
        <v>192</v>
      </c>
      <c r="C13" s="22">
        <v>57</v>
      </c>
      <c r="D13" s="85">
        <v>201.2</v>
      </c>
      <c r="E13" s="22">
        <f t="shared" si="0"/>
        <v>106</v>
      </c>
      <c r="F13" s="19">
        <v>184.9</v>
      </c>
      <c r="G13" s="33">
        <v>155</v>
      </c>
      <c r="H13" s="19">
        <v>194.7</v>
      </c>
      <c r="I13" s="33">
        <v>204</v>
      </c>
      <c r="J13" s="19">
        <v>197.7</v>
      </c>
      <c r="L13" s="22">
        <v>8</v>
      </c>
      <c r="M13" s="19"/>
      <c r="N13" s="22">
        <v>57</v>
      </c>
      <c r="O13" s="85"/>
      <c r="P13" s="22">
        <f t="shared" si="1"/>
        <v>106</v>
      </c>
      <c r="Q13" s="19">
        <v>184.9</v>
      </c>
      <c r="R13" s="33">
        <v>155</v>
      </c>
      <c r="S13" s="19">
        <v>194.7</v>
      </c>
      <c r="T13" s="33">
        <v>204</v>
      </c>
      <c r="U13" s="19">
        <v>197.7</v>
      </c>
      <c r="W13" s="22">
        <v>8</v>
      </c>
      <c r="X13" s="19">
        <v>192</v>
      </c>
      <c r="Y13" s="22">
        <v>57</v>
      </c>
      <c r="Z13" s="85">
        <v>201.2</v>
      </c>
      <c r="AA13" s="22">
        <f t="shared" si="2"/>
        <v>106</v>
      </c>
      <c r="AB13" s="19"/>
      <c r="AC13" s="33">
        <v>155</v>
      </c>
      <c r="AD13" s="19"/>
      <c r="AE13" s="33">
        <v>204</v>
      </c>
      <c r="AF13" s="19"/>
    </row>
    <row r="14" spans="1:32" ht="15.75" x14ac:dyDescent="0.25">
      <c r="A14" s="22">
        <v>9</v>
      </c>
      <c r="B14" s="19">
        <v>188.2</v>
      </c>
      <c r="C14" s="22">
        <v>58</v>
      </c>
      <c r="D14" s="19">
        <v>199.1</v>
      </c>
      <c r="E14" s="22">
        <f t="shared" si="0"/>
        <v>107</v>
      </c>
      <c r="F14" s="19">
        <v>192.5</v>
      </c>
      <c r="G14" s="33">
        <v>156</v>
      </c>
      <c r="H14" s="19">
        <v>189.4</v>
      </c>
      <c r="I14" s="33">
        <v>205</v>
      </c>
      <c r="J14" s="19">
        <v>196</v>
      </c>
      <c r="L14" s="22">
        <v>9</v>
      </c>
      <c r="M14" s="19"/>
      <c r="N14" s="22">
        <v>58</v>
      </c>
      <c r="O14" s="19"/>
      <c r="P14" s="22">
        <f t="shared" si="1"/>
        <v>107</v>
      </c>
      <c r="Q14" s="19">
        <v>192.5</v>
      </c>
      <c r="R14" s="33">
        <v>156</v>
      </c>
      <c r="S14" s="19">
        <v>189.4</v>
      </c>
      <c r="T14" s="33">
        <v>205</v>
      </c>
      <c r="U14" s="19">
        <v>196</v>
      </c>
      <c r="W14" s="22">
        <v>9</v>
      </c>
      <c r="X14" s="19">
        <v>188.2</v>
      </c>
      <c r="Y14" s="22">
        <v>58</v>
      </c>
      <c r="Z14" s="19">
        <v>199.1</v>
      </c>
      <c r="AA14" s="22">
        <f t="shared" si="2"/>
        <v>107</v>
      </c>
      <c r="AB14" s="19"/>
      <c r="AC14" s="33">
        <v>156</v>
      </c>
      <c r="AD14" s="19"/>
      <c r="AE14" s="33">
        <v>205</v>
      </c>
      <c r="AF14" s="19"/>
    </row>
    <row r="15" spans="1:32" ht="15.75" x14ac:dyDescent="0.25">
      <c r="A15" s="22">
        <v>10</v>
      </c>
      <c r="B15" s="19">
        <v>188.6</v>
      </c>
      <c r="C15" s="22">
        <v>59</v>
      </c>
      <c r="D15" s="19">
        <v>195.7</v>
      </c>
      <c r="E15" s="22">
        <f t="shared" si="0"/>
        <v>108</v>
      </c>
      <c r="F15" s="19">
        <v>187.3</v>
      </c>
      <c r="G15" s="33">
        <v>157</v>
      </c>
      <c r="H15" s="19">
        <v>193.4</v>
      </c>
      <c r="I15" s="33">
        <v>206</v>
      </c>
      <c r="J15" s="19">
        <v>195.4</v>
      </c>
      <c r="L15" s="22">
        <v>10</v>
      </c>
      <c r="M15" s="19"/>
      <c r="N15" s="22">
        <v>59</v>
      </c>
      <c r="O15" s="19"/>
      <c r="P15" s="22">
        <f t="shared" si="1"/>
        <v>108</v>
      </c>
      <c r="Q15" s="19">
        <v>187.3</v>
      </c>
      <c r="R15" s="33">
        <v>157</v>
      </c>
      <c r="S15" s="19">
        <v>193.4</v>
      </c>
      <c r="T15" s="33">
        <v>206</v>
      </c>
      <c r="U15" s="19">
        <v>195.4</v>
      </c>
      <c r="W15" s="22">
        <v>10</v>
      </c>
      <c r="X15" s="19">
        <v>188.6</v>
      </c>
      <c r="Y15" s="22">
        <v>59</v>
      </c>
      <c r="Z15" s="19">
        <v>195.7</v>
      </c>
      <c r="AA15" s="22">
        <f t="shared" si="2"/>
        <v>108</v>
      </c>
      <c r="AB15" s="19"/>
      <c r="AC15" s="33">
        <v>157</v>
      </c>
      <c r="AD15" s="19"/>
      <c r="AE15" s="33">
        <v>206</v>
      </c>
      <c r="AF15" s="19"/>
    </row>
    <row r="16" spans="1:32" ht="15.75" x14ac:dyDescent="0.25">
      <c r="A16" s="22">
        <v>11</v>
      </c>
      <c r="B16" s="19">
        <v>192.8</v>
      </c>
      <c r="C16" s="22">
        <v>60</v>
      </c>
      <c r="D16" s="19">
        <v>195.7</v>
      </c>
      <c r="E16" s="22">
        <f t="shared" si="0"/>
        <v>109</v>
      </c>
      <c r="F16" s="19">
        <v>192.6</v>
      </c>
      <c r="G16" s="33">
        <v>158</v>
      </c>
      <c r="H16" s="19">
        <v>193.7</v>
      </c>
      <c r="I16" s="33">
        <v>207</v>
      </c>
      <c r="J16" s="19">
        <v>199.6</v>
      </c>
      <c r="L16" s="22">
        <v>11</v>
      </c>
      <c r="M16" s="19"/>
      <c r="N16" s="22">
        <v>60</v>
      </c>
      <c r="O16" s="19"/>
      <c r="P16" s="22">
        <f t="shared" si="1"/>
        <v>109</v>
      </c>
      <c r="Q16" s="19">
        <v>192.6</v>
      </c>
      <c r="R16" s="33">
        <v>158</v>
      </c>
      <c r="S16" s="19">
        <v>193.7</v>
      </c>
      <c r="T16" s="33">
        <v>207</v>
      </c>
      <c r="U16" s="19">
        <v>199.6</v>
      </c>
      <c r="W16" s="22">
        <v>11</v>
      </c>
      <c r="X16" s="19">
        <v>192.8</v>
      </c>
      <c r="Y16" s="22">
        <v>60</v>
      </c>
      <c r="Z16" s="19">
        <v>195.7</v>
      </c>
      <c r="AA16" s="22">
        <f t="shared" si="2"/>
        <v>109</v>
      </c>
      <c r="AB16" s="19"/>
      <c r="AC16" s="33">
        <v>158</v>
      </c>
      <c r="AD16" s="19"/>
      <c r="AE16" s="33">
        <v>207</v>
      </c>
      <c r="AF16" s="19"/>
    </row>
    <row r="17" spans="1:32" ht="15.75" x14ac:dyDescent="0.25">
      <c r="A17" s="22">
        <v>12</v>
      </c>
      <c r="B17" s="19">
        <v>192.3</v>
      </c>
      <c r="C17" s="22">
        <v>61</v>
      </c>
      <c r="D17" s="19">
        <v>199.5</v>
      </c>
      <c r="E17" s="22">
        <f t="shared" si="0"/>
        <v>110</v>
      </c>
      <c r="F17" s="19">
        <v>194.4</v>
      </c>
      <c r="G17" s="33">
        <v>159</v>
      </c>
      <c r="H17" s="19">
        <v>194.5</v>
      </c>
      <c r="I17" s="33">
        <v>208</v>
      </c>
      <c r="J17" s="19">
        <v>195.1</v>
      </c>
      <c r="L17" s="22">
        <v>12</v>
      </c>
      <c r="M17" s="19"/>
      <c r="N17" s="22">
        <v>61</v>
      </c>
      <c r="O17" s="19"/>
      <c r="P17" s="22">
        <f t="shared" si="1"/>
        <v>110</v>
      </c>
      <c r="Q17" s="19">
        <v>194.4</v>
      </c>
      <c r="R17" s="33">
        <v>159</v>
      </c>
      <c r="S17" s="19">
        <v>194.5</v>
      </c>
      <c r="T17" s="33">
        <v>208</v>
      </c>
      <c r="U17" s="19">
        <v>195.1</v>
      </c>
      <c r="W17" s="22">
        <v>12</v>
      </c>
      <c r="X17" s="19">
        <v>192.3</v>
      </c>
      <c r="Y17" s="22">
        <v>61</v>
      </c>
      <c r="Z17" s="19">
        <v>199.5</v>
      </c>
      <c r="AA17" s="22">
        <f t="shared" si="2"/>
        <v>110</v>
      </c>
      <c r="AB17" s="19"/>
      <c r="AC17" s="33">
        <v>159</v>
      </c>
      <c r="AD17" s="19"/>
      <c r="AE17" s="33">
        <v>208</v>
      </c>
      <c r="AF17" s="19"/>
    </row>
    <row r="18" spans="1:32" ht="15.75" x14ac:dyDescent="0.25">
      <c r="A18" s="22">
        <v>13</v>
      </c>
      <c r="B18" s="19">
        <v>188.1</v>
      </c>
      <c r="C18" s="22">
        <v>62</v>
      </c>
      <c r="D18" s="19">
        <v>204.5</v>
      </c>
      <c r="E18" s="22">
        <f t="shared" si="0"/>
        <v>111</v>
      </c>
      <c r="F18" s="19">
        <v>196.1</v>
      </c>
      <c r="G18" s="33">
        <v>160</v>
      </c>
      <c r="H18" s="19">
        <v>190.1</v>
      </c>
      <c r="I18" s="33">
        <v>209</v>
      </c>
      <c r="J18" s="19">
        <v>196.6</v>
      </c>
      <c r="L18" s="22">
        <v>13</v>
      </c>
      <c r="M18" s="19"/>
      <c r="N18" s="22">
        <v>62</v>
      </c>
      <c r="O18" s="19"/>
      <c r="P18" s="22">
        <f t="shared" si="1"/>
        <v>111</v>
      </c>
      <c r="Q18" s="19">
        <v>196.1</v>
      </c>
      <c r="R18" s="33">
        <v>160</v>
      </c>
      <c r="S18" s="19">
        <v>190.1</v>
      </c>
      <c r="T18" s="33">
        <v>209</v>
      </c>
      <c r="U18" s="19">
        <v>196.6</v>
      </c>
      <c r="W18" s="22">
        <v>13</v>
      </c>
      <c r="X18" s="19">
        <v>188.1</v>
      </c>
      <c r="Y18" s="22">
        <v>62</v>
      </c>
      <c r="Z18" s="19">
        <v>204.5</v>
      </c>
      <c r="AA18" s="22">
        <f t="shared" si="2"/>
        <v>111</v>
      </c>
      <c r="AB18" s="19"/>
      <c r="AC18" s="33">
        <v>160</v>
      </c>
      <c r="AD18" s="19"/>
      <c r="AE18" s="33">
        <v>209</v>
      </c>
      <c r="AF18" s="19"/>
    </row>
    <row r="19" spans="1:32" ht="15.75" x14ac:dyDescent="0.25">
      <c r="A19" s="22">
        <v>14</v>
      </c>
      <c r="B19" s="19">
        <v>190.3</v>
      </c>
      <c r="C19" s="22">
        <v>63</v>
      </c>
      <c r="D19" s="19">
        <v>195</v>
      </c>
      <c r="E19" s="22">
        <f t="shared" si="0"/>
        <v>112</v>
      </c>
      <c r="F19" s="19">
        <v>191.7</v>
      </c>
      <c r="G19" s="33">
        <v>161</v>
      </c>
      <c r="H19" s="19">
        <v>190.7</v>
      </c>
      <c r="I19" s="33">
        <v>210</v>
      </c>
      <c r="J19" s="19">
        <v>191.8</v>
      </c>
      <c r="L19" s="22">
        <v>14</v>
      </c>
      <c r="M19" s="19"/>
      <c r="N19" s="22">
        <v>63</v>
      </c>
      <c r="O19" s="19">
        <v>195</v>
      </c>
      <c r="P19" s="22">
        <f t="shared" si="1"/>
        <v>112</v>
      </c>
      <c r="Q19" s="19">
        <v>191.7</v>
      </c>
      <c r="R19" s="33">
        <v>161</v>
      </c>
      <c r="S19" s="19">
        <v>190.7</v>
      </c>
      <c r="T19" s="33">
        <v>210</v>
      </c>
      <c r="U19" s="19">
        <v>191.8</v>
      </c>
      <c r="W19" s="22">
        <v>14</v>
      </c>
      <c r="X19" s="19">
        <v>190.3</v>
      </c>
      <c r="Y19" s="22">
        <v>63</v>
      </c>
      <c r="Z19" s="19"/>
      <c r="AA19" s="22">
        <f t="shared" si="2"/>
        <v>112</v>
      </c>
      <c r="AB19" s="19"/>
      <c r="AC19" s="33">
        <v>161</v>
      </c>
      <c r="AD19" s="19"/>
      <c r="AE19" s="33">
        <v>210</v>
      </c>
      <c r="AF19" s="19"/>
    </row>
    <row r="20" spans="1:32" ht="15.75" x14ac:dyDescent="0.25">
      <c r="A20" s="22">
        <v>15</v>
      </c>
      <c r="B20" s="19">
        <v>190.3</v>
      </c>
      <c r="C20" s="22">
        <v>64</v>
      </c>
      <c r="D20" s="19">
        <v>198.1</v>
      </c>
      <c r="E20" s="22">
        <f t="shared" si="0"/>
        <v>113</v>
      </c>
      <c r="F20" s="19">
        <v>193</v>
      </c>
      <c r="G20" s="35">
        <v>162</v>
      </c>
      <c r="H20" s="19">
        <v>190.2</v>
      </c>
      <c r="I20" s="33">
        <v>211</v>
      </c>
      <c r="J20" s="19">
        <v>194.1</v>
      </c>
      <c r="L20" s="22">
        <v>15</v>
      </c>
      <c r="M20" s="19"/>
      <c r="N20" s="22">
        <v>64</v>
      </c>
      <c r="O20" s="19">
        <v>198.1</v>
      </c>
      <c r="P20" s="22">
        <f t="shared" si="1"/>
        <v>113</v>
      </c>
      <c r="Q20" s="19">
        <v>193</v>
      </c>
      <c r="R20" s="35">
        <v>162</v>
      </c>
      <c r="S20" s="19">
        <v>190.2</v>
      </c>
      <c r="T20" s="33">
        <v>211</v>
      </c>
      <c r="U20" s="19">
        <v>194.1</v>
      </c>
      <c r="W20" s="22">
        <v>15</v>
      </c>
      <c r="X20" s="19">
        <v>190.3</v>
      </c>
      <c r="Y20" s="22">
        <v>64</v>
      </c>
      <c r="Z20" s="19"/>
      <c r="AA20" s="22">
        <f t="shared" si="2"/>
        <v>113</v>
      </c>
      <c r="AB20" s="19"/>
      <c r="AC20" s="35">
        <v>162</v>
      </c>
      <c r="AD20" s="19"/>
      <c r="AE20" s="33">
        <v>211</v>
      </c>
      <c r="AF20" s="19"/>
    </row>
    <row r="21" spans="1:32" ht="15.75" x14ac:dyDescent="0.25">
      <c r="A21" s="22">
        <v>16</v>
      </c>
      <c r="B21" s="19">
        <v>184.3</v>
      </c>
      <c r="C21" s="22">
        <v>65</v>
      </c>
      <c r="D21" s="19">
        <v>198.1</v>
      </c>
      <c r="E21" s="22">
        <f t="shared" si="0"/>
        <v>114</v>
      </c>
      <c r="F21" s="19">
        <v>191.2</v>
      </c>
      <c r="G21" s="35">
        <v>163</v>
      </c>
      <c r="H21" s="19">
        <v>188.1</v>
      </c>
      <c r="I21" s="33">
        <v>212</v>
      </c>
      <c r="J21" s="19">
        <v>189.4</v>
      </c>
      <c r="L21" s="22">
        <v>16</v>
      </c>
      <c r="M21" s="19"/>
      <c r="N21" s="22">
        <v>65</v>
      </c>
      <c r="O21" s="19">
        <v>198.1</v>
      </c>
      <c r="P21" s="22">
        <f t="shared" si="1"/>
        <v>114</v>
      </c>
      <c r="Q21" s="19">
        <v>191.2</v>
      </c>
      <c r="R21" s="35">
        <v>163</v>
      </c>
      <c r="S21" s="19">
        <v>188.1</v>
      </c>
      <c r="T21" s="33">
        <v>212</v>
      </c>
      <c r="U21" s="19">
        <v>189.4</v>
      </c>
      <c r="W21" s="22">
        <v>16</v>
      </c>
      <c r="X21" s="19">
        <v>184.3</v>
      </c>
      <c r="Y21" s="22">
        <v>65</v>
      </c>
      <c r="Z21" s="19"/>
      <c r="AA21" s="22">
        <f t="shared" si="2"/>
        <v>114</v>
      </c>
      <c r="AB21" s="19"/>
      <c r="AC21" s="35">
        <v>163</v>
      </c>
      <c r="AD21" s="19"/>
      <c r="AE21" s="33">
        <v>212</v>
      </c>
      <c r="AF21" s="19"/>
    </row>
    <row r="22" spans="1:32" ht="15.75" x14ac:dyDescent="0.25">
      <c r="A22" s="22">
        <v>17</v>
      </c>
      <c r="B22" s="19">
        <v>191.4</v>
      </c>
      <c r="C22" s="22">
        <v>66</v>
      </c>
      <c r="D22" s="19">
        <v>199.3</v>
      </c>
      <c r="E22" s="22">
        <f t="shared" si="0"/>
        <v>115</v>
      </c>
      <c r="F22" s="19">
        <v>193.3</v>
      </c>
      <c r="G22" s="35">
        <v>164</v>
      </c>
      <c r="H22" s="19">
        <v>191.9</v>
      </c>
      <c r="I22" s="33">
        <v>213</v>
      </c>
      <c r="J22" s="19">
        <v>198.3</v>
      </c>
      <c r="L22" s="22">
        <v>17</v>
      </c>
      <c r="M22" s="19"/>
      <c r="N22" s="22">
        <v>66</v>
      </c>
      <c r="O22" s="19">
        <v>199.3</v>
      </c>
      <c r="P22" s="22">
        <f t="shared" si="1"/>
        <v>115</v>
      </c>
      <c r="Q22" s="19">
        <v>193.3</v>
      </c>
      <c r="R22" s="35">
        <v>164</v>
      </c>
      <c r="S22" s="19">
        <v>191.9</v>
      </c>
      <c r="T22" s="33">
        <v>213</v>
      </c>
      <c r="U22" s="19">
        <v>198.3</v>
      </c>
      <c r="W22" s="22">
        <v>17</v>
      </c>
      <c r="X22" s="19">
        <v>191.4</v>
      </c>
      <c r="Y22" s="22">
        <v>66</v>
      </c>
      <c r="Z22" s="19"/>
      <c r="AA22" s="22">
        <f t="shared" si="2"/>
        <v>115</v>
      </c>
      <c r="AB22" s="19"/>
      <c r="AC22" s="35">
        <v>164</v>
      </c>
      <c r="AD22" s="19"/>
      <c r="AE22" s="33">
        <v>213</v>
      </c>
      <c r="AF22" s="19"/>
    </row>
    <row r="23" spans="1:32" ht="15.75" x14ac:dyDescent="0.25">
      <c r="A23" s="22">
        <v>18</v>
      </c>
      <c r="B23" s="19">
        <v>188.7</v>
      </c>
      <c r="C23" s="22">
        <v>67</v>
      </c>
      <c r="D23" s="19">
        <v>198.6</v>
      </c>
      <c r="E23" s="22">
        <f t="shared" si="0"/>
        <v>116</v>
      </c>
      <c r="F23" s="19">
        <v>188.8</v>
      </c>
      <c r="G23" s="35">
        <v>165</v>
      </c>
      <c r="H23" s="19">
        <v>191.9</v>
      </c>
      <c r="I23" s="33">
        <v>214</v>
      </c>
      <c r="J23" s="19">
        <v>194.6</v>
      </c>
      <c r="L23" s="22">
        <v>18</v>
      </c>
      <c r="M23" s="19"/>
      <c r="N23" s="22">
        <v>67</v>
      </c>
      <c r="O23" s="19">
        <v>198.6</v>
      </c>
      <c r="P23" s="22">
        <f t="shared" si="1"/>
        <v>116</v>
      </c>
      <c r="Q23" s="19">
        <v>188.8</v>
      </c>
      <c r="R23" s="35">
        <v>165</v>
      </c>
      <c r="S23" s="19">
        <v>191.9</v>
      </c>
      <c r="T23" s="33">
        <v>214</v>
      </c>
      <c r="U23" s="19">
        <v>194.6</v>
      </c>
      <c r="W23" s="22">
        <v>18</v>
      </c>
      <c r="X23" s="19">
        <v>188.7</v>
      </c>
      <c r="Y23" s="22">
        <v>67</v>
      </c>
      <c r="Z23" s="19"/>
      <c r="AA23" s="22">
        <f t="shared" si="2"/>
        <v>116</v>
      </c>
      <c r="AB23" s="19"/>
      <c r="AC23" s="35">
        <v>165</v>
      </c>
      <c r="AD23" s="19"/>
      <c r="AE23" s="33">
        <v>214</v>
      </c>
      <c r="AF23" s="19"/>
    </row>
    <row r="24" spans="1:32" ht="15.75" x14ac:dyDescent="0.25">
      <c r="A24" s="22">
        <v>19</v>
      </c>
      <c r="B24" s="19">
        <v>190</v>
      </c>
      <c r="C24" s="22">
        <v>68</v>
      </c>
      <c r="D24" s="19">
        <v>190.6</v>
      </c>
      <c r="E24" s="22">
        <f t="shared" si="0"/>
        <v>117</v>
      </c>
      <c r="F24" s="19">
        <v>195.7</v>
      </c>
      <c r="G24" s="35">
        <v>166</v>
      </c>
      <c r="H24" s="19">
        <v>192.7</v>
      </c>
      <c r="I24" s="33">
        <v>215</v>
      </c>
      <c r="J24" s="19">
        <v>192.1</v>
      </c>
      <c r="L24" s="22">
        <v>19</v>
      </c>
      <c r="M24" s="19"/>
      <c r="N24" s="22">
        <v>68</v>
      </c>
      <c r="O24" s="19">
        <v>190.6</v>
      </c>
      <c r="P24" s="22">
        <f t="shared" si="1"/>
        <v>117</v>
      </c>
      <c r="Q24" s="19">
        <v>195.7</v>
      </c>
      <c r="R24" s="35">
        <v>166</v>
      </c>
      <c r="S24" s="19">
        <v>192.7</v>
      </c>
      <c r="T24" s="33">
        <v>215</v>
      </c>
      <c r="U24" s="19">
        <v>192.1</v>
      </c>
      <c r="W24" s="22">
        <v>19</v>
      </c>
      <c r="X24" s="19">
        <v>190</v>
      </c>
      <c r="Y24" s="22">
        <v>68</v>
      </c>
      <c r="Z24" s="19"/>
      <c r="AA24" s="22">
        <f t="shared" si="2"/>
        <v>117</v>
      </c>
      <c r="AB24" s="19"/>
      <c r="AC24" s="35">
        <v>166</v>
      </c>
      <c r="AD24" s="19"/>
      <c r="AE24" s="33">
        <v>215</v>
      </c>
      <c r="AF24" s="19"/>
    </row>
    <row r="25" spans="1:32" ht="15.75" x14ac:dyDescent="0.25">
      <c r="A25" s="22">
        <v>20</v>
      </c>
      <c r="B25" s="19">
        <v>191.2</v>
      </c>
      <c r="C25" s="22">
        <v>69</v>
      </c>
      <c r="D25" s="19">
        <v>194.2</v>
      </c>
      <c r="E25" s="22">
        <f t="shared" si="0"/>
        <v>118</v>
      </c>
      <c r="F25" s="19">
        <v>191.8</v>
      </c>
      <c r="G25" s="35">
        <v>167</v>
      </c>
      <c r="H25" s="19">
        <v>200</v>
      </c>
      <c r="I25" s="33">
        <v>216</v>
      </c>
      <c r="J25" s="19">
        <v>189.6</v>
      </c>
      <c r="L25" s="22">
        <v>20</v>
      </c>
      <c r="M25" s="19"/>
      <c r="N25" s="22">
        <v>69</v>
      </c>
      <c r="O25" s="19">
        <v>194.2</v>
      </c>
      <c r="P25" s="22">
        <f t="shared" si="1"/>
        <v>118</v>
      </c>
      <c r="Q25" s="19">
        <v>191.8</v>
      </c>
      <c r="R25" s="35">
        <v>167</v>
      </c>
      <c r="S25" s="19">
        <v>200</v>
      </c>
      <c r="T25" s="33">
        <v>216</v>
      </c>
      <c r="U25" s="19">
        <v>189.6</v>
      </c>
      <c r="W25" s="22">
        <v>20</v>
      </c>
      <c r="X25" s="19">
        <v>191.2</v>
      </c>
      <c r="Y25" s="22">
        <v>69</v>
      </c>
      <c r="Z25" s="19"/>
      <c r="AA25" s="22">
        <f t="shared" si="2"/>
        <v>118</v>
      </c>
      <c r="AB25" s="19"/>
      <c r="AC25" s="35">
        <v>167</v>
      </c>
      <c r="AD25" s="19"/>
      <c r="AE25" s="33">
        <v>216</v>
      </c>
      <c r="AF25" s="19"/>
    </row>
    <row r="26" spans="1:32" ht="15.75" x14ac:dyDescent="0.25">
      <c r="A26" s="22">
        <v>21</v>
      </c>
      <c r="B26" s="19">
        <v>187.9</v>
      </c>
      <c r="C26" s="22">
        <v>70</v>
      </c>
      <c r="D26" s="19">
        <v>197.9</v>
      </c>
      <c r="E26" s="22">
        <f t="shared" si="0"/>
        <v>119</v>
      </c>
      <c r="F26" s="19">
        <v>188.2</v>
      </c>
      <c r="G26" s="35">
        <v>168</v>
      </c>
      <c r="H26" s="19">
        <v>196.3</v>
      </c>
      <c r="I26" s="33">
        <v>217</v>
      </c>
      <c r="J26" s="19">
        <v>204.4</v>
      </c>
      <c r="L26" s="22">
        <v>21</v>
      </c>
      <c r="M26" s="19"/>
      <c r="N26" s="22">
        <v>70</v>
      </c>
      <c r="O26" s="19">
        <v>197.9</v>
      </c>
      <c r="P26" s="22">
        <f t="shared" si="1"/>
        <v>119</v>
      </c>
      <c r="Q26" s="19">
        <v>188.2</v>
      </c>
      <c r="R26" s="35">
        <v>168</v>
      </c>
      <c r="S26" s="19">
        <v>196.3</v>
      </c>
      <c r="T26" s="33">
        <v>217</v>
      </c>
      <c r="U26" s="19">
        <v>204.4</v>
      </c>
      <c r="W26" s="22">
        <v>21</v>
      </c>
      <c r="X26" s="19">
        <v>187.9</v>
      </c>
      <c r="Y26" s="22">
        <v>70</v>
      </c>
      <c r="Z26" s="19"/>
      <c r="AA26" s="22">
        <f t="shared" si="2"/>
        <v>119</v>
      </c>
      <c r="AB26" s="19"/>
      <c r="AC26" s="35">
        <v>168</v>
      </c>
      <c r="AD26" s="19"/>
      <c r="AE26" s="33">
        <v>217</v>
      </c>
      <c r="AF26" s="19"/>
    </row>
    <row r="27" spans="1:32" ht="15.75" x14ac:dyDescent="0.25">
      <c r="A27" s="22">
        <v>22</v>
      </c>
      <c r="B27" s="19">
        <v>187.5</v>
      </c>
      <c r="C27" s="22">
        <v>71</v>
      </c>
      <c r="D27" s="19">
        <v>198.1</v>
      </c>
      <c r="E27" s="22">
        <f t="shared" si="0"/>
        <v>120</v>
      </c>
      <c r="F27" s="19">
        <v>190.7</v>
      </c>
      <c r="G27" s="35">
        <v>169</v>
      </c>
      <c r="H27" s="19">
        <v>197.2</v>
      </c>
      <c r="I27" s="33">
        <v>218</v>
      </c>
      <c r="J27" s="19">
        <v>193.3</v>
      </c>
      <c r="L27" s="22">
        <v>22</v>
      </c>
      <c r="M27" s="19"/>
      <c r="N27" s="22">
        <v>71</v>
      </c>
      <c r="O27" s="19">
        <v>198.1</v>
      </c>
      <c r="P27" s="22">
        <f t="shared" si="1"/>
        <v>120</v>
      </c>
      <c r="Q27" s="19">
        <v>190.7</v>
      </c>
      <c r="R27" s="35">
        <v>169</v>
      </c>
      <c r="S27" s="19">
        <v>197.2</v>
      </c>
      <c r="T27" s="33">
        <v>218</v>
      </c>
      <c r="U27" s="19">
        <v>193.3</v>
      </c>
      <c r="W27" s="22">
        <v>22</v>
      </c>
      <c r="X27" s="19">
        <v>187.5</v>
      </c>
      <c r="Y27" s="22">
        <v>71</v>
      </c>
      <c r="Z27" s="19"/>
      <c r="AA27" s="22">
        <f t="shared" si="2"/>
        <v>120</v>
      </c>
      <c r="AB27" s="19"/>
      <c r="AC27" s="35">
        <v>169</v>
      </c>
      <c r="AD27" s="19"/>
      <c r="AE27" s="33">
        <v>218</v>
      </c>
      <c r="AF27" s="19"/>
    </row>
    <row r="28" spans="1:32" ht="15.75" x14ac:dyDescent="0.25">
      <c r="A28" s="22">
        <v>23</v>
      </c>
      <c r="B28" s="19">
        <v>188.5</v>
      </c>
      <c r="C28" s="22">
        <v>72</v>
      </c>
      <c r="D28" s="19">
        <v>196.5</v>
      </c>
      <c r="E28" s="22">
        <f t="shared" si="0"/>
        <v>121</v>
      </c>
      <c r="F28" s="19">
        <v>200.9</v>
      </c>
      <c r="G28" s="35">
        <v>170</v>
      </c>
      <c r="H28" s="19">
        <v>192.9</v>
      </c>
      <c r="I28" s="33">
        <v>219</v>
      </c>
      <c r="J28" s="19">
        <v>193.8</v>
      </c>
      <c r="L28" s="22">
        <v>23</v>
      </c>
      <c r="M28" s="19"/>
      <c r="N28" s="22">
        <v>72</v>
      </c>
      <c r="O28" s="19">
        <v>196.5</v>
      </c>
      <c r="P28" s="22">
        <f t="shared" si="1"/>
        <v>121</v>
      </c>
      <c r="Q28" s="19">
        <v>200.9</v>
      </c>
      <c r="R28" s="35">
        <v>170</v>
      </c>
      <c r="S28" s="19">
        <v>192.9</v>
      </c>
      <c r="T28" s="33">
        <v>219</v>
      </c>
      <c r="U28" s="19">
        <v>193.8</v>
      </c>
      <c r="W28" s="22">
        <v>23</v>
      </c>
      <c r="X28" s="19">
        <v>188.5</v>
      </c>
      <c r="Y28" s="22">
        <v>72</v>
      </c>
      <c r="Z28" s="19"/>
      <c r="AA28" s="22">
        <f t="shared" si="2"/>
        <v>121</v>
      </c>
      <c r="AB28" s="19"/>
      <c r="AC28" s="35">
        <v>170</v>
      </c>
      <c r="AD28" s="19"/>
      <c r="AE28" s="33">
        <v>219</v>
      </c>
      <c r="AF28" s="19"/>
    </row>
    <row r="29" spans="1:32" ht="15.75" x14ac:dyDescent="0.25">
      <c r="A29" s="22">
        <v>24</v>
      </c>
      <c r="B29" s="19">
        <v>187.5</v>
      </c>
      <c r="C29" s="22">
        <v>73</v>
      </c>
      <c r="D29" s="19">
        <v>190.2</v>
      </c>
      <c r="E29" s="22">
        <f t="shared" si="0"/>
        <v>122</v>
      </c>
      <c r="F29" s="19">
        <v>201.3</v>
      </c>
      <c r="G29" s="35">
        <v>171</v>
      </c>
      <c r="H29" s="19">
        <v>200.3</v>
      </c>
      <c r="I29" s="33">
        <v>220</v>
      </c>
      <c r="J29" s="19">
        <v>192.6</v>
      </c>
      <c r="L29" s="22">
        <v>24</v>
      </c>
      <c r="M29" s="19"/>
      <c r="N29" s="22">
        <v>73</v>
      </c>
      <c r="O29" s="19">
        <v>190.2</v>
      </c>
      <c r="P29" s="22">
        <f t="shared" si="1"/>
        <v>122</v>
      </c>
      <c r="Q29" s="19">
        <v>201.3</v>
      </c>
      <c r="R29" s="35">
        <v>171</v>
      </c>
      <c r="S29" s="19">
        <v>200.3</v>
      </c>
      <c r="T29" s="33">
        <v>220</v>
      </c>
      <c r="U29" s="19">
        <v>192.6</v>
      </c>
      <c r="W29" s="22">
        <v>24</v>
      </c>
      <c r="X29" s="19">
        <v>187.5</v>
      </c>
      <c r="Y29" s="22">
        <v>73</v>
      </c>
      <c r="Z29" s="19"/>
      <c r="AA29" s="22">
        <f t="shared" si="2"/>
        <v>122</v>
      </c>
      <c r="AB29" s="19"/>
      <c r="AC29" s="35">
        <v>171</v>
      </c>
      <c r="AD29" s="19"/>
      <c r="AE29" s="33">
        <v>220</v>
      </c>
      <c r="AF29" s="19"/>
    </row>
    <row r="30" spans="1:32" ht="15.75" x14ac:dyDescent="0.25">
      <c r="A30" s="22">
        <v>25</v>
      </c>
      <c r="B30" s="19">
        <v>188</v>
      </c>
      <c r="C30" s="22">
        <v>74</v>
      </c>
      <c r="D30" s="19">
        <v>197</v>
      </c>
      <c r="E30" s="22">
        <f t="shared" si="0"/>
        <v>123</v>
      </c>
      <c r="F30" s="19">
        <v>197.3</v>
      </c>
      <c r="G30" s="35">
        <v>172</v>
      </c>
      <c r="H30" s="19">
        <v>196.6</v>
      </c>
      <c r="I30" s="20"/>
      <c r="J30" s="36"/>
      <c r="L30" s="22">
        <v>25</v>
      </c>
      <c r="M30" s="19"/>
      <c r="N30" s="22">
        <v>74</v>
      </c>
      <c r="O30" s="19">
        <v>197</v>
      </c>
      <c r="P30" s="22">
        <f t="shared" si="1"/>
        <v>123</v>
      </c>
      <c r="Q30" s="19">
        <v>197.3</v>
      </c>
      <c r="R30" s="35">
        <v>172</v>
      </c>
      <c r="S30" s="19">
        <v>196.6</v>
      </c>
      <c r="T30" s="20"/>
      <c r="U30" s="36"/>
      <c r="W30" s="22">
        <v>25</v>
      </c>
      <c r="X30" s="19">
        <v>188</v>
      </c>
      <c r="Y30" s="22">
        <v>74</v>
      </c>
      <c r="Z30" s="19"/>
      <c r="AA30" s="22">
        <f t="shared" si="2"/>
        <v>123</v>
      </c>
      <c r="AB30" s="19"/>
      <c r="AC30" s="35">
        <v>172</v>
      </c>
      <c r="AD30" s="19"/>
      <c r="AE30" s="20"/>
      <c r="AF30" s="36"/>
    </row>
    <row r="31" spans="1:32" ht="15.75" x14ac:dyDescent="0.25">
      <c r="A31" s="22">
        <v>26</v>
      </c>
      <c r="B31" s="19">
        <v>191.8</v>
      </c>
      <c r="C31" s="22">
        <v>75</v>
      </c>
      <c r="D31" s="19">
        <v>199.5</v>
      </c>
      <c r="E31" s="22">
        <f t="shared" si="0"/>
        <v>124</v>
      </c>
      <c r="F31" s="19">
        <v>193.4</v>
      </c>
      <c r="G31" s="35">
        <v>173</v>
      </c>
      <c r="H31" s="19">
        <v>193.7</v>
      </c>
      <c r="I31" s="20"/>
      <c r="J31" s="36"/>
      <c r="L31" s="22">
        <v>26</v>
      </c>
      <c r="M31" s="19"/>
      <c r="N31" s="22">
        <v>75</v>
      </c>
      <c r="O31" s="19">
        <v>199.5</v>
      </c>
      <c r="P31" s="22">
        <f t="shared" si="1"/>
        <v>124</v>
      </c>
      <c r="Q31" s="19">
        <v>193.4</v>
      </c>
      <c r="R31" s="35">
        <v>173</v>
      </c>
      <c r="S31" s="19">
        <v>193.7</v>
      </c>
      <c r="T31" s="20"/>
      <c r="U31" s="36"/>
      <c r="W31" s="22">
        <v>26</v>
      </c>
      <c r="X31" s="19">
        <v>191.8</v>
      </c>
      <c r="Y31" s="22">
        <v>75</v>
      </c>
      <c r="Z31" s="19"/>
      <c r="AA31" s="22">
        <f t="shared" si="2"/>
        <v>124</v>
      </c>
      <c r="AB31" s="19"/>
      <c r="AC31" s="35">
        <v>173</v>
      </c>
      <c r="AD31" s="19"/>
      <c r="AE31" s="20"/>
      <c r="AF31" s="36"/>
    </row>
    <row r="32" spans="1:32" ht="15.75" x14ac:dyDescent="0.25">
      <c r="A32" s="22">
        <v>27</v>
      </c>
      <c r="B32" s="19">
        <v>190.6</v>
      </c>
      <c r="C32" s="22">
        <v>76</v>
      </c>
      <c r="D32" s="19">
        <v>202.7</v>
      </c>
      <c r="E32" s="22">
        <f t="shared" si="0"/>
        <v>125</v>
      </c>
      <c r="F32" s="19">
        <v>201.7</v>
      </c>
      <c r="G32" s="33">
        <v>174</v>
      </c>
      <c r="H32" s="19">
        <v>195.5</v>
      </c>
      <c r="I32" s="21"/>
      <c r="J32" s="36"/>
      <c r="L32" s="22">
        <v>27</v>
      </c>
      <c r="M32" s="19"/>
      <c r="N32" s="22">
        <v>76</v>
      </c>
      <c r="O32" s="19">
        <v>202.7</v>
      </c>
      <c r="P32" s="22">
        <f t="shared" si="1"/>
        <v>125</v>
      </c>
      <c r="Q32" s="19">
        <v>201.7</v>
      </c>
      <c r="R32" s="33">
        <v>174</v>
      </c>
      <c r="S32" s="19">
        <v>195.5</v>
      </c>
      <c r="T32" s="21"/>
      <c r="U32" s="36"/>
      <c r="W32" s="22">
        <v>27</v>
      </c>
      <c r="X32" s="19">
        <v>190.6</v>
      </c>
      <c r="Y32" s="22">
        <v>76</v>
      </c>
      <c r="Z32" s="19"/>
      <c r="AA32" s="22">
        <f t="shared" si="2"/>
        <v>125</v>
      </c>
      <c r="AB32" s="19"/>
      <c r="AC32" s="33">
        <v>174</v>
      </c>
      <c r="AD32" s="19"/>
      <c r="AE32" s="21"/>
      <c r="AF32" s="36"/>
    </row>
    <row r="33" spans="1:32" ht="15.75" x14ac:dyDescent="0.25">
      <c r="A33" s="22">
        <v>28</v>
      </c>
      <c r="B33" s="19">
        <v>192.3</v>
      </c>
      <c r="C33" s="22">
        <v>77</v>
      </c>
      <c r="D33" s="19">
        <v>195.5</v>
      </c>
      <c r="E33" s="22">
        <f t="shared" si="0"/>
        <v>126</v>
      </c>
      <c r="F33" s="19">
        <v>187.9</v>
      </c>
      <c r="G33" s="33">
        <v>175</v>
      </c>
      <c r="H33" s="19">
        <v>197.1</v>
      </c>
      <c r="I33" s="20"/>
      <c r="J33" s="36"/>
      <c r="L33" s="22">
        <v>28</v>
      </c>
      <c r="M33" s="19"/>
      <c r="N33" s="22">
        <v>77</v>
      </c>
      <c r="O33" s="19">
        <v>195.5</v>
      </c>
      <c r="P33" s="22">
        <f t="shared" si="1"/>
        <v>126</v>
      </c>
      <c r="Q33" s="19">
        <v>187.9</v>
      </c>
      <c r="R33" s="33">
        <v>175</v>
      </c>
      <c r="S33" s="19">
        <v>197.1</v>
      </c>
      <c r="T33" s="20"/>
      <c r="U33" s="36"/>
      <c r="W33" s="22">
        <v>28</v>
      </c>
      <c r="X33" s="19">
        <v>192.3</v>
      </c>
      <c r="Y33" s="22">
        <v>77</v>
      </c>
      <c r="Z33" s="19"/>
      <c r="AA33" s="22">
        <f t="shared" si="2"/>
        <v>126</v>
      </c>
      <c r="AB33" s="19"/>
      <c r="AC33" s="33">
        <v>175</v>
      </c>
      <c r="AD33" s="19"/>
      <c r="AE33" s="20"/>
      <c r="AF33" s="36"/>
    </row>
    <row r="34" spans="1:32" ht="15.75" x14ac:dyDescent="0.25">
      <c r="A34" s="22">
        <v>29</v>
      </c>
      <c r="B34" s="19">
        <v>195.2</v>
      </c>
      <c r="C34" s="22">
        <v>78</v>
      </c>
      <c r="D34" s="19">
        <v>189.7</v>
      </c>
      <c r="E34" s="22">
        <f t="shared" si="0"/>
        <v>127</v>
      </c>
      <c r="F34" s="19">
        <v>193.9</v>
      </c>
      <c r="G34" s="33">
        <v>176</v>
      </c>
      <c r="H34" s="19">
        <v>196.7</v>
      </c>
      <c r="I34" s="20"/>
      <c r="J34" s="36"/>
      <c r="L34" s="22">
        <v>29</v>
      </c>
      <c r="M34" s="19"/>
      <c r="N34" s="22">
        <v>78</v>
      </c>
      <c r="O34" s="19">
        <v>189.7</v>
      </c>
      <c r="P34" s="22">
        <f t="shared" si="1"/>
        <v>127</v>
      </c>
      <c r="Q34" s="19">
        <v>193.9</v>
      </c>
      <c r="R34" s="33">
        <v>176</v>
      </c>
      <c r="S34" s="19">
        <v>196.7</v>
      </c>
      <c r="T34" s="20"/>
      <c r="U34" s="36"/>
      <c r="W34" s="22">
        <v>29</v>
      </c>
      <c r="X34" s="19">
        <v>195.2</v>
      </c>
      <c r="Y34" s="22">
        <v>78</v>
      </c>
      <c r="Z34" s="19"/>
      <c r="AA34" s="22">
        <f t="shared" si="2"/>
        <v>127</v>
      </c>
      <c r="AB34" s="19"/>
      <c r="AC34" s="33">
        <v>176</v>
      </c>
      <c r="AD34" s="19"/>
      <c r="AE34" s="20"/>
      <c r="AF34" s="36"/>
    </row>
    <row r="35" spans="1:32" ht="15.75" x14ac:dyDescent="0.25">
      <c r="A35" s="22">
        <v>30</v>
      </c>
      <c r="B35" s="19">
        <v>190.6</v>
      </c>
      <c r="C35" s="22">
        <v>79</v>
      </c>
      <c r="D35" s="19">
        <v>187.7</v>
      </c>
      <c r="E35" s="22">
        <f t="shared" si="0"/>
        <v>128</v>
      </c>
      <c r="F35" s="19">
        <v>189.8</v>
      </c>
      <c r="G35" s="33">
        <v>177</v>
      </c>
      <c r="H35" s="19">
        <v>198.6</v>
      </c>
      <c r="I35" s="21"/>
      <c r="J35" s="36"/>
      <c r="L35" s="22">
        <v>30</v>
      </c>
      <c r="M35" s="19"/>
      <c r="N35" s="22">
        <v>79</v>
      </c>
      <c r="O35" s="19">
        <v>187.7</v>
      </c>
      <c r="P35" s="22">
        <f t="shared" si="1"/>
        <v>128</v>
      </c>
      <c r="Q35" s="19">
        <v>189.8</v>
      </c>
      <c r="R35" s="33">
        <v>177</v>
      </c>
      <c r="S35" s="19">
        <v>198.6</v>
      </c>
      <c r="T35" s="21"/>
      <c r="U35" s="36"/>
      <c r="W35" s="22">
        <v>30</v>
      </c>
      <c r="X35" s="19">
        <v>190.6</v>
      </c>
      <c r="Y35" s="22">
        <v>79</v>
      </c>
      <c r="Z35" s="19"/>
      <c r="AA35" s="22">
        <f t="shared" si="2"/>
        <v>128</v>
      </c>
      <c r="AB35" s="19"/>
      <c r="AC35" s="33">
        <v>177</v>
      </c>
      <c r="AD35" s="19"/>
      <c r="AE35" s="21"/>
      <c r="AF35" s="36"/>
    </row>
    <row r="36" spans="1:32" ht="15.75" x14ac:dyDescent="0.25">
      <c r="A36" s="22">
        <v>31</v>
      </c>
      <c r="B36" s="19">
        <v>196.1</v>
      </c>
      <c r="C36" s="22">
        <v>80</v>
      </c>
      <c r="D36" s="19">
        <v>191.3</v>
      </c>
      <c r="E36" s="22">
        <f t="shared" si="0"/>
        <v>129</v>
      </c>
      <c r="F36" s="19">
        <v>190.6</v>
      </c>
      <c r="G36" s="33">
        <v>178</v>
      </c>
      <c r="H36" s="19">
        <v>197.2</v>
      </c>
      <c r="I36" s="20"/>
      <c r="J36" s="36"/>
      <c r="L36" s="22">
        <v>31</v>
      </c>
      <c r="M36" s="19"/>
      <c r="N36" s="22">
        <v>80</v>
      </c>
      <c r="O36" s="19">
        <v>191.3</v>
      </c>
      <c r="P36" s="22">
        <f t="shared" si="1"/>
        <v>129</v>
      </c>
      <c r="Q36" s="19">
        <v>190.6</v>
      </c>
      <c r="R36" s="33">
        <v>178</v>
      </c>
      <c r="S36" s="19">
        <v>197.2</v>
      </c>
      <c r="T36" s="20"/>
      <c r="U36" s="36"/>
      <c r="W36" s="22">
        <v>31</v>
      </c>
      <c r="X36" s="19">
        <v>196.1</v>
      </c>
      <c r="Y36" s="22">
        <v>80</v>
      </c>
      <c r="Z36" s="19"/>
      <c r="AA36" s="22">
        <f t="shared" si="2"/>
        <v>129</v>
      </c>
      <c r="AB36" s="19"/>
      <c r="AC36" s="33">
        <v>178</v>
      </c>
      <c r="AD36" s="19"/>
      <c r="AE36" s="20"/>
      <c r="AF36" s="36"/>
    </row>
    <row r="37" spans="1:32" ht="15.75" x14ac:dyDescent="0.25">
      <c r="A37" s="22">
        <v>32</v>
      </c>
      <c r="B37" s="19">
        <v>189.6</v>
      </c>
      <c r="C37" s="22">
        <v>81</v>
      </c>
      <c r="D37" s="19">
        <v>191.8</v>
      </c>
      <c r="E37" s="22">
        <f t="shared" si="0"/>
        <v>130</v>
      </c>
      <c r="F37" s="19">
        <v>197.4</v>
      </c>
      <c r="G37" s="33">
        <v>179</v>
      </c>
      <c r="H37" s="19">
        <v>192.5</v>
      </c>
      <c r="I37" s="20"/>
      <c r="J37" s="36"/>
      <c r="L37" s="22">
        <v>32</v>
      </c>
      <c r="M37" s="19"/>
      <c r="N37" s="22">
        <v>81</v>
      </c>
      <c r="O37" s="19">
        <v>191.8</v>
      </c>
      <c r="P37" s="22">
        <f t="shared" si="1"/>
        <v>130</v>
      </c>
      <c r="Q37" s="19">
        <v>197.4</v>
      </c>
      <c r="R37" s="33">
        <v>179</v>
      </c>
      <c r="S37" s="19">
        <v>192.5</v>
      </c>
      <c r="T37" s="20"/>
      <c r="U37" s="36"/>
      <c r="W37" s="22">
        <v>32</v>
      </c>
      <c r="X37" s="19">
        <v>189.6</v>
      </c>
      <c r="Y37" s="22">
        <v>81</v>
      </c>
      <c r="Z37" s="19"/>
      <c r="AA37" s="22">
        <f t="shared" si="2"/>
        <v>130</v>
      </c>
      <c r="AB37" s="19"/>
      <c r="AC37" s="33">
        <v>179</v>
      </c>
      <c r="AD37" s="19"/>
      <c r="AE37" s="20"/>
      <c r="AF37" s="36"/>
    </row>
    <row r="38" spans="1:32" ht="15.75" x14ac:dyDescent="0.25">
      <c r="A38" s="22">
        <v>33</v>
      </c>
      <c r="B38" s="19">
        <v>191.3</v>
      </c>
      <c r="C38" s="22">
        <v>82</v>
      </c>
      <c r="D38" s="19">
        <v>187.3</v>
      </c>
      <c r="E38" s="22">
        <f t="shared" si="0"/>
        <v>131</v>
      </c>
      <c r="F38" s="19">
        <v>195.8</v>
      </c>
      <c r="G38" s="33">
        <v>180</v>
      </c>
      <c r="H38" s="19">
        <v>196.1</v>
      </c>
      <c r="I38" s="21"/>
      <c r="J38" s="36"/>
      <c r="L38" s="22">
        <v>33</v>
      </c>
      <c r="M38" s="19"/>
      <c r="N38" s="22">
        <v>82</v>
      </c>
      <c r="O38" s="19">
        <v>187.3</v>
      </c>
      <c r="P38" s="22">
        <f t="shared" si="1"/>
        <v>131</v>
      </c>
      <c r="Q38" s="19">
        <v>195.8</v>
      </c>
      <c r="R38" s="33">
        <v>180</v>
      </c>
      <c r="S38" s="19">
        <v>196.1</v>
      </c>
      <c r="T38" s="21"/>
      <c r="U38" s="36"/>
      <c r="W38" s="22">
        <v>33</v>
      </c>
      <c r="X38" s="19">
        <v>191.3</v>
      </c>
      <c r="Y38" s="22">
        <v>82</v>
      </c>
      <c r="Z38" s="19"/>
      <c r="AA38" s="22">
        <f t="shared" si="2"/>
        <v>131</v>
      </c>
      <c r="AB38" s="19"/>
      <c r="AC38" s="33">
        <v>180</v>
      </c>
      <c r="AD38" s="19"/>
      <c r="AE38" s="21"/>
      <c r="AF38" s="36"/>
    </row>
    <row r="39" spans="1:32" ht="15.75" x14ac:dyDescent="0.25">
      <c r="A39" s="22">
        <v>34</v>
      </c>
      <c r="B39" s="19">
        <v>189.3</v>
      </c>
      <c r="C39" s="22">
        <v>83</v>
      </c>
      <c r="D39" s="19">
        <v>196.7</v>
      </c>
      <c r="E39" s="22">
        <f t="shared" si="0"/>
        <v>132</v>
      </c>
      <c r="F39" s="19">
        <v>195.7</v>
      </c>
      <c r="G39" s="33">
        <v>181</v>
      </c>
      <c r="H39" s="19">
        <v>190.2</v>
      </c>
      <c r="I39" s="21"/>
      <c r="J39" s="36"/>
      <c r="L39" s="22">
        <v>34</v>
      </c>
      <c r="M39" s="19"/>
      <c r="N39" s="22">
        <v>83</v>
      </c>
      <c r="O39" s="19">
        <v>196.7</v>
      </c>
      <c r="P39" s="22">
        <f t="shared" si="1"/>
        <v>132</v>
      </c>
      <c r="Q39" s="19">
        <v>195.7</v>
      </c>
      <c r="R39" s="33">
        <v>181</v>
      </c>
      <c r="S39" s="19">
        <v>190.2</v>
      </c>
      <c r="T39" s="21"/>
      <c r="U39" s="36"/>
      <c r="W39" s="22">
        <v>34</v>
      </c>
      <c r="X39" s="19">
        <v>189.3</v>
      </c>
      <c r="Y39" s="22">
        <v>83</v>
      </c>
      <c r="Z39" s="19"/>
      <c r="AA39" s="22">
        <f t="shared" si="2"/>
        <v>132</v>
      </c>
      <c r="AB39" s="19"/>
      <c r="AC39" s="33">
        <v>181</v>
      </c>
      <c r="AD39" s="19"/>
      <c r="AE39" s="21"/>
      <c r="AF39" s="36"/>
    </row>
    <row r="40" spans="1:32" ht="15.75" x14ac:dyDescent="0.25">
      <c r="A40" s="22">
        <v>35</v>
      </c>
      <c r="B40" s="19">
        <v>192.4</v>
      </c>
      <c r="C40" s="22">
        <v>84</v>
      </c>
      <c r="D40" s="19">
        <v>191</v>
      </c>
      <c r="E40" s="22">
        <f t="shared" si="0"/>
        <v>133</v>
      </c>
      <c r="F40" s="19">
        <v>194.8</v>
      </c>
      <c r="G40" s="33">
        <v>182</v>
      </c>
      <c r="H40" s="19">
        <v>197.7</v>
      </c>
      <c r="I40" s="20"/>
      <c r="J40" s="36"/>
      <c r="L40" s="22">
        <v>35</v>
      </c>
      <c r="M40" s="19"/>
      <c r="N40" s="22">
        <v>84</v>
      </c>
      <c r="O40" s="19">
        <v>191</v>
      </c>
      <c r="P40" s="22">
        <f t="shared" si="1"/>
        <v>133</v>
      </c>
      <c r="Q40" s="19">
        <v>194.8</v>
      </c>
      <c r="R40" s="33">
        <v>182</v>
      </c>
      <c r="S40" s="19">
        <v>197.7</v>
      </c>
      <c r="T40" s="20"/>
      <c r="U40" s="36"/>
      <c r="W40" s="22">
        <v>35</v>
      </c>
      <c r="X40" s="19">
        <v>192.4</v>
      </c>
      <c r="Y40" s="22">
        <v>84</v>
      </c>
      <c r="Z40" s="19"/>
      <c r="AA40" s="22">
        <f t="shared" si="2"/>
        <v>133</v>
      </c>
      <c r="AB40" s="19"/>
      <c r="AC40" s="33">
        <v>182</v>
      </c>
      <c r="AD40" s="19"/>
      <c r="AE40" s="20"/>
      <c r="AF40" s="36"/>
    </row>
    <row r="41" spans="1:32" ht="15.75" x14ac:dyDescent="0.25">
      <c r="A41" s="22">
        <v>36</v>
      </c>
      <c r="B41" s="19">
        <v>187</v>
      </c>
      <c r="C41" s="22">
        <v>85</v>
      </c>
      <c r="D41" s="19">
        <v>192</v>
      </c>
      <c r="E41" s="22">
        <f t="shared" si="0"/>
        <v>134</v>
      </c>
      <c r="F41" s="19">
        <v>193.8</v>
      </c>
      <c r="G41" s="33">
        <v>183</v>
      </c>
      <c r="H41" s="19">
        <v>199.9</v>
      </c>
      <c r="I41" s="20"/>
      <c r="J41" s="36"/>
      <c r="L41" s="22">
        <v>36</v>
      </c>
      <c r="M41" s="19"/>
      <c r="N41" s="22">
        <v>85</v>
      </c>
      <c r="O41" s="19">
        <v>192</v>
      </c>
      <c r="P41" s="22">
        <f t="shared" si="1"/>
        <v>134</v>
      </c>
      <c r="Q41" s="19">
        <v>193.8</v>
      </c>
      <c r="R41" s="33">
        <v>183</v>
      </c>
      <c r="S41" s="19">
        <v>199.9</v>
      </c>
      <c r="T41" s="20"/>
      <c r="U41" s="36"/>
      <c r="W41" s="22">
        <v>36</v>
      </c>
      <c r="X41" s="19">
        <v>187</v>
      </c>
      <c r="Y41" s="22">
        <v>85</v>
      </c>
      <c r="Z41" s="19"/>
      <c r="AA41" s="22">
        <f t="shared" si="2"/>
        <v>134</v>
      </c>
      <c r="AB41" s="19"/>
      <c r="AC41" s="33">
        <v>183</v>
      </c>
      <c r="AD41" s="19"/>
      <c r="AE41" s="20"/>
      <c r="AF41" s="36"/>
    </row>
    <row r="42" spans="1:32" ht="15.75" x14ac:dyDescent="0.25">
      <c r="A42" s="22">
        <v>37</v>
      </c>
      <c r="B42" s="19">
        <v>192.8</v>
      </c>
      <c r="C42" s="22">
        <v>86</v>
      </c>
      <c r="D42" s="19">
        <v>189.4</v>
      </c>
      <c r="E42" s="22">
        <f t="shared" si="0"/>
        <v>135</v>
      </c>
      <c r="F42" s="19">
        <v>198.4</v>
      </c>
      <c r="G42" s="33">
        <v>184</v>
      </c>
      <c r="H42" s="19">
        <v>196</v>
      </c>
      <c r="I42" s="21"/>
      <c r="J42" s="36"/>
      <c r="L42" s="22">
        <v>37</v>
      </c>
      <c r="M42" s="19"/>
      <c r="N42" s="22">
        <v>86</v>
      </c>
      <c r="O42" s="19">
        <v>189.4</v>
      </c>
      <c r="P42" s="22">
        <f t="shared" si="1"/>
        <v>135</v>
      </c>
      <c r="Q42" s="19">
        <v>198.4</v>
      </c>
      <c r="R42" s="33">
        <v>184</v>
      </c>
      <c r="S42" s="19">
        <v>196</v>
      </c>
      <c r="T42" s="21"/>
      <c r="U42" s="36"/>
      <c r="W42" s="22">
        <v>37</v>
      </c>
      <c r="X42" s="19">
        <v>192.8</v>
      </c>
      <c r="Y42" s="22">
        <v>86</v>
      </c>
      <c r="Z42" s="19"/>
      <c r="AA42" s="22">
        <f t="shared" si="2"/>
        <v>135</v>
      </c>
      <c r="AB42" s="19"/>
      <c r="AC42" s="33">
        <v>184</v>
      </c>
      <c r="AD42" s="19"/>
      <c r="AE42" s="21"/>
      <c r="AF42" s="36"/>
    </row>
    <row r="43" spans="1:32" ht="15.75" x14ac:dyDescent="0.25">
      <c r="A43" s="22">
        <v>38</v>
      </c>
      <c r="B43" s="19">
        <v>195</v>
      </c>
      <c r="C43" s="22">
        <v>87</v>
      </c>
      <c r="D43" s="19">
        <v>193.9</v>
      </c>
      <c r="E43" s="22">
        <f t="shared" si="0"/>
        <v>136</v>
      </c>
      <c r="F43" s="19">
        <v>197.8</v>
      </c>
      <c r="G43" s="33">
        <v>185</v>
      </c>
      <c r="H43" s="19">
        <v>188.4</v>
      </c>
      <c r="I43" s="20"/>
      <c r="J43" s="36"/>
      <c r="L43" s="22">
        <v>38</v>
      </c>
      <c r="M43" s="19"/>
      <c r="N43" s="22">
        <v>87</v>
      </c>
      <c r="O43" s="19">
        <v>193.9</v>
      </c>
      <c r="P43" s="22">
        <f t="shared" si="1"/>
        <v>136</v>
      </c>
      <c r="Q43" s="19">
        <v>197.8</v>
      </c>
      <c r="R43" s="33">
        <v>185</v>
      </c>
      <c r="S43" s="19">
        <v>188.4</v>
      </c>
      <c r="T43" s="20"/>
      <c r="U43" s="36"/>
      <c r="W43" s="22">
        <v>38</v>
      </c>
      <c r="X43" s="19">
        <v>195</v>
      </c>
      <c r="Y43" s="22">
        <v>87</v>
      </c>
      <c r="Z43" s="19"/>
      <c r="AA43" s="22">
        <f t="shared" si="2"/>
        <v>136</v>
      </c>
      <c r="AB43" s="19"/>
      <c r="AC43" s="33">
        <v>185</v>
      </c>
      <c r="AD43" s="19"/>
      <c r="AE43" s="20"/>
      <c r="AF43" s="36"/>
    </row>
    <row r="44" spans="1:32" ht="15.75" x14ac:dyDescent="0.25">
      <c r="A44" s="22">
        <v>39</v>
      </c>
      <c r="B44" s="19">
        <v>201.1</v>
      </c>
      <c r="C44" s="22">
        <v>88</v>
      </c>
      <c r="D44" s="19">
        <v>186.5</v>
      </c>
      <c r="E44" s="22">
        <f t="shared" si="0"/>
        <v>137</v>
      </c>
      <c r="F44" s="19">
        <v>198.5</v>
      </c>
      <c r="G44" s="33">
        <v>186</v>
      </c>
      <c r="H44" s="19">
        <v>192.4</v>
      </c>
      <c r="I44" s="20"/>
      <c r="J44" s="36"/>
      <c r="L44" s="22">
        <v>39</v>
      </c>
      <c r="M44" s="19"/>
      <c r="N44" s="22">
        <v>88</v>
      </c>
      <c r="O44" s="19">
        <v>186.5</v>
      </c>
      <c r="P44" s="22">
        <f t="shared" si="1"/>
        <v>137</v>
      </c>
      <c r="Q44" s="19">
        <v>198.5</v>
      </c>
      <c r="R44" s="33">
        <v>186</v>
      </c>
      <c r="S44" s="19">
        <v>192.4</v>
      </c>
      <c r="T44" s="20"/>
      <c r="U44" s="36"/>
      <c r="W44" s="22">
        <v>39</v>
      </c>
      <c r="X44" s="19">
        <v>201.1</v>
      </c>
      <c r="Y44" s="22">
        <v>88</v>
      </c>
      <c r="Z44" s="19"/>
      <c r="AA44" s="22">
        <f t="shared" si="2"/>
        <v>137</v>
      </c>
      <c r="AB44" s="19"/>
      <c r="AC44" s="33">
        <v>186</v>
      </c>
      <c r="AD44" s="19"/>
      <c r="AE44" s="20"/>
      <c r="AF44" s="36"/>
    </row>
    <row r="45" spans="1:32" ht="15.75" x14ac:dyDescent="0.25">
      <c r="A45" s="22">
        <v>40</v>
      </c>
      <c r="B45" s="19">
        <v>197.6</v>
      </c>
      <c r="C45" s="22">
        <v>89</v>
      </c>
      <c r="D45" s="19">
        <v>191</v>
      </c>
      <c r="E45" s="22">
        <f t="shared" si="0"/>
        <v>138</v>
      </c>
      <c r="F45" s="19">
        <v>196.4</v>
      </c>
      <c r="G45" s="33">
        <v>187</v>
      </c>
      <c r="H45" s="19">
        <v>193.4</v>
      </c>
      <c r="I45" s="21"/>
      <c r="J45" s="36"/>
      <c r="L45" s="22">
        <v>40</v>
      </c>
      <c r="M45" s="19"/>
      <c r="N45" s="22">
        <v>89</v>
      </c>
      <c r="O45" s="19">
        <v>191</v>
      </c>
      <c r="P45" s="22">
        <f t="shared" si="1"/>
        <v>138</v>
      </c>
      <c r="Q45" s="19">
        <v>196.4</v>
      </c>
      <c r="R45" s="33">
        <v>187</v>
      </c>
      <c r="S45" s="19">
        <v>193.4</v>
      </c>
      <c r="T45" s="21"/>
      <c r="U45" s="36"/>
      <c r="W45" s="22">
        <v>40</v>
      </c>
      <c r="X45" s="19">
        <v>197.6</v>
      </c>
      <c r="Y45" s="22">
        <v>89</v>
      </c>
      <c r="Z45" s="19"/>
      <c r="AA45" s="22">
        <f t="shared" si="2"/>
        <v>138</v>
      </c>
      <c r="AB45" s="19"/>
      <c r="AC45" s="33">
        <v>187</v>
      </c>
      <c r="AD45" s="19"/>
      <c r="AE45" s="21"/>
      <c r="AF45" s="36"/>
    </row>
    <row r="46" spans="1:32" ht="15.75" x14ac:dyDescent="0.25">
      <c r="A46" s="22">
        <v>41</v>
      </c>
      <c r="B46" s="19">
        <v>197.4</v>
      </c>
      <c r="C46" s="22">
        <v>90</v>
      </c>
      <c r="D46" s="19">
        <v>191.9</v>
      </c>
      <c r="E46" s="22">
        <f t="shared" si="0"/>
        <v>139</v>
      </c>
      <c r="F46" s="19">
        <v>202.6</v>
      </c>
      <c r="G46" s="33">
        <v>188</v>
      </c>
      <c r="H46" s="19">
        <v>194</v>
      </c>
      <c r="I46" s="20"/>
      <c r="J46" s="36"/>
      <c r="L46" s="22">
        <v>41</v>
      </c>
      <c r="M46" s="19"/>
      <c r="N46" s="22">
        <v>90</v>
      </c>
      <c r="O46" s="19">
        <v>191.9</v>
      </c>
      <c r="P46" s="22">
        <f t="shared" si="1"/>
        <v>139</v>
      </c>
      <c r="Q46" s="19">
        <v>202.6</v>
      </c>
      <c r="R46" s="33">
        <v>188</v>
      </c>
      <c r="S46" s="19">
        <v>194</v>
      </c>
      <c r="T46" s="20"/>
      <c r="U46" s="36"/>
      <c r="W46" s="22">
        <v>41</v>
      </c>
      <c r="X46" s="19">
        <v>197.4</v>
      </c>
      <c r="Y46" s="22">
        <v>90</v>
      </c>
      <c r="Z46" s="19"/>
      <c r="AA46" s="22">
        <f t="shared" si="2"/>
        <v>139</v>
      </c>
      <c r="AB46" s="19"/>
      <c r="AC46" s="33">
        <v>188</v>
      </c>
      <c r="AD46" s="19"/>
      <c r="AE46" s="20"/>
      <c r="AF46" s="36"/>
    </row>
    <row r="47" spans="1:32" ht="15.75" x14ac:dyDescent="0.25">
      <c r="A47" s="22">
        <v>42</v>
      </c>
      <c r="B47" s="19">
        <v>193.3</v>
      </c>
      <c r="C47" s="22">
        <v>91</v>
      </c>
      <c r="D47" s="19">
        <v>196</v>
      </c>
      <c r="E47" s="22">
        <f t="shared" si="0"/>
        <v>140</v>
      </c>
      <c r="F47" s="19">
        <v>202.6</v>
      </c>
      <c r="G47" s="33">
        <v>189</v>
      </c>
      <c r="H47" s="19">
        <v>187</v>
      </c>
      <c r="I47" s="20"/>
      <c r="J47" s="36"/>
      <c r="L47" s="22">
        <v>42</v>
      </c>
      <c r="M47" s="19"/>
      <c r="N47" s="22">
        <v>91</v>
      </c>
      <c r="O47" s="19">
        <v>196</v>
      </c>
      <c r="P47" s="22">
        <f t="shared" si="1"/>
        <v>140</v>
      </c>
      <c r="Q47" s="19">
        <v>202.6</v>
      </c>
      <c r="R47" s="33">
        <v>189</v>
      </c>
      <c r="S47" s="19">
        <v>187</v>
      </c>
      <c r="T47" s="20"/>
      <c r="U47" s="36"/>
      <c r="W47" s="22">
        <v>42</v>
      </c>
      <c r="X47" s="19">
        <v>193.3</v>
      </c>
      <c r="Y47" s="22">
        <v>91</v>
      </c>
      <c r="Z47" s="19"/>
      <c r="AA47" s="22">
        <f t="shared" si="2"/>
        <v>140</v>
      </c>
      <c r="AB47" s="19"/>
      <c r="AC47" s="33">
        <v>189</v>
      </c>
      <c r="AD47" s="19"/>
      <c r="AE47" s="20"/>
      <c r="AF47" s="36"/>
    </row>
    <row r="48" spans="1:32" ht="15.75" x14ac:dyDescent="0.25">
      <c r="A48" s="22">
        <v>43</v>
      </c>
      <c r="B48" s="19">
        <v>191.2</v>
      </c>
      <c r="C48" s="22">
        <v>92</v>
      </c>
      <c r="D48" s="19">
        <v>196.8</v>
      </c>
      <c r="E48" s="22">
        <f t="shared" si="0"/>
        <v>141</v>
      </c>
      <c r="F48" s="19">
        <v>198.3</v>
      </c>
      <c r="G48" s="33">
        <v>190</v>
      </c>
      <c r="H48" s="19">
        <v>192.2</v>
      </c>
      <c r="I48" s="21"/>
      <c r="J48" s="36"/>
      <c r="L48" s="22">
        <v>43</v>
      </c>
      <c r="M48" s="19"/>
      <c r="N48" s="22">
        <v>92</v>
      </c>
      <c r="O48" s="19">
        <v>196.8</v>
      </c>
      <c r="P48" s="22">
        <f t="shared" si="1"/>
        <v>141</v>
      </c>
      <c r="Q48" s="19">
        <v>198.3</v>
      </c>
      <c r="R48" s="33">
        <v>190</v>
      </c>
      <c r="S48" s="19">
        <v>192.2</v>
      </c>
      <c r="T48" s="21"/>
      <c r="U48" s="36"/>
      <c r="W48" s="22">
        <v>43</v>
      </c>
      <c r="X48" s="19">
        <v>191.2</v>
      </c>
      <c r="Y48" s="22">
        <v>92</v>
      </c>
      <c r="Z48" s="19"/>
      <c r="AA48" s="22">
        <f t="shared" si="2"/>
        <v>141</v>
      </c>
      <c r="AB48" s="19"/>
      <c r="AC48" s="33">
        <v>190</v>
      </c>
      <c r="AD48" s="19"/>
      <c r="AE48" s="21"/>
      <c r="AF48" s="36"/>
    </row>
    <row r="49" spans="1:32" ht="15.75" x14ac:dyDescent="0.25">
      <c r="A49" s="22">
        <v>44</v>
      </c>
      <c r="B49" s="19">
        <v>185.6</v>
      </c>
      <c r="C49" s="22">
        <v>93</v>
      </c>
      <c r="D49" s="19">
        <v>195</v>
      </c>
      <c r="E49" s="22">
        <f t="shared" si="0"/>
        <v>142</v>
      </c>
      <c r="F49" s="19">
        <v>202.8</v>
      </c>
      <c r="G49" s="33">
        <v>191</v>
      </c>
      <c r="H49" s="19">
        <v>190.7</v>
      </c>
      <c r="I49" s="21"/>
      <c r="J49" s="36"/>
      <c r="L49" s="22">
        <v>44</v>
      </c>
      <c r="M49" s="19"/>
      <c r="N49" s="22">
        <v>93</v>
      </c>
      <c r="O49" s="19">
        <v>195</v>
      </c>
      <c r="P49" s="22">
        <f t="shared" si="1"/>
        <v>142</v>
      </c>
      <c r="Q49" s="19">
        <v>202.8</v>
      </c>
      <c r="R49" s="33">
        <v>191</v>
      </c>
      <c r="S49" s="19">
        <v>190.7</v>
      </c>
      <c r="T49" s="21"/>
      <c r="U49" s="36"/>
      <c r="W49" s="22">
        <v>44</v>
      </c>
      <c r="X49" s="19">
        <v>185.6</v>
      </c>
      <c r="Y49" s="22">
        <v>93</v>
      </c>
      <c r="Z49" s="19"/>
      <c r="AA49" s="22">
        <f t="shared" si="2"/>
        <v>142</v>
      </c>
      <c r="AB49" s="19"/>
      <c r="AC49" s="33">
        <v>191</v>
      </c>
      <c r="AD49" s="19"/>
      <c r="AE49" s="21"/>
      <c r="AF49" s="36"/>
    </row>
    <row r="50" spans="1:32" ht="15.75" x14ac:dyDescent="0.25">
      <c r="A50" s="22">
        <v>45</v>
      </c>
      <c r="B50" s="19">
        <v>191.7</v>
      </c>
      <c r="C50" s="22">
        <v>94</v>
      </c>
      <c r="D50" s="19">
        <v>196.5</v>
      </c>
      <c r="E50" s="22">
        <f t="shared" si="0"/>
        <v>143</v>
      </c>
      <c r="F50" s="19">
        <v>197.7</v>
      </c>
      <c r="G50" s="33">
        <v>192</v>
      </c>
      <c r="H50" s="19">
        <v>191.2</v>
      </c>
      <c r="I50" s="20"/>
      <c r="J50" s="36"/>
      <c r="L50" s="22">
        <v>45</v>
      </c>
      <c r="M50" s="19"/>
      <c r="N50" s="22">
        <v>94</v>
      </c>
      <c r="O50" s="19">
        <v>196.5</v>
      </c>
      <c r="P50" s="22">
        <f t="shared" si="1"/>
        <v>143</v>
      </c>
      <c r="Q50" s="19">
        <v>197.7</v>
      </c>
      <c r="R50" s="33">
        <v>192</v>
      </c>
      <c r="S50" s="19">
        <v>191.2</v>
      </c>
      <c r="T50" s="20"/>
      <c r="U50" s="36"/>
      <c r="W50" s="22">
        <v>45</v>
      </c>
      <c r="X50" s="19">
        <v>191.7</v>
      </c>
      <c r="Y50" s="22">
        <v>94</v>
      </c>
      <c r="Z50" s="19"/>
      <c r="AA50" s="22">
        <f t="shared" si="2"/>
        <v>143</v>
      </c>
      <c r="AB50" s="19"/>
      <c r="AC50" s="33">
        <v>192</v>
      </c>
      <c r="AD50" s="19"/>
      <c r="AE50" s="20"/>
      <c r="AF50" s="36"/>
    </row>
    <row r="51" spans="1:32" ht="15.75" x14ac:dyDescent="0.25">
      <c r="A51" s="22">
        <v>46</v>
      </c>
      <c r="B51" s="19">
        <v>194.1</v>
      </c>
      <c r="C51" s="22">
        <v>95</v>
      </c>
      <c r="D51" s="19">
        <v>195.4</v>
      </c>
      <c r="E51" s="22">
        <f t="shared" si="0"/>
        <v>144</v>
      </c>
      <c r="F51" s="19">
        <v>198.1</v>
      </c>
      <c r="G51" s="33">
        <v>193</v>
      </c>
      <c r="H51" s="19">
        <v>187.8</v>
      </c>
      <c r="I51" s="20"/>
      <c r="J51" s="36"/>
      <c r="L51" s="22">
        <v>46</v>
      </c>
      <c r="M51" s="19"/>
      <c r="N51" s="22">
        <v>95</v>
      </c>
      <c r="O51" s="19">
        <v>195.4</v>
      </c>
      <c r="P51" s="22">
        <f t="shared" si="1"/>
        <v>144</v>
      </c>
      <c r="Q51" s="19">
        <v>198.1</v>
      </c>
      <c r="R51" s="33">
        <v>193</v>
      </c>
      <c r="S51" s="19">
        <v>187.8</v>
      </c>
      <c r="T51" s="20"/>
      <c r="U51" s="36"/>
      <c r="W51" s="22">
        <v>46</v>
      </c>
      <c r="X51" s="19">
        <v>194.1</v>
      </c>
      <c r="Y51" s="22">
        <v>95</v>
      </c>
      <c r="Z51" s="19"/>
      <c r="AA51" s="22">
        <f t="shared" si="2"/>
        <v>144</v>
      </c>
      <c r="AB51" s="19"/>
      <c r="AC51" s="33">
        <v>193</v>
      </c>
      <c r="AD51" s="19"/>
      <c r="AE51" s="20"/>
      <c r="AF51" s="36"/>
    </row>
    <row r="52" spans="1:32" ht="15.75" x14ac:dyDescent="0.25">
      <c r="A52" s="22">
        <v>47</v>
      </c>
      <c r="B52" s="19">
        <v>196.3</v>
      </c>
      <c r="C52" s="22">
        <v>96</v>
      </c>
      <c r="D52" s="19">
        <v>198.1</v>
      </c>
      <c r="E52" s="22">
        <f t="shared" si="0"/>
        <v>145</v>
      </c>
      <c r="F52" s="19">
        <v>192.1</v>
      </c>
      <c r="G52" s="33">
        <v>194</v>
      </c>
      <c r="H52" s="19">
        <v>196.4</v>
      </c>
      <c r="I52" s="21"/>
      <c r="J52" s="36"/>
      <c r="L52" s="22">
        <v>47</v>
      </c>
      <c r="M52" s="19"/>
      <c r="N52" s="22">
        <v>96</v>
      </c>
      <c r="O52" s="19">
        <v>198.1</v>
      </c>
      <c r="P52" s="22">
        <f t="shared" si="1"/>
        <v>145</v>
      </c>
      <c r="Q52" s="19">
        <v>192.1</v>
      </c>
      <c r="R52" s="33">
        <v>194</v>
      </c>
      <c r="S52" s="19">
        <v>196.4</v>
      </c>
      <c r="T52" s="21"/>
      <c r="U52" s="36"/>
      <c r="W52" s="22">
        <v>47</v>
      </c>
      <c r="X52" s="19">
        <v>196.3</v>
      </c>
      <c r="Y52" s="22">
        <v>96</v>
      </c>
      <c r="Z52" s="19"/>
      <c r="AA52" s="22">
        <f t="shared" si="2"/>
        <v>145</v>
      </c>
      <c r="AB52" s="19"/>
      <c r="AC52" s="33">
        <v>194</v>
      </c>
      <c r="AD52" s="19"/>
      <c r="AE52" s="21"/>
      <c r="AF52" s="36"/>
    </row>
    <row r="53" spans="1:32" ht="15.75" x14ac:dyDescent="0.25">
      <c r="A53" s="22">
        <v>48</v>
      </c>
      <c r="B53" s="19">
        <v>194.1</v>
      </c>
      <c r="C53" s="22">
        <v>97</v>
      </c>
      <c r="D53" s="19">
        <v>190.8</v>
      </c>
      <c r="E53" s="22">
        <f t="shared" si="0"/>
        <v>146</v>
      </c>
      <c r="F53" s="19">
        <v>190.6</v>
      </c>
      <c r="G53" s="33">
        <v>195</v>
      </c>
      <c r="H53" s="19">
        <v>198.4</v>
      </c>
      <c r="I53" s="20"/>
      <c r="J53" s="36"/>
      <c r="L53" s="22">
        <v>48</v>
      </c>
      <c r="M53" s="19"/>
      <c r="N53" s="22">
        <v>97</v>
      </c>
      <c r="O53" s="19">
        <v>190.8</v>
      </c>
      <c r="P53" s="22">
        <f t="shared" si="1"/>
        <v>146</v>
      </c>
      <c r="Q53" s="19">
        <v>190.6</v>
      </c>
      <c r="R53" s="33">
        <v>195</v>
      </c>
      <c r="S53" s="19">
        <v>198.4</v>
      </c>
      <c r="T53" s="20"/>
      <c r="U53" s="36"/>
      <c r="W53" s="22">
        <v>48</v>
      </c>
      <c r="X53" s="19">
        <v>194.1</v>
      </c>
      <c r="Y53" s="22">
        <v>97</v>
      </c>
      <c r="Z53" s="19"/>
      <c r="AA53" s="22">
        <f t="shared" si="2"/>
        <v>146</v>
      </c>
      <c r="AB53" s="19"/>
      <c r="AC53" s="33">
        <v>195</v>
      </c>
      <c r="AD53" s="19"/>
      <c r="AE53" s="20"/>
      <c r="AF53" s="36"/>
    </row>
    <row r="54" spans="1:32" ht="15.75" x14ac:dyDescent="0.25">
      <c r="A54" s="37">
        <v>49</v>
      </c>
      <c r="B54" s="19">
        <v>197.9</v>
      </c>
      <c r="C54" s="37">
        <v>98</v>
      </c>
      <c r="D54" s="19">
        <v>188.4</v>
      </c>
      <c r="E54" s="22">
        <f t="shared" si="0"/>
        <v>147</v>
      </c>
      <c r="F54" s="19">
        <v>193.6</v>
      </c>
      <c r="G54" s="38">
        <v>196</v>
      </c>
      <c r="H54" s="19">
        <v>195.8</v>
      </c>
      <c r="I54" s="39"/>
      <c r="J54" s="40"/>
      <c r="L54" s="37">
        <v>49</v>
      </c>
      <c r="M54" s="19"/>
      <c r="N54" s="37">
        <v>98</v>
      </c>
      <c r="O54" s="19">
        <v>188.4</v>
      </c>
      <c r="P54" s="22">
        <f t="shared" si="1"/>
        <v>147</v>
      </c>
      <c r="Q54" s="19">
        <v>193.6</v>
      </c>
      <c r="R54" s="38">
        <v>196</v>
      </c>
      <c r="S54" s="19">
        <v>195.8</v>
      </c>
      <c r="T54" s="39"/>
      <c r="U54" s="40"/>
      <c r="W54" s="37">
        <v>49</v>
      </c>
      <c r="X54" s="19">
        <v>197.9</v>
      </c>
      <c r="Y54" s="37">
        <v>98</v>
      </c>
      <c r="Z54" s="19"/>
      <c r="AA54" s="22">
        <f t="shared" si="2"/>
        <v>147</v>
      </c>
      <c r="AB54" s="19"/>
      <c r="AC54" s="38">
        <v>196</v>
      </c>
      <c r="AD54" s="19"/>
      <c r="AE54" s="39"/>
      <c r="AF54" s="40"/>
    </row>
    <row r="55" spans="1:32" ht="15.75" x14ac:dyDescent="0.25">
      <c r="A55" s="41"/>
      <c r="B55" s="23">
        <f>SUM(B6:B54)</f>
        <v>9403.100000000004</v>
      </c>
      <c r="C55" s="23"/>
      <c r="D55" s="23">
        <f>SUM(D6:D54)</f>
        <v>9595.2999999999975</v>
      </c>
      <c r="E55" s="23"/>
      <c r="F55" s="23">
        <f>SUM(F6:F54)</f>
        <v>9502.8000000000011</v>
      </c>
      <c r="G55" s="23"/>
      <c r="H55" s="23">
        <f>SUM(H6:H54)</f>
        <v>9515.1999999999989</v>
      </c>
      <c r="I55" s="41"/>
      <c r="J55" s="41">
        <f>SUM(J6:J54)</f>
        <v>4655.6000000000004</v>
      </c>
      <c r="L55" s="41"/>
      <c r="M55" s="23">
        <f>SUM(M6:M54)</f>
        <v>0</v>
      </c>
      <c r="N55" s="23"/>
      <c r="O55" s="23">
        <f>SUM(O6:O54)</f>
        <v>6988.4999999999982</v>
      </c>
      <c r="P55" s="23"/>
      <c r="Q55" s="23">
        <f>SUM(Q6:Q54)</f>
        <v>9502.8000000000011</v>
      </c>
      <c r="R55" s="23"/>
      <c r="S55" s="23">
        <f>SUM(S6:S54)</f>
        <v>9515.1999999999989</v>
      </c>
      <c r="T55" s="41"/>
      <c r="U55" s="41">
        <f>SUM(U6:U54)</f>
        <v>4655.6000000000004</v>
      </c>
      <c r="W55" s="41"/>
      <c r="X55" s="23">
        <f>SUM(X6:X54)</f>
        <v>9403.100000000004</v>
      </c>
      <c r="Y55" s="23"/>
      <c r="Z55" s="23">
        <f>SUM(Z6:Z54)</f>
        <v>2606.7999999999997</v>
      </c>
      <c r="AA55" s="23"/>
      <c r="AB55" s="23">
        <f>SUM(AB6:AB54)</f>
        <v>0</v>
      </c>
      <c r="AC55" s="23"/>
      <c r="AD55" s="23">
        <f>SUM(AD6:AD54)</f>
        <v>0</v>
      </c>
      <c r="AE55" s="41"/>
      <c r="AF55" s="41">
        <f>SUM(AF6:AF54)</f>
        <v>0</v>
      </c>
    </row>
    <row r="56" spans="1:32" ht="15.75" x14ac:dyDescent="0.25">
      <c r="A56" s="42" t="s">
        <v>5</v>
      </c>
      <c r="B56" s="43">
        <f>COUNT(B6:B54,D6:D54,F6:F54,H6:H54,J6:J54)</f>
        <v>220</v>
      </c>
      <c r="C56" s="13" t="s">
        <v>6</v>
      </c>
      <c r="D56" s="44"/>
      <c r="E56" s="45">
        <f>B55+D55+F55+H55+J55</f>
        <v>42672</v>
      </c>
      <c r="F56" s="24"/>
      <c r="G56" s="1">
        <f>B56*2.1</f>
        <v>462</v>
      </c>
      <c r="H56" s="13" t="s">
        <v>8</v>
      </c>
      <c r="I56" s="44"/>
      <c r="J56" s="45">
        <f>E56-G56</f>
        <v>42210</v>
      </c>
      <c r="L56" s="42" t="s">
        <v>5</v>
      </c>
      <c r="M56" s="43">
        <f>COUNT(M6:M54,O6:O54,Q6:Q54,S6:S54,U6:U54)</f>
        <v>158</v>
      </c>
      <c r="N56" s="13" t="s">
        <v>6</v>
      </c>
      <c r="O56" s="44"/>
      <c r="P56" s="45">
        <f>M55+O55+Q55+S55+U55</f>
        <v>30662.1</v>
      </c>
      <c r="Q56" s="24"/>
      <c r="R56" s="1">
        <f>M56*2.1</f>
        <v>331.8</v>
      </c>
      <c r="S56" s="13" t="s">
        <v>8</v>
      </c>
      <c r="T56" s="44"/>
      <c r="U56" s="45">
        <f>P56-R56</f>
        <v>30330.3</v>
      </c>
      <c r="W56" s="42" t="s">
        <v>5</v>
      </c>
      <c r="X56" s="43">
        <f>COUNT(X6:X54,Z6:Z54,AB6:AB54,AD6:AD54,AF6:AF54)</f>
        <v>62</v>
      </c>
      <c r="Y56" s="13" t="s">
        <v>6</v>
      </c>
      <c r="Z56" s="44"/>
      <c r="AA56" s="45">
        <f>X55+Z55+AB55+AD55+AF55</f>
        <v>12009.900000000003</v>
      </c>
      <c r="AB56" s="24"/>
      <c r="AC56" s="1">
        <f>X56*2.1</f>
        <v>130.20000000000002</v>
      </c>
      <c r="AD56" s="13" t="s">
        <v>8</v>
      </c>
      <c r="AE56" s="44"/>
      <c r="AF56" s="45">
        <f>AA56-AC56</f>
        <v>11879.700000000003</v>
      </c>
    </row>
    <row r="57" spans="1:32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  <c r="L57" s="42" t="s">
        <v>9</v>
      </c>
      <c r="M57" s="25"/>
      <c r="N57" s="46"/>
      <c r="O57" s="44"/>
      <c r="P57" s="47"/>
      <c r="Q57" s="25"/>
      <c r="R57" s="48"/>
      <c r="S57" s="46"/>
      <c r="T57" s="44"/>
      <c r="U57" s="49"/>
      <c r="W57" s="42" t="s">
        <v>9</v>
      </c>
      <c r="X57" s="25"/>
      <c r="Y57" s="46"/>
      <c r="Z57" s="44"/>
      <c r="AA57" s="47"/>
      <c r="AB57" s="25"/>
      <c r="AC57" s="48"/>
      <c r="AD57" s="46"/>
      <c r="AE57" s="44"/>
      <c r="AF57" s="49"/>
    </row>
  </sheetData>
  <protectedRanges>
    <protectedRange password="CCE1" sqref="C6:C54 G6:G54 E6:E54 I6:I29 N6:N54 R6:R54 P6:P54 T6:T29 Y6:Y54 AC6:AC54 AA6:AA54 AE6:AE29" name="Диапазон1_3_1_7_2_1_1_1_1_1_1_1"/>
  </protectedRanges>
  <mergeCells count="6">
    <mergeCell ref="A1:J1"/>
    <mergeCell ref="I4:J4"/>
    <mergeCell ref="L1:U1"/>
    <mergeCell ref="T4:U4"/>
    <mergeCell ref="W1:AF1"/>
    <mergeCell ref="AE4:AF4"/>
  </mergeCells>
  <pageMargins left="0.7" right="0.7" top="0.75" bottom="0.75" header="0.3" footer="0.3"/>
  <pageSetup paperSize="9" scale="83" orientation="portrait" verticalDpi="0" r:id="rId1"/>
  <colBreaks count="2" manualBreakCount="2">
    <brk id="10" max="1048575" man="1"/>
    <brk id="21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60"/>
  <sheetViews>
    <sheetView topLeftCell="AD34" zoomScale="90" zoomScaleNormal="90" workbookViewId="0">
      <selection activeCell="AZ58" sqref="AZ58"/>
    </sheetView>
  </sheetViews>
  <sheetFormatPr defaultRowHeight="15" x14ac:dyDescent="0.25"/>
  <cols>
    <col min="5" max="5" width="11.85546875" customWidth="1"/>
    <col min="8" max="8" width="10.140625" customWidth="1"/>
    <col min="10" max="10" width="10.42578125" bestFit="1" customWidth="1"/>
    <col min="11" max="11" width="3.28515625" customWidth="1"/>
    <col min="12" max="21" width="10.42578125" customWidth="1"/>
    <col min="22" max="22" width="2.7109375" customWidth="1"/>
    <col min="23" max="23" width="9.7109375" customWidth="1"/>
    <col min="27" max="27" width="12.42578125" customWidth="1"/>
    <col min="32" max="32" width="11.5703125" customWidth="1"/>
    <col min="33" max="33" width="2.140625" customWidth="1"/>
    <col min="44" max="44" width="3.42578125" customWidth="1"/>
  </cols>
  <sheetData>
    <row r="1" spans="1:54" ht="18.75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100"/>
      <c r="L1" s="204" t="s">
        <v>0</v>
      </c>
      <c r="M1" s="204"/>
      <c r="N1" s="204"/>
      <c r="O1" s="204"/>
      <c r="P1" s="204"/>
      <c r="Q1" s="204"/>
      <c r="R1" s="204"/>
      <c r="S1" s="204"/>
      <c r="T1" s="204"/>
      <c r="U1" s="204"/>
      <c r="W1" s="204" t="s">
        <v>0</v>
      </c>
      <c r="X1" s="204"/>
      <c r="Y1" s="204"/>
      <c r="Z1" s="204"/>
      <c r="AA1" s="204"/>
      <c r="AB1" s="204"/>
      <c r="AC1" s="204"/>
      <c r="AD1" s="204"/>
      <c r="AE1" s="204"/>
      <c r="AF1" s="204"/>
      <c r="AG1" s="103"/>
      <c r="AH1" s="204" t="s">
        <v>0</v>
      </c>
      <c r="AI1" s="204"/>
      <c r="AJ1" s="204"/>
      <c r="AK1" s="204"/>
      <c r="AL1" s="204"/>
      <c r="AM1" s="204"/>
      <c r="AN1" s="204"/>
      <c r="AO1" s="204"/>
      <c r="AP1" s="204"/>
      <c r="AQ1" s="204"/>
      <c r="AS1" s="204" t="s">
        <v>0</v>
      </c>
      <c r="AT1" s="204"/>
      <c r="AU1" s="204"/>
      <c r="AV1" s="204"/>
      <c r="AW1" s="204"/>
      <c r="AX1" s="204"/>
      <c r="AY1" s="204"/>
      <c r="AZ1" s="204"/>
      <c r="BA1" s="204"/>
      <c r="BB1" s="204"/>
    </row>
    <row r="2" spans="1:54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  <c r="K2" s="13"/>
      <c r="L2" s="13" t="s">
        <v>1</v>
      </c>
      <c r="M2" s="13"/>
      <c r="N2" s="13"/>
      <c r="O2" s="13"/>
      <c r="P2" s="13"/>
      <c r="Q2" s="13"/>
      <c r="R2" s="27"/>
      <c r="S2" s="13"/>
      <c r="T2" s="13"/>
      <c r="U2" s="13"/>
      <c r="W2" s="13" t="s">
        <v>1</v>
      </c>
      <c r="X2" s="13"/>
      <c r="Y2" s="13"/>
      <c r="Z2" s="13"/>
      <c r="AA2" s="13"/>
      <c r="AB2" s="13"/>
      <c r="AC2" s="27"/>
      <c r="AD2" s="13"/>
      <c r="AE2" s="13"/>
      <c r="AF2" s="13"/>
      <c r="AG2" s="13"/>
      <c r="AH2" s="13" t="s">
        <v>1</v>
      </c>
      <c r="AI2" s="13"/>
      <c r="AJ2" s="13"/>
      <c r="AK2" s="13"/>
      <c r="AL2" s="13"/>
      <c r="AM2" s="13"/>
      <c r="AN2" s="27"/>
      <c r="AO2" s="13"/>
      <c r="AP2" s="13"/>
      <c r="AQ2" s="13"/>
      <c r="AS2" s="13" t="s">
        <v>1</v>
      </c>
      <c r="AT2" s="13"/>
      <c r="AU2" s="13"/>
      <c r="AV2" s="13"/>
      <c r="AW2" s="13"/>
      <c r="AX2" s="13"/>
      <c r="AY2" s="27"/>
      <c r="AZ2" s="13"/>
      <c r="BA2" s="13"/>
      <c r="BB2" s="13"/>
    </row>
    <row r="3" spans="1:54" ht="15.75" x14ac:dyDescent="0.25">
      <c r="A3" s="25" t="s">
        <v>2</v>
      </c>
      <c r="B3" s="27">
        <v>202</v>
      </c>
      <c r="C3" s="14"/>
      <c r="D3" s="15"/>
      <c r="E3" s="16"/>
      <c r="F3" s="16"/>
      <c r="G3" s="16"/>
      <c r="H3" s="16"/>
      <c r="I3" s="16" t="s">
        <v>33</v>
      </c>
      <c r="J3" s="16"/>
      <c r="K3" s="104"/>
      <c r="L3" s="25" t="s">
        <v>2</v>
      </c>
      <c r="M3" s="27">
        <v>202</v>
      </c>
      <c r="N3" s="14"/>
      <c r="O3" s="15"/>
      <c r="P3" s="16"/>
      <c r="Q3" s="16"/>
      <c r="R3" s="16"/>
      <c r="S3" s="16"/>
      <c r="T3" s="16" t="s">
        <v>33</v>
      </c>
      <c r="U3" s="16"/>
      <c r="W3" s="25" t="s">
        <v>2</v>
      </c>
      <c r="X3" s="27">
        <v>202</v>
      </c>
      <c r="Y3" s="14"/>
      <c r="Z3" s="15"/>
      <c r="AA3" s="16"/>
      <c r="AB3" s="16"/>
      <c r="AC3" s="16"/>
      <c r="AD3" s="16"/>
      <c r="AE3" s="16" t="s">
        <v>33</v>
      </c>
      <c r="AF3" s="16"/>
      <c r="AG3" s="104"/>
      <c r="AH3" s="25" t="s">
        <v>2</v>
      </c>
      <c r="AI3" s="27">
        <v>202</v>
      </c>
      <c r="AJ3" s="14"/>
      <c r="AK3" s="15"/>
      <c r="AL3" s="16"/>
      <c r="AM3" s="16"/>
      <c r="AN3" s="16"/>
      <c r="AO3" s="16"/>
      <c r="AP3" s="16" t="s">
        <v>33</v>
      </c>
      <c r="AQ3" s="16"/>
      <c r="AS3" s="25" t="s">
        <v>2</v>
      </c>
      <c r="AT3" s="27">
        <v>202</v>
      </c>
      <c r="AU3" s="14"/>
      <c r="AV3" s="15"/>
      <c r="AW3" s="16"/>
      <c r="AX3" s="16"/>
      <c r="AY3" s="16"/>
      <c r="AZ3" s="16"/>
      <c r="BA3" s="16" t="s">
        <v>33</v>
      </c>
      <c r="BB3" s="16"/>
    </row>
    <row r="4" spans="1:54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  <c r="K4" s="105"/>
      <c r="L4" s="17"/>
      <c r="M4" s="17"/>
      <c r="N4" s="17"/>
      <c r="O4" s="17"/>
      <c r="P4" s="17"/>
      <c r="Q4" s="17"/>
      <c r="R4" s="17"/>
      <c r="S4" s="28"/>
      <c r="T4" s="205" t="s">
        <v>10</v>
      </c>
      <c r="U4" s="206"/>
      <c r="W4" s="17"/>
      <c r="X4" s="17"/>
      <c r="Y4" s="17"/>
      <c r="Z4" s="17"/>
      <c r="AA4" s="17"/>
      <c r="AB4" s="17"/>
      <c r="AC4" s="17"/>
      <c r="AD4" s="28"/>
      <c r="AE4" s="205" t="s">
        <v>54</v>
      </c>
      <c r="AF4" s="206"/>
      <c r="AG4" s="105"/>
      <c r="AH4" s="17"/>
      <c r="AI4" s="17"/>
      <c r="AJ4" s="17"/>
      <c r="AK4" s="17"/>
      <c r="AL4" s="17"/>
      <c r="AM4" s="17"/>
      <c r="AN4" s="17"/>
      <c r="AO4" s="28"/>
      <c r="AP4" s="205" t="s">
        <v>54</v>
      </c>
      <c r="AQ4" s="206"/>
      <c r="AS4" s="17"/>
      <c r="AT4" s="17"/>
      <c r="AU4" s="17"/>
      <c r="AV4" s="17"/>
      <c r="AW4" s="17"/>
      <c r="AX4" s="17"/>
      <c r="AY4" s="17"/>
      <c r="AZ4" s="28"/>
      <c r="BA4" s="205" t="s">
        <v>47</v>
      </c>
      <c r="BB4" s="206"/>
    </row>
    <row r="5" spans="1:54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  <c r="K5" s="106"/>
      <c r="L5" s="29" t="s">
        <v>3</v>
      </c>
      <c r="M5" s="18" t="s">
        <v>4</v>
      </c>
      <c r="N5" s="29" t="s">
        <v>3</v>
      </c>
      <c r="O5" s="18" t="s">
        <v>4</v>
      </c>
      <c r="P5" s="29" t="s">
        <v>3</v>
      </c>
      <c r="Q5" s="18" t="s">
        <v>4</v>
      </c>
      <c r="R5" s="29" t="s">
        <v>3</v>
      </c>
      <c r="S5" s="30" t="s">
        <v>4</v>
      </c>
      <c r="T5" s="31" t="s">
        <v>3</v>
      </c>
      <c r="U5" s="32" t="s">
        <v>4</v>
      </c>
      <c r="W5" s="29" t="s">
        <v>3</v>
      </c>
      <c r="X5" s="18" t="s">
        <v>4</v>
      </c>
      <c r="Y5" s="29" t="s">
        <v>3</v>
      </c>
      <c r="Z5" s="18" t="s">
        <v>4</v>
      </c>
      <c r="AA5" s="29" t="s">
        <v>3</v>
      </c>
      <c r="AB5" s="18" t="s">
        <v>4</v>
      </c>
      <c r="AC5" s="29" t="s">
        <v>3</v>
      </c>
      <c r="AD5" s="30" t="s">
        <v>4</v>
      </c>
      <c r="AE5" s="31" t="s">
        <v>3</v>
      </c>
      <c r="AF5" s="32" t="s">
        <v>4</v>
      </c>
      <c r="AG5" s="106"/>
      <c r="AH5" s="29" t="s">
        <v>3</v>
      </c>
      <c r="AI5" s="18" t="s">
        <v>4</v>
      </c>
      <c r="AJ5" s="29" t="s">
        <v>3</v>
      </c>
      <c r="AK5" s="18" t="s">
        <v>4</v>
      </c>
      <c r="AL5" s="29" t="s">
        <v>3</v>
      </c>
      <c r="AM5" s="18" t="s">
        <v>4</v>
      </c>
      <c r="AN5" s="29" t="s">
        <v>3</v>
      </c>
      <c r="AO5" s="30" t="s">
        <v>4</v>
      </c>
      <c r="AP5" s="31" t="s">
        <v>3</v>
      </c>
      <c r="AQ5" s="32" t="s">
        <v>4</v>
      </c>
      <c r="AS5" s="29" t="s">
        <v>3</v>
      </c>
      <c r="AT5" s="18" t="s">
        <v>4</v>
      </c>
      <c r="AU5" s="29" t="s">
        <v>3</v>
      </c>
      <c r="AV5" s="18" t="s">
        <v>4</v>
      </c>
      <c r="AW5" s="29" t="s">
        <v>3</v>
      </c>
      <c r="AX5" s="18" t="s">
        <v>4</v>
      </c>
      <c r="AY5" s="29" t="s">
        <v>3</v>
      </c>
      <c r="AZ5" s="30" t="s">
        <v>4</v>
      </c>
      <c r="BA5" s="31" t="s">
        <v>3</v>
      </c>
      <c r="BB5" s="32" t="s">
        <v>4</v>
      </c>
    </row>
    <row r="6" spans="1:54" ht="15.75" x14ac:dyDescent="0.25">
      <c r="A6" s="22">
        <v>1</v>
      </c>
      <c r="B6" s="19">
        <v>178.8</v>
      </c>
      <c r="C6" s="22">
        <v>50</v>
      </c>
      <c r="D6" s="19">
        <v>179.8</v>
      </c>
      <c r="E6" s="22">
        <v>99</v>
      </c>
      <c r="F6" s="19">
        <v>186.6</v>
      </c>
      <c r="G6" s="33">
        <v>148</v>
      </c>
      <c r="H6" s="19"/>
      <c r="I6" s="34">
        <v>197</v>
      </c>
      <c r="J6" s="19"/>
      <c r="K6" s="107"/>
      <c r="L6" s="22">
        <v>1</v>
      </c>
      <c r="M6" s="19"/>
      <c r="N6" s="22">
        <v>50</v>
      </c>
      <c r="O6" s="19"/>
      <c r="P6" s="22">
        <v>99</v>
      </c>
      <c r="Q6" s="19"/>
      <c r="R6" s="33">
        <v>148</v>
      </c>
      <c r="S6" s="19">
        <v>210.1</v>
      </c>
      <c r="T6" s="34">
        <v>197</v>
      </c>
      <c r="U6" s="19">
        <v>196.4</v>
      </c>
      <c r="W6" s="22">
        <v>1</v>
      </c>
      <c r="X6" s="19">
        <v>178.8</v>
      </c>
      <c r="Y6" s="22">
        <v>50</v>
      </c>
      <c r="Z6" s="19">
        <v>179.8</v>
      </c>
      <c r="AA6" s="22">
        <v>99</v>
      </c>
      <c r="AB6" s="19">
        <v>186.6</v>
      </c>
      <c r="AC6" s="33">
        <v>148</v>
      </c>
      <c r="AD6" s="19"/>
      <c r="AE6" s="34">
        <v>197</v>
      </c>
      <c r="AF6" s="19"/>
      <c r="AG6" s="107"/>
      <c r="AH6" s="22">
        <v>1</v>
      </c>
      <c r="AI6" s="19"/>
      <c r="AJ6" s="22">
        <v>50</v>
      </c>
      <c r="AK6" s="19"/>
      <c r="AL6" s="22">
        <v>99</v>
      </c>
      <c r="AM6" s="19"/>
      <c r="AN6" s="33">
        <v>148</v>
      </c>
      <c r="AO6" s="19">
        <v>210.1</v>
      </c>
      <c r="AP6" s="34">
        <v>197</v>
      </c>
      <c r="AQ6" s="19"/>
      <c r="AS6" s="22">
        <v>1</v>
      </c>
      <c r="AT6" s="19"/>
      <c r="AU6" s="22">
        <v>50</v>
      </c>
      <c r="AV6" s="19"/>
      <c r="AW6" s="22">
        <v>99</v>
      </c>
      <c r="AX6" s="19"/>
      <c r="AY6" s="33">
        <v>148</v>
      </c>
      <c r="AZ6" s="19"/>
      <c r="BA6" s="34">
        <v>197</v>
      </c>
      <c r="BB6" s="19">
        <v>196.4</v>
      </c>
    </row>
    <row r="7" spans="1:54" ht="15.75" x14ac:dyDescent="0.25">
      <c r="A7" s="22">
        <v>2</v>
      </c>
      <c r="B7" s="19">
        <v>204.4</v>
      </c>
      <c r="C7" s="22">
        <v>51</v>
      </c>
      <c r="D7" s="19">
        <v>177.1</v>
      </c>
      <c r="E7" s="22">
        <v>100</v>
      </c>
      <c r="F7" s="19">
        <v>190</v>
      </c>
      <c r="G7" s="33">
        <v>149</v>
      </c>
      <c r="H7" s="19"/>
      <c r="I7" s="33">
        <v>198</v>
      </c>
      <c r="J7" s="19"/>
      <c r="K7" s="107"/>
      <c r="L7" s="22">
        <v>2</v>
      </c>
      <c r="M7" s="19"/>
      <c r="N7" s="22">
        <v>51</v>
      </c>
      <c r="O7" s="19"/>
      <c r="P7" s="22">
        <v>100</v>
      </c>
      <c r="Q7" s="19"/>
      <c r="R7" s="33">
        <v>149</v>
      </c>
      <c r="S7" s="19">
        <v>199.5</v>
      </c>
      <c r="T7" s="33">
        <v>198</v>
      </c>
      <c r="U7" s="19">
        <v>206.9</v>
      </c>
      <c r="W7" s="22">
        <v>2</v>
      </c>
      <c r="X7" s="19">
        <v>204.4</v>
      </c>
      <c r="Y7" s="22">
        <v>51</v>
      </c>
      <c r="Z7" s="19">
        <v>177.1</v>
      </c>
      <c r="AA7" s="22">
        <v>100</v>
      </c>
      <c r="AB7" s="19">
        <v>190</v>
      </c>
      <c r="AC7" s="33">
        <v>149</v>
      </c>
      <c r="AD7" s="19"/>
      <c r="AE7" s="33">
        <v>198</v>
      </c>
      <c r="AF7" s="19"/>
      <c r="AG7" s="107"/>
      <c r="AH7" s="22">
        <v>2</v>
      </c>
      <c r="AI7" s="19"/>
      <c r="AJ7" s="22">
        <v>51</v>
      </c>
      <c r="AK7" s="19"/>
      <c r="AL7" s="22">
        <v>100</v>
      </c>
      <c r="AM7" s="19"/>
      <c r="AN7" s="33">
        <v>149</v>
      </c>
      <c r="AO7" s="19">
        <v>199.5</v>
      </c>
      <c r="AP7" s="33">
        <v>198</v>
      </c>
      <c r="AQ7" s="19"/>
      <c r="AS7" s="22">
        <v>2</v>
      </c>
      <c r="AT7" s="19"/>
      <c r="AU7" s="22">
        <v>51</v>
      </c>
      <c r="AV7" s="19"/>
      <c r="AW7" s="22">
        <v>100</v>
      </c>
      <c r="AX7" s="19"/>
      <c r="AY7" s="33">
        <v>149</v>
      </c>
      <c r="AZ7" s="19"/>
      <c r="BA7" s="33">
        <v>198</v>
      </c>
      <c r="BB7" s="19">
        <v>206.9</v>
      </c>
    </row>
    <row r="8" spans="1:54" ht="15.75" x14ac:dyDescent="0.25">
      <c r="A8" s="22">
        <v>3</v>
      </c>
      <c r="B8" s="19">
        <v>203.2</v>
      </c>
      <c r="C8" s="22">
        <v>52</v>
      </c>
      <c r="D8" s="19">
        <v>185.1</v>
      </c>
      <c r="E8" s="22">
        <f t="shared" ref="E8:E54" si="0">+E7+1</f>
        <v>101</v>
      </c>
      <c r="F8" s="19">
        <v>190.9</v>
      </c>
      <c r="G8" s="33">
        <v>150</v>
      </c>
      <c r="H8" s="19"/>
      <c r="I8" s="33">
        <v>199</v>
      </c>
      <c r="J8" s="19"/>
      <c r="K8" s="107"/>
      <c r="L8" s="22">
        <v>3</v>
      </c>
      <c r="M8" s="19"/>
      <c r="N8" s="22">
        <v>52</v>
      </c>
      <c r="O8" s="19"/>
      <c r="P8" s="22">
        <f t="shared" ref="P8:P54" si="1">+P7+1</f>
        <v>101</v>
      </c>
      <c r="Q8" s="19"/>
      <c r="R8" s="33">
        <v>150</v>
      </c>
      <c r="S8" s="19">
        <v>212</v>
      </c>
      <c r="T8" s="33">
        <v>199</v>
      </c>
      <c r="U8" s="19">
        <v>200.4</v>
      </c>
      <c r="W8" s="22">
        <v>3</v>
      </c>
      <c r="X8" s="19">
        <v>203.2</v>
      </c>
      <c r="Y8" s="22">
        <v>52</v>
      </c>
      <c r="Z8" s="19">
        <v>185.1</v>
      </c>
      <c r="AA8" s="22">
        <f t="shared" ref="AA8:AA54" si="2">+AA7+1</f>
        <v>101</v>
      </c>
      <c r="AB8" s="19">
        <v>190.9</v>
      </c>
      <c r="AC8" s="33">
        <v>150</v>
      </c>
      <c r="AD8" s="19"/>
      <c r="AE8" s="33">
        <v>199</v>
      </c>
      <c r="AF8" s="19"/>
      <c r="AG8" s="107"/>
      <c r="AH8" s="22">
        <v>3</v>
      </c>
      <c r="AI8" s="19"/>
      <c r="AJ8" s="22">
        <v>52</v>
      </c>
      <c r="AK8" s="19"/>
      <c r="AL8" s="22">
        <f t="shared" ref="AL8:AL54" si="3">+AL7+1</f>
        <v>101</v>
      </c>
      <c r="AM8" s="19"/>
      <c r="AN8" s="33">
        <v>150</v>
      </c>
      <c r="AO8" s="19">
        <v>212</v>
      </c>
      <c r="AP8" s="33">
        <v>199</v>
      </c>
      <c r="AQ8" s="19"/>
      <c r="AS8" s="22">
        <v>3</v>
      </c>
      <c r="AT8" s="19"/>
      <c r="AU8" s="22">
        <v>52</v>
      </c>
      <c r="AV8" s="19"/>
      <c r="AW8" s="22">
        <f t="shared" ref="AW8:AW54" si="4">+AW7+1</f>
        <v>101</v>
      </c>
      <c r="AX8" s="19"/>
      <c r="AY8" s="33">
        <v>150</v>
      </c>
      <c r="AZ8" s="19"/>
      <c r="BA8" s="33">
        <v>199</v>
      </c>
      <c r="BB8" s="19">
        <v>200.4</v>
      </c>
    </row>
    <row r="9" spans="1:54" ht="15.75" x14ac:dyDescent="0.25">
      <c r="A9" s="22">
        <v>4</v>
      </c>
      <c r="B9" s="19">
        <v>206.4</v>
      </c>
      <c r="C9" s="22">
        <v>53</v>
      </c>
      <c r="D9" s="19">
        <v>185.4</v>
      </c>
      <c r="E9" s="22">
        <f t="shared" si="0"/>
        <v>102</v>
      </c>
      <c r="F9" s="19">
        <v>189.2</v>
      </c>
      <c r="G9" s="33">
        <v>151</v>
      </c>
      <c r="H9" s="19"/>
      <c r="I9" s="33">
        <v>200</v>
      </c>
      <c r="J9" s="19"/>
      <c r="K9" s="107"/>
      <c r="L9" s="22">
        <v>4</v>
      </c>
      <c r="M9" s="19"/>
      <c r="N9" s="22">
        <v>53</v>
      </c>
      <c r="O9" s="19"/>
      <c r="P9" s="22">
        <f t="shared" si="1"/>
        <v>102</v>
      </c>
      <c r="Q9" s="19"/>
      <c r="R9" s="33">
        <v>151</v>
      </c>
      <c r="S9" s="19">
        <v>202.4</v>
      </c>
      <c r="T9" s="33">
        <v>200</v>
      </c>
      <c r="U9" s="19">
        <v>206.3</v>
      </c>
      <c r="W9" s="22">
        <v>4</v>
      </c>
      <c r="X9" s="19">
        <v>206.4</v>
      </c>
      <c r="Y9" s="22">
        <v>53</v>
      </c>
      <c r="Z9" s="19">
        <v>185.4</v>
      </c>
      <c r="AA9" s="22">
        <f t="shared" si="2"/>
        <v>102</v>
      </c>
      <c r="AB9" s="19">
        <v>189.2</v>
      </c>
      <c r="AC9" s="33">
        <v>151</v>
      </c>
      <c r="AD9" s="19"/>
      <c r="AE9" s="33">
        <v>200</v>
      </c>
      <c r="AF9" s="19"/>
      <c r="AG9" s="107"/>
      <c r="AH9" s="22">
        <v>4</v>
      </c>
      <c r="AI9" s="19"/>
      <c r="AJ9" s="22">
        <v>53</v>
      </c>
      <c r="AK9" s="19"/>
      <c r="AL9" s="22">
        <f t="shared" si="3"/>
        <v>102</v>
      </c>
      <c r="AM9" s="19"/>
      <c r="AN9" s="33">
        <v>151</v>
      </c>
      <c r="AO9" s="19">
        <v>202.4</v>
      </c>
      <c r="AP9" s="33">
        <v>200</v>
      </c>
      <c r="AQ9" s="19"/>
      <c r="AS9" s="22">
        <v>4</v>
      </c>
      <c r="AT9" s="19"/>
      <c r="AU9" s="22">
        <v>53</v>
      </c>
      <c r="AV9" s="19"/>
      <c r="AW9" s="22">
        <f t="shared" si="4"/>
        <v>102</v>
      </c>
      <c r="AX9" s="19"/>
      <c r="AY9" s="33">
        <v>151</v>
      </c>
      <c r="AZ9" s="19"/>
      <c r="BA9" s="33">
        <v>200</v>
      </c>
      <c r="BB9" s="19">
        <v>206.3</v>
      </c>
    </row>
    <row r="10" spans="1:54" ht="15.75" x14ac:dyDescent="0.25">
      <c r="A10" s="22">
        <v>5</v>
      </c>
      <c r="B10" s="19">
        <v>219.9</v>
      </c>
      <c r="C10" s="22">
        <v>54</v>
      </c>
      <c r="D10" s="19">
        <v>203.9</v>
      </c>
      <c r="E10" s="22">
        <f t="shared" si="0"/>
        <v>103</v>
      </c>
      <c r="F10" s="19">
        <v>180.5</v>
      </c>
      <c r="G10" s="33">
        <v>152</v>
      </c>
      <c r="H10" s="19"/>
      <c r="I10" s="33">
        <v>201</v>
      </c>
      <c r="J10" s="19"/>
      <c r="K10" s="107"/>
      <c r="L10" s="22">
        <v>5</v>
      </c>
      <c r="M10" s="19"/>
      <c r="N10" s="22">
        <v>54</v>
      </c>
      <c r="O10" s="19"/>
      <c r="P10" s="22">
        <f t="shared" si="1"/>
        <v>103</v>
      </c>
      <c r="Q10" s="19"/>
      <c r="R10" s="33">
        <v>152</v>
      </c>
      <c r="S10" s="19">
        <v>201.1</v>
      </c>
      <c r="T10" s="33">
        <v>201</v>
      </c>
      <c r="U10" s="19">
        <v>198</v>
      </c>
      <c r="W10" s="22">
        <v>5</v>
      </c>
      <c r="X10" s="19">
        <v>219.9</v>
      </c>
      <c r="Y10" s="22">
        <v>54</v>
      </c>
      <c r="Z10" s="19">
        <v>203.9</v>
      </c>
      <c r="AA10" s="22">
        <f t="shared" si="2"/>
        <v>103</v>
      </c>
      <c r="AB10" s="19">
        <v>180.5</v>
      </c>
      <c r="AC10" s="33">
        <v>152</v>
      </c>
      <c r="AD10" s="19"/>
      <c r="AE10" s="33">
        <v>201</v>
      </c>
      <c r="AF10" s="19"/>
      <c r="AG10" s="107"/>
      <c r="AH10" s="22">
        <v>5</v>
      </c>
      <c r="AI10" s="19"/>
      <c r="AJ10" s="22">
        <v>54</v>
      </c>
      <c r="AK10" s="19"/>
      <c r="AL10" s="22">
        <f t="shared" si="3"/>
        <v>103</v>
      </c>
      <c r="AM10" s="19"/>
      <c r="AN10" s="33">
        <v>152</v>
      </c>
      <c r="AO10" s="19">
        <v>201.1</v>
      </c>
      <c r="AP10" s="33">
        <v>201</v>
      </c>
      <c r="AQ10" s="19"/>
      <c r="AS10" s="22">
        <v>5</v>
      </c>
      <c r="AT10" s="19"/>
      <c r="AU10" s="22">
        <v>54</v>
      </c>
      <c r="AV10" s="19"/>
      <c r="AW10" s="22">
        <f t="shared" si="4"/>
        <v>103</v>
      </c>
      <c r="AX10" s="19"/>
      <c r="AY10" s="33">
        <v>152</v>
      </c>
      <c r="AZ10" s="19"/>
      <c r="BA10" s="33">
        <v>201</v>
      </c>
      <c r="BB10" s="19">
        <v>198</v>
      </c>
    </row>
    <row r="11" spans="1:54" ht="15.75" x14ac:dyDescent="0.25">
      <c r="A11" s="22">
        <v>6</v>
      </c>
      <c r="B11" s="19">
        <v>196.9</v>
      </c>
      <c r="C11" s="22">
        <v>55</v>
      </c>
      <c r="D11" s="19">
        <v>182.7</v>
      </c>
      <c r="E11" s="22">
        <f t="shared" si="0"/>
        <v>104</v>
      </c>
      <c r="F11" s="19">
        <v>187.4</v>
      </c>
      <c r="G11" s="33">
        <v>153</v>
      </c>
      <c r="H11" s="19"/>
      <c r="I11" s="33">
        <v>202</v>
      </c>
      <c r="J11" s="19"/>
      <c r="K11" s="107"/>
      <c r="L11" s="22">
        <v>6</v>
      </c>
      <c r="M11" s="19"/>
      <c r="N11" s="22">
        <v>55</v>
      </c>
      <c r="O11" s="19"/>
      <c r="P11" s="22">
        <f t="shared" si="1"/>
        <v>104</v>
      </c>
      <c r="Q11" s="19"/>
      <c r="R11" s="33">
        <v>153</v>
      </c>
      <c r="S11" s="19">
        <v>207.5</v>
      </c>
      <c r="T11" s="33">
        <v>202</v>
      </c>
      <c r="U11" s="19">
        <v>204.1</v>
      </c>
      <c r="W11" s="22">
        <v>6</v>
      </c>
      <c r="X11" s="19">
        <v>196.9</v>
      </c>
      <c r="Y11" s="22">
        <v>55</v>
      </c>
      <c r="Z11" s="19">
        <v>182.7</v>
      </c>
      <c r="AA11" s="22">
        <f t="shared" si="2"/>
        <v>104</v>
      </c>
      <c r="AB11" s="19">
        <v>187.4</v>
      </c>
      <c r="AC11" s="33">
        <v>153</v>
      </c>
      <c r="AD11" s="19"/>
      <c r="AE11" s="33">
        <v>202</v>
      </c>
      <c r="AF11" s="19"/>
      <c r="AG11" s="107"/>
      <c r="AH11" s="22">
        <v>6</v>
      </c>
      <c r="AI11" s="19"/>
      <c r="AJ11" s="22">
        <v>55</v>
      </c>
      <c r="AK11" s="19"/>
      <c r="AL11" s="22">
        <f t="shared" si="3"/>
        <v>104</v>
      </c>
      <c r="AM11" s="19"/>
      <c r="AN11" s="33">
        <v>153</v>
      </c>
      <c r="AO11" s="19">
        <v>207.5</v>
      </c>
      <c r="AP11" s="33">
        <v>202</v>
      </c>
      <c r="AQ11" s="19"/>
      <c r="AS11" s="22">
        <v>6</v>
      </c>
      <c r="AT11" s="19"/>
      <c r="AU11" s="22">
        <v>55</v>
      </c>
      <c r="AV11" s="19"/>
      <c r="AW11" s="22">
        <f t="shared" si="4"/>
        <v>104</v>
      </c>
      <c r="AX11" s="19"/>
      <c r="AY11" s="33">
        <v>153</v>
      </c>
      <c r="AZ11" s="19"/>
      <c r="BA11" s="33">
        <v>202</v>
      </c>
      <c r="BB11" s="19">
        <v>204.1</v>
      </c>
    </row>
    <row r="12" spans="1:54" ht="15.75" x14ac:dyDescent="0.25">
      <c r="A12" s="22">
        <v>7</v>
      </c>
      <c r="B12" s="19">
        <v>200.2</v>
      </c>
      <c r="C12" s="22">
        <v>56</v>
      </c>
      <c r="D12" s="19">
        <v>186.2</v>
      </c>
      <c r="E12" s="22">
        <f t="shared" si="0"/>
        <v>105</v>
      </c>
      <c r="F12" s="19">
        <v>189.3</v>
      </c>
      <c r="G12" s="33">
        <v>154</v>
      </c>
      <c r="H12" s="19"/>
      <c r="I12" s="33">
        <v>203</v>
      </c>
      <c r="J12" s="19"/>
      <c r="K12" s="107"/>
      <c r="L12" s="22">
        <v>7</v>
      </c>
      <c r="M12" s="19"/>
      <c r="N12" s="22">
        <v>56</v>
      </c>
      <c r="O12" s="19"/>
      <c r="P12" s="22">
        <f t="shared" si="1"/>
        <v>105</v>
      </c>
      <c r="Q12" s="19"/>
      <c r="R12" s="33">
        <v>154</v>
      </c>
      <c r="S12" s="19">
        <v>203</v>
      </c>
      <c r="T12" s="33">
        <v>203</v>
      </c>
      <c r="U12" s="19">
        <v>201.1</v>
      </c>
      <c r="W12" s="22">
        <v>7</v>
      </c>
      <c r="X12" s="19">
        <v>200.2</v>
      </c>
      <c r="Y12" s="22">
        <v>56</v>
      </c>
      <c r="Z12" s="19">
        <v>186.2</v>
      </c>
      <c r="AA12" s="22">
        <f t="shared" si="2"/>
        <v>105</v>
      </c>
      <c r="AB12" s="19">
        <v>189.3</v>
      </c>
      <c r="AC12" s="33">
        <v>154</v>
      </c>
      <c r="AD12" s="19"/>
      <c r="AE12" s="33">
        <v>203</v>
      </c>
      <c r="AF12" s="19"/>
      <c r="AG12" s="107"/>
      <c r="AH12" s="22">
        <v>7</v>
      </c>
      <c r="AI12" s="19"/>
      <c r="AJ12" s="22">
        <v>56</v>
      </c>
      <c r="AK12" s="19"/>
      <c r="AL12" s="22">
        <f t="shared" si="3"/>
        <v>105</v>
      </c>
      <c r="AM12" s="19"/>
      <c r="AN12" s="33">
        <v>154</v>
      </c>
      <c r="AO12" s="19">
        <v>203</v>
      </c>
      <c r="AP12" s="33">
        <v>203</v>
      </c>
      <c r="AQ12" s="19"/>
      <c r="AS12" s="22">
        <v>7</v>
      </c>
      <c r="AT12" s="19"/>
      <c r="AU12" s="22">
        <v>56</v>
      </c>
      <c r="AV12" s="19"/>
      <c r="AW12" s="22">
        <f t="shared" si="4"/>
        <v>105</v>
      </c>
      <c r="AX12" s="19"/>
      <c r="AY12" s="33">
        <v>154</v>
      </c>
      <c r="AZ12" s="19"/>
      <c r="BA12" s="33">
        <v>203</v>
      </c>
      <c r="BB12" s="19">
        <v>201.1</v>
      </c>
    </row>
    <row r="13" spans="1:54" ht="15.75" x14ac:dyDescent="0.25">
      <c r="A13" s="22">
        <v>8</v>
      </c>
      <c r="B13" s="19">
        <v>198.3</v>
      </c>
      <c r="C13" s="22">
        <v>57</v>
      </c>
      <c r="D13" s="19">
        <v>186.4</v>
      </c>
      <c r="E13" s="22">
        <f t="shared" si="0"/>
        <v>106</v>
      </c>
      <c r="F13" s="19">
        <v>185.2</v>
      </c>
      <c r="G13" s="33">
        <v>155</v>
      </c>
      <c r="H13" s="19"/>
      <c r="I13" s="33">
        <v>204</v>
      </c>
      <c r="J13" s="19"/>
      <c r="K13" s="107"/>
      <c r="L13" s="22">
        <v>8</v>
      </c>
      <c r="M13" s="19"/>
      <c r="N13" s="22">
        <v>57</v>
      </c>
      <c r="O13" s="19"/>
      <c r="P13" s="22">
        <f t="shared" si="1"/>
        <v>106</v>
      </c>
      <c r="Q13" s="19"/>
      <c r="R13" s="33">
        <v>155</v>
      </c>
      <c r="S13" s="19">
        <v>206.3</v>
      </c>
      <c r="T13" s="33">
        <v>204</v>
      </c>
      <c r="U13" s="19">
        <v>200.9</v>
      </c>
      <c r="W13" s="22">
        <v>8</v>
      </c>
      <c r="X13" s="19">
        <v>198.3</v>
      </c>
      <c r="Y13" s="22">
        <v>57</v>
      </c>
      <c r="Z13" s="19">
        <v>186.4</v>
      </c>
      <c r="AA13" s="22">
        <f t="shared" si="2"/>
        <v>106</v>
      </c>
      <c r="AB13" s="19">
        <v>185.2</v>
      </c>
      <c r="AC13" s="33">
        <v>155</v>
      </c>
      <c r="AD13" s="19"/>
      <c r="AE13" s="33">
        <v>204</v>
      </c>
      <c r="AF13" s="19"/>
      <c r="AG13" s="107"/>
      <c r="AH13" s="22">
        <v>8</v>
      </c>
      <c r="AI13" s="19"/>
      <c r="AJ13" s="22">
        <v>57</v>
      </c>
      <c r="AK13" s="19"/>
      <c r="AL13" s="22">
        <f t="shared" si="3"/>
        <v>106</v>
      </c>
      <c r="AM13" s="19"/>
      <c r="AN13" s="33">
        <v>155</v>
      </c>
      <c r="AO13" s="19">
        <v>206.3</v>
      </c>
      <c r="AP13" s="33">
        <v>204</v>
      </c>
      <c r="AQ13" s="19"/>
      <c r="AS13" s="22">
        <v>8</v>
      </c>
      <c r="AT13" s="19"/>
      <c r="AU13" s="22">
        <v>57</v>
      </c>
      <c r="AV13" s="19"/>
      <c r="AW13" s="22">
        <f t="shared" si="4"/>
        <v>106</v>
      </c>
      <c r="AX13" s="19"/>
      <c r="AY13" s="33">
        <v>155</v>
      </c>
      <c r="AZ13" s="19"/>
      <c r="BA13" s="33">
        <v>204</v>
      </c>
      <c r="BB13" s="19">
        <v>200.9</v>
      </c>
    </row>
    <row r="14" spans="1:54" ht="15.75" x14ac:dyDescent="0.25">
      <c r="A14" s="22">
        <v>9</v>
      </c>
      <c r="B14" s="19">
        <v>200.4</v>
      </c>
      <c r="C14" s="22">
        <v>58</v>
      </c>
      <c r="D14" s="19">
        <v>186.3</v>
      </c>
      <c r="E14" s="22">
        <f t="shared" si="0"/>
        <v>107</v>
      </c>
      <c r="F14" s="19">
        <v>182.6</v>
      </c>
      <c r="G14" s="33">
        <v>156</v>
      </c>
      <c r="H14" s="19"/>
      <c r="I14" s="33">
        <v>205</v>
      </c>
      <c r="J14" s="19"/>
      <c r="K14" s="107"/>
      <c r="L14" s="22">
        <v>9</v>
      </c>
      <c r="M14" s="19"/>
      <c r="N14" s="22">
        <v>58</v>
      </c>
      <c r="O14" s="19"/>
      <c r="P14" s="22">
        <f t="shared" si="1"/>
        <v>107</v>
      </c>
      <c r="Q14" s="19"/>
      <c r="R14" s="33">
        <v>156</v>
      </c>
      <c r="S14" s="19">
        <v>207.4</v>
      </c>
      <c r="T14" s="33">
        <v>205</v>
      </c>
      <c r="U14" s="19">
        <v>204.7</v>
      </c>
      <c r="W14" s="22">
        <v>9</v>
      </c>
      <c r="X14" s="19">
        <v>200.4</v>
      </c>
      <c r="Y14" s="22">
        <v>58</v>
      </c>
      <c r="Z14" s="19">
        <v>186.3</v>
      </c>
      <c r="AA14" s="22">
        <f t="shared" si="2"/>
        <v>107</v>
      </c>
      <c r="AB14" s="19">
        <v>182.6</v>
      </c>
      <c r="AC14" s="33">
        <v>156</v>
      </c>
      <c r="AD14" s="19"/>
      <c r="AE14" s="33">
        <v>205</v>
      </c>
      <c r="AF14" s="19"/>
      <c r="AG14" s="107"/>
      <c r="AH14" s="22">
        <v>9</v>
      </c>
      <c r="AI14" s="19"/>
      <c r="AJ14" s="22">
        <v>58</v>
      </c>
      <c r="AK14" s="19"/>
      <c r="AL14" s="22">
        <f t="shared" si="3"/>
        <v>107</v>
      </c>
      <c r="AM14" s="19"/>
      <c r="AN14" s="33">
        <v>156</v>
      </c>
      <c r="AO14" s="19">
        <v>207.4</v>
      </c>
      <c r="AP14" s="33">
        <v>205</v>
      </c>
      <c r="AQ14" s="19"/>
      <c r="AS14" s="22">
        <v>9</v>
      </c>
      <c r="AT14" s="19"/>
      <c r="AU14" s="22">
        <v>58</v>
      </c>
      <c r="AV14" s="19"/>
      <c r="AW14" s="22">
        <f t="shared" si="4"/>
        <v>107</v>
      </c>
      <c r="AX14" s="19"/>
      <c r="AY14" s="33">
        <v>156</v>
      </c>
      <c r="AZ14" s="19"/>
      <c r="BA14" s="33">
        <v>205</v>
      </c>
      <c r="BB14" s="19">
        <v>204.7</v>
      </c>
    </row>
    <row r="15" spans="1:54" ht="15.75" x14ac:dyDescent="0.25">
      <c r="A15" s="22">
        <v>10</v>
      </c>
      <c r="B15" s="19">
        <v>198.4</v>
      </c>
      <c r="C15" s="22">
        <v>59</v>
      </c>
      <c r="D15" s="19">
        <v>197.5</v>
      </c>
      <c r="E15" s="22">
        <f t="shared" si="0"/>
        <v>108</v>
      </c>
      <c r="F15" s="19">
        <v>186.4</v>
      </c>
      <c r="G15" s="33">
        <v>157</v>
      </c>
      <c r="H15" s="19"/>
      <c r="I15" s="33">
        <v>206</v>
      </c>
      <c r="J15" s="19"/>
      <c r="K15" s="107"/>
      <c r="L15" s="22">
        <v>10</v>
      </c>
      <c r="M15" s="19"/>
      <c r="N15" s="22">
        <v>59</v>
      </c>
      <c r="O15" s="19"/>
      <c r="P15" s="22">
        <f t="shared" si="1"/>
        <v>108</v>
      </c>
      <c r="Q15" s="19"/>
      <c r="R15" s="33">
        <v>157</v>
      </c>
      <c r="S15" s="19">
        <v>209.4</v>
      </c>
      <c r="T15" s="33">
        <v>206</v>
      </c>
      <c r="U15" s="19">
        <v>196</v>
      </c>
      <c r="W15" s="22">
        <v>10</v>
      </c>
      <c r="X15" s="19">
        <v>198.4</v>
      </c>
      <c r="Y15" s="22">
        <v>59</v>
      </c>
      <c r="Z15" s="19">
        <v>197.5</v>
      </c>
      <c r="AA15" s="22">
        <f t="shared" si="2"/>
        <v>108</v>
      </c>
      <c r="AB15" s="19">
        <v>186.4</v>
      </c>
      <c r="AC15" s="33">
        <v>157</v>
      </c>
      <c r="AD15" s="19"/>
      <c r="AE15" s="33">
        <v>206</v>
      </c>
      <c r="AF15" s="19"/>
      <c r="AG15" s="107"/>
      <c r="AH15" s="22">
        <v>10</v>
      </c>
      <c r="AI15" s="19"/>
      <c r="AJ15" s="22">
        <v>59</v>
      </c>
      <c r="AK15" s="19"/>
      <c r="AL15" s="22">
        <f t="shared" si="3"/>
        <v>108</v>
      </c>
      <c r="AM15" s="19"/>
      <c r="AN15" s="33">
        <v>157</v>
      </c>
      <c r="AO15" s="19">
        <v>209.4</v>
      </c>
      <c r="AP15" s="33">
        <v>206</v>
      </c>
      <c r="AQ15" s="19"/>
      <c r="AS15" s="22">
        <v>10</v>
      </c>
      <c r="AT15" s="19"/>
      <c r="AU15" s="22">
        <v>59</v>
      </c>
      <c r="AV15" s="19"/>
      <c r="AW15" s="22">
        <f t="shared" si="4"/>
        <v>108</v>
      </c>
      <c r="AX15" s="19"/>
      <c r="AY15" s="33">
        <v>157</v>
      </c>
      <c r="AZ15" s="19"/>
      <c r="BA15" s="33">
        <v>206</v>
      </c>
      <c r="BB15" s="19">
        <v>196</v>
      </c>
    </row>
    <row r="16" spans="1:54" ht="15.75" x14ac:dyDescent="0.25">
      <c r="A16" s="22">
        <v>11</v>
      </c>
      <c r="B16" s="19">
        <v>201.6</v>
      </c>
      <c r="C16" s="22">
        <v>60</v>
      </c>
      <c r="D16" s="19">
        <v>194.5</v>
      </c>
      <c r="E16" s="22">
        <f t="shared" si="0"/>
        <v>109</v>
      </c>
      <c r="F16" s="19">
        <v>185.8</v>
      </c>
      <c r="G16" s="33">
        <v>158</v>
      </c>
      <c r="H16" s="19"/>
      <c r="I16" s="33">
        <v>207</v>
      </c>
      <c r="J16" s="19"/>
      <c r="K16" s="107"/>
      <c r="L16" s="22">
        <v>11</v>
      </c>
      <c r="M16" s="19"/>
      <c r="N16" s="22">
        <v>60</v>
      </c>
      <c r="O16" s="19"/>
      <c r="P16" s="22">
        <f t="shared" si="1"/>
        <v>109</v>
      </c>
      <c r="Q16" s="19"/>
      <c r="R16" s="33">
        <v>158</v>
      </c>
      <c r="S16" s="19">
        <v>195.3</v>
      </c>
      <c r="T16" s="33">
        <v>207</v>
      </c>
      <c r="U16" s="19">
        <v>205</v>
      </c>
      <c r="W16" s="22">
        <v>11</v>
      </c>
      <c r="X16" s="19">
        <v>201.6</v>
      </c>
      <c r="Y16" s="22">
        <v>60</v>
      </c>
      <c r="Z16" s="19">
        <v>194.5</v>
      </c>
      <c r="AA16" s="22">
        <f t="shared" si="2"/>
        <v>109</v>
      </c>
      <c r="AB16" s="19">
        <v>185.8</v>
      </c>
      <c r="AC16" s="33">
        <v>158</v>
      </c>
      <c r="AD16" s="19"/>
      <c r="AE16" s="33">
        <v>207</v>
      </c>
      <c r="AF16" s="19"/>
      <c r="AG16" s="107"/>
      <c r="AH16" s="22">
        <v>11</v>
      </c>
      <c r="AI16" s="19"/>
      <c r="AJ16" s="22">
        <v>60</v>
      </c>
      <c r="AK16" s="19"/>
      <c r="AL16" s="22">
        <f t="shared" si="3"/>
        <v>109</v>
      </c>
      <c r="AM16" s="19"/>
      <c r="AN16" s="33">
        <v>158</v>
      </c>
      <c r="AO16" s="19">
        <v>195.3</v>
      </c>
      <c r="AP16" s="33">
        <v>207</v>
      </c>
      <c r="AQ16" s="19"/>
      <c r="AS16" s="22">
        <v>11</v>
      </c>
      <c r="AT16" s="19"/>
      <c r="AU16" s="22">
        <v>60</v>
      </c>
      <c r="AV16" s="19"/>
      <c r="AW16" s="22">
        <f t="shared" si="4"/>
        <v>109</v>
      </c>
      <c r="AX16" s="19"/>
      <c r="AY16" s="33">
        <v>158</v>
      </c>
      <c r="AZ16" s="19"/>
      <c r="BA16" s="33">
        <v>207</v>
      </c>
      <c r="BB16" s="19">
        <v>205</v>
      </c>
    </row>
    <row r="17" spans="1:54" ht="15.75" x14ac:dyDescent="0.25">
      <c r="A17" s="22">
        <v>12</v>
      </c>
      <c r="B17" s="19">
        <v>198.4</v>
      </c>
      <c r="C17" s="22">
        <v>61</v>
      </c>
      <c r="D17" s="19">
        <v>196.7</v>
      </c>
      <c r="E17" s="22">
        <f t="shared" si="0"/>
        <v>110</v>
      </c>
      <c r="F17" s="19">
        <v>178.6</v>
      </c>
      <c r="G17" s="33">
        <v>159</v>
      </c>
      <c r="H17" s="19"/>
      <c r="I17" s="33">
        <v>208</v>
      </c>
      <c r="J17" s="19"/>
      <c r="K17" s="107"/>
      <c r="L17" s="22">
        <v>12</v>
      </c>
      <c r="M17" s="19"/>
      <c r="N17" s="22">
        <v>61</v>
      </c>
      <c r="O17" s="19"/>
      <c r="P17" s="22">
        <f t="shared" si="1"/>
        <v>110</v>
      </c>
      <c r="Q17" s="19"/>
      <c r="R17" s="33">
        <v>159</v>
      </c>
      <c r="S17" s="19">
        <v>207.4</v>
      </c>
      <c r="T17" s="33">
        <v>208</v>
      </c>
      <c r="U17" s="19">
        <v>205.8</v>
      </c>
      <c r="W17" s="22">
        <v>12</v>
      </c>
      <c r="X17" s="19">
        <v>198.4</v>
      </c>
      <c r="Y17" s="22">
        <v>61</v>
      </c>
      <c r="Z17" s="19">
        <v>196.7</v>
      </c>
      <c r="AA17" s="22">
        <f t="shared" si="2"/>
        <v>110</v>
      </c>
      <c r="AB17" s="19">
        <v>178.6</v>
      </c>
      <c r="AC17" s="33">
        <v>159</v>
      </c>
      <c r="AD17" s="19"/>
      <c r="AE17" s="33">
        <v>208</v>
      </c>
      <c r="AF17" s="19"/>
      <c r="AG17" s="107"/>
      <c r="AH17" s="22">
        <v>12</v>
      </c>
      <c r="AI17" s="19"/>
      <c r="AJ17" s="22">
        <v>61</v>
      </c>
      <c r="AK17" s="19"/>
      <c r="AL17" s="22">
        <f t="shared" si="3"/>
        <v>110</v>
      </c>
      <c r="AM17" s="19"/>
      <c r="AN17" s="33">
        <v>159</v>
      </c>
      <c r="AO17" s="19">
        <v>207.4</v>
      </c>
      <c r="AP17" s="33">
        <v>208</v>
      </c>
      <c r="AQ17" s="19"/>
      <c r="AS17" s="22">
        <v>12</v>
      </c>
      <c r="AT17" s="19"/>
      <c r="AU17" s="22">
        <v>61</v>
      </c>
      <c r="AV17" s="19"/>
      <c r="AW17" s="22">
        <f t="shared" si="4"/>
        <v>110</v>
      </c>
      <c r="AX17" s="19"/>
      <c r="AY17" s="33">
        <v>159</v>
      </c>
      <c r="AZ17" s="19"/>
      <c r="BA17" s="33">
        <v>208</v>
      </c>
      <c r="BB17" s="19">
        <v>205.8</v>
      </c>
    </row>
    <row r="18" spans="1:54" ht="15.75" x14ac:dyDescent="0.25">
      <c r="A18" s="22">
        <v>13</v>
      </c>
      <c r="B18" s="19">
        <v>198.8</v>
      </c>
      <c r="C18" s="22">
        <v>62</v>
      </c>
      <c r="D18" s="19">
        <v>194.7</v>
      </c>
      <c r="E18" s="22">
        <f t="shared" si="0"/>
        <v>111</v>
      </c>
      <c r="F18" s="19">
        <v>186</v>
      </c>
      <c r="G18" s="33">
        <v>160</v>
      </c>
      <c r="H18" s="19"/>
      <c r="I18" s="33">
        <v>209</v>
      </c>
      <c r="J18" s="19"/>
      <c r="K18" s="107"/>
      <c r="L18" s="22">
        <v>13</v>
      </c>
      <c r="M18" s="19"/>
      <c r="N18" s="22">
        <v>62</v>
      </c>
      <c r="O18" s="19"/>
      <c r="P18" s="22">
        <f t="shared" si="1"/>
        <v>111</v>
      </c>
      <c r="Q18" s="19"/>
      <c r="R18" s="33">
        <v>160</v>
      </c>
      <c r="S18" s="19">
        <v>196.7</v>
      </c>
      <c r="T18" s="33">
        <v>209</v>
      </c>
      <c r="U18" s="19">
        <v>209.7</v>
      </c>
      <c r="W18" s="22">
        <v>13</v>
      </c>
      <c r="X18" s="19">
        <v>198.8</v>
      </c>
      <c r="Y18" s="22">
        <v>62</v>
      </c>
      <c r="Z18" s="19">
        <v>194.7</v>
      </c>
      <c r="AA18" s="22">
        <f t="shared" si="2"/>
        <v>111</v>
      </c>
      <c r="AB18" s="19">
        <v>186</v>
      </c>
      <c r="AC18" s="33">
        <v>160</v>
      </c>
      <c r="AD18" s="19"/>
      <c r="AE18" s="33">
        <v>209</v>
      </c>
      <c r="AF18" s="19"/>
      <c r="AG18" s="107"/>
      <c r="AH18" s="22">
        <v>13</v>
      </c>
      <c r="AI18" s="19"/>
      <c r="AJ18" s="22">
        <v>62</v>
      </c>
      <c r="AK18" s="19"/>
      <c r="AL18" s="22">
        <f t="shared" si="3"/>
        <v>111</v>
      </c>
      <c r="AM18" s="19"/>
      <c r="AN18" s="33">
        <v>160</v>
      </c>
      <c r="AO18" s="19">
        <v>196.7</v>
      </c>
      <c r="AP18" s="33">
        <v>209</v>
      </c>
      <c r="AQ18" s="19"/>
      <c r="AS18" s="22">
        <v>13</v>
      </c>
      <c r="AT18" s="19"/>
      <c r="AU18" s="22">
        <v>62</v>
      </c>
      <c r="AV18" s="19"/>
      <c r="AW18" s="22">
        <f t="shared" si="4"/>
        <v>111</v>
      </c>
      <c r="AX18" s="19"/>
      <c r="AY18" s="33">
        <v>160</v>
      </c>
      <c r="AZ18" s="19"/>
      <c r="BA18" s="33">
        <v>209</v>
      </c>
      <c r="BB18" s="19">
        <v>209.7</v>
      </c>
    </row>
    <row r="19" spans="1:54" ht="15.75" x14ac:dyDescent="0.25">
      <c r="A19" s="22">
        <v>14</v>
      </c>
      <c r="B19" s="19">
        <v>199.3</v>
      </c>
      <c r="C19" s="22">
        <v>63</v>
      </c>
      <c r="D19" s="19">
        <v>185.7</v>
      </c>
      <c r="E19" s="22">
        <f t="shared" si="0"/>
        <v>112</v>
      </c>
      <c r="F19" s="19">
        <v>183.5</v>
      </c>
      <c r="G19" s="33">
        <v>161</v>
      </c>
      <c r="H19" s="19"/>
      <c r="I19" s="33">
        <v>210</v>
      </c>
      <c r="J19" s="19"/>
      <c r="K19" s="107"/>
      <c r="L19" s="22">
        <v>14</v>
      </c>
      <c r="M19" s="19"/>
      <c r="N19" s="22">
        <v>63</v>
      </c>
      <c r="O19" s="19"/>
      <c r="P19" s="22">
        <f t="shared" si="1"/>
        <v>112</v>
      </c>
      <c r="Q19" s="19"/>
      <c r="R19" s="33">
        <v>161</v>
      </c>
      <c r="S19" s="19">
        <v>203</v>
      </c>
      <c r="T19" s="33">
        <v>210</v>
      </c>
      <c r="U19" s="19">
        <v>205.3</v>
      </c>
      <c r="W19" s="22">
        <v>14</v>
      </c>
      <c r="X19" s="19">
        <v>199.3</v>
      </c>
      <c r="Y19" s="22">
        <v>63</v>
      </c>
      <c r="Z19" s="19">
        <v>185.7</v>
      </c>
      <c r="AA19" s="22">
        <f t="shared" si="2"/>
        <v>112</v>
      </c>
      <c r="AB19" s="19">
        <v>183.5</v>
      </c>
      <c r="AC19" s="33">
        <v>161</v>
      </c>
      <c r="AD19" s="19"/>
      <c r="AE19" s="33">
        <v>210</v>
      </c>
      <c r="AF19" s="19"/>
      <c r="AG19" s="107"/>
      <c r="AH19" s="22">
        <v>14</v>
      </c>
      <c r="AI19" s="19"/>
      <c r="AJ19" s="22">
        <v>63</v>
      </c>
      <c r="AK19" s="19"/>
      <c r="AL19" s="22">
        <f t="shared" si="3"/>
        <v>112</v>
      </c>
      <c r="AM19" s="19"/>
      <c r="AN19" s="33">
        <v>161</v>
      </c>
      <c r="AO19" s="19">
        <v>203</v>
      </c>
      <c r="AP19" s="33">
        <v>210</v>
      </c>
      <c r="AQ19" s="19"/>
      <c r="AS19" s="22">
        <v>14</v>
      </c>
      <c r="AT19" s="19"/>
      <c r="AU19" s="22">
        <v>63</v>
      </c>
      <c r="AV19" s="19"/>
      <c r="AW19" s="22">
        <f t="shared" si="4"/>
        <v>112</v>
      </c>
      <c r="AX19" s="19"/>
      <c r="AY19" s="33">
        <v>161</v>
      </c>
      <c r="AZ19" s="19"/>
      <c r="BA19" s="33">
        <v>210</v>
      </c>
      <c r="BB19" s="19">
        <v>205.3</v>
      </c>
    </row>
    <row r="20" spans="1:54" ht="15.75" x14ac:dyDescent="0.25">
      <c r="A20" s="22">
        <v>15</v>
      </c>
      <c r="B20" s="19">
        <v>193.7</v>
      </c>
      <c r="C20" s="22">
        <v>64</v>
      </c>
      <c r="D20" s="19">
        <v>191.2</v>
      </c>
      <c r="E20" s="22">
        <f t="shared" si="0"/>
        <v>113</v>
      </c>
      <c r="F20" s="19">
        <v>186.6</v>
      </c>
      <c r="G20" s="35">
        <v>162</v>
      </c>
      <c r="H20" s="19"/>
      <c r="I20" s="33">
        <v>211</v>
      </c>
      <c r="J20" s="19"/>
      <c r="K20" s="107"/>
      <c r="L20" s="22">
        <v>15</v>
      </c>
      <c r="M20" s="19"/>
      <c r="N20" s="22">
        <v>64</v>
      </c>
      <c r="O20" s="19"/>
      <c r="P20" s="22">
        <f t="shared" si="1"/>
        <v>113</v>
      </c>
      <c r="Q20" s="19"/>
      <c r="R20" s="35">
        <v>162</v>
      </c>
      <c r="S20" s="19">
        <v>210.5</v>
      </c>
      <c r="T20" s="33">
        <v>211</v>
      </c>
      <c r="U20" s="19">
        <v>199.7</v>
      </c>
      <c r="W20" s="22">
        <v>15</v>
      </c>
      <c r="X20" s="19">
        <v>193.7</v>
      </c>
      <c r="Y20" s="22">
        <v>64</v>
      </c>
      <c r="Z20" s="19">
        <v>191.2</v>
      </c>
      <c r="AA20" s="22">
        <f t="shared" si="2"/>
        <v>113</v>
      </c>
      <c r="AB20" s="19">
        <v>186.6</v>
      </c>
      <c r="AC20" s="35">
        <v>162</v>
      </c>
      <c r="AD20" s="19"/>
      <c r="AE20" s="33">
        <v>211</v>
      </c>
      <c r="AF20" s="19"/>
      <c r="AG20" s="107"/>
      <c r="AH20" s="22">
        <v>15</v>
      </c>
      <c r="AI20" s="19"/>
      <c r="AJ20" s="22">
        <v>64</v>
      </c>
      <c r="AK20" s="19"/>
      <c r="AL20" s="22">
        <f t="shared" si="3"/>
        <v>113</v>
      </c>
      <c r="AM20" s="19"/>
      <c r="AN20" s="35">
        <v>162</v>
      </c>
      <c r="AO20" s="19">
        <v>210.5</v>
      </c>
      <c r="AP20" s="33">
        <v>211</v>
      </c>
      <c r="AQ20" s="19"/>
      <c r="AS20" s="22">
        <v>15</v>
      </c>
      <c r="AT20" s="19"/>
      <c r="AU20" s="22">
        <v>64</v>
      </c>
      <c r="AV20" s="19"/>
      <c r="AW20" s="22">
        <f t="shared" si="4"/>
        <v>113</v>
      </c>
      <c r="AX20" s="19"/>
      <c r="AY20" s="35">
        <v>162</v>
      </c>
      <c r="AZ20" s="19"/>
      <c r="BA20" s="33">
        <v>211</v>
      </c>
      <c r="BB20" s="19">
        <v>199.7</v>
      </c>
    </row>
    <row r="21" spans="1:54" ht="15.75" x14ac:dyDescent="0.25">
      <c r="A21" s="22">
        <v>16</v>
      </c>
      <c r="B21" s="19">
        <v>202.4</v>
      </c>
      <c r="C21" s="22">
        <v>65</v>
      </c>
      <c r="D21" s="19">
        <v>184.3</v>
      </c>
      <c r="E21" s="22">
        <f t="shared" si="0"/>
        <v>114</v>
      </c>
      <c r="F21" s="19">
        <v>185.8</v>
      </c>
      <c r="G21" s="35">
        <v>163</v>
      </c>
      <c r="H21" s="19"/>
      <c r="I21" s="33">
        <v>212</v>
      </c>
      <c r="J21" s="19"/>
      <c r="K21" s="107"/>
      <c r="L21" s="22">
        <v>16</v>
      </c>
      <c r="M21" s="19"/>
      <c r="N21" s="22">
        <v>65</v>
      </c>
      <c r="O21" s="19"/>
      <c r="P21" s="22">
        <f t="shared" si="1"/>
        <v>114</v>
      </c>
      <c r="Q21" s="19"/>
      <c r="R21" s="35">
        <v>163</v>
      </c>
      <c r="S21" s="19">
        <v>197.5</v>
      </c>
      <c r="T21" s="33">
        <v>212</v>
      </c>
      <c r="U21" s="19">
        <v>206.2</v>
      </c>
      <c r="W21" s="22">
        <v>16</v>
      </c>
      <c r="X21" s="19">
        <v>202.4</v>
      </c>
      <c r="Y21" s="22">
        <v>65</v>
      </c>
      <c r="Z21" s="19">
        <v>184.3</v>
      </c>
      <c r="AA21" s="22">
        <f t="shared" si="2"/>
        <v>114</v>
      </c>
      <c r="AB21" s="19">
        <v>185.8</v>
      </c>
      <c r="AC21" s="35">
        <v>163</v>
      </c>
      <c r="AD21" s="19"/>
      <c r="AE21" s="33">
        <v>212</v>
      </c>
      <c r="AF21" s="19"/>
      <c r="AG21" s="107"/>
      <c r="AH21" s="22">
        <v>16</v>
      </c>
      <c r="AI21" s="19"/>
      <c r="AJ21" s="22">
        <v>65</v>
      </c>
      <c r="AK21" s="19"/>
      <c r="AL21" s="22">
        <f t="shared" si="3"/>
        <v>114</v>
      </c>
      <c r="AM21" s="19"/>
      <c r="AN21" s="35">
        <v>163</v>
      </c>
      <c r="AO21" s="19">
        <v>197.5</v>
      </c>
      <c r="AP21" s="33">
        <v>212</v>
      </c>
      <c r="AQ21" s="19"/>
      <c r="AS21" s="22">
        <v>16</v>
      </c>
      <c r="AT21" s="19"/>
      <c r="AU21" s="22">
        <v>65</v>
      </c>
      <c r="AV21" s="19"/>
      <c r="AW21" s="22">
        <f t="shared" si="4"/>
        <v>114</v>
      </c>
      <c r="AX21" s="19"/>
      <c r="AY21" s="35">
        <v>163</v>
      </c>
      <c r="AZ21" s="19"/>
      <c r="BA21" s="33">
        <v>212</v>
      </c>
      <c r="BB21" s="19">
        <v>206.2</v>
      </c>
    </row>
    <row r="22" spans="1:54" ht="15.75" x14ac:dyDescent="0.25">
      <c r="A22" s="22">
        <v>17</v>
      </c>
      <c r="B22" s="19">
        <v>198.1</v>
      </c>
      <c r="C22" s="22">
        <v>66</v>
      </c>
      <c r="D22" s="19">
        <v>190.5</v>
      </c>
      <c r="E22" s="22">
        <f t="shared" si="0"/>
        <v>115</v>
      </c>
      <c r="F22" s="19">
        <v>181.4</v>
      </c>
      <c r="G22" s="35">
        <v>164</v>
      </c>
      <c r="H22" s="19"/>
      <c r="I22" s="33">
        <v>213</v>
      </c>
      <c r="J22" s="19"/>
      <c r="K22" s="107"/>
      <c r="L22" s="22">
        <v>17</v>
      </c>
      <c r="M22" s="19"/>
      <c r="N22" s="22">
        <v>66</v>
      </c>
      <c r="O22" s="19"/>
      <c r="P22" s="22">
        <f t="shared" si="1"/>
        <v>115</v>
      </c>
      <c r="Q22" s="19"/>
      <c r="R22" s="35">
        <v>164</v>
      </c>
      <c r="S22" s="19">
        <v>214.4</v>
      </c>
      <c r="T22" s="33">
        <v>213</v>
      </c>
      <c r="U22" s="19">
        <v>197.5</v>
      </c>
      <c r="W22" s="22">
        <v>17</v>
      </c>
      <c r="X22" s="19">
        <v>198.1</v>
      </c>
      <c r="Y22" s="22">
        <v>66</v>
      </c>
      <c r="Z22" s="19">
        <v>190.5</v>
      </c>
      <c r="AA22" s="22">
        <f t="shared" si="2"/>
        <v>115</v>
      </c>
      <c r="AB22" s="19">
        <v>181.4</v>
      </c>
      <c r="AC22" s="35">
        <v>164</v>
      </c>
      <c r="AD22" s="19"/>
      <c r="AE22" s="33">
        <v>213</v>
      </c>
      <c r="AF22" s="19"/>
      <c r="AG22" s="107"/>
      <c r="AH22" s="22">
        <v>17</v>
      </c>
      <c r="AI22" s="19"/>
      <c r="AJ22" s="22">
        <v>66</v>
      </c>
      <c r="AK22" s="19"/>
      <c r="AL22" s="22">
        <f t="shared" si="3"/>
        <v>115</v>
      </c>
      <c r="AM22" s="19"/>
      <c r="AN22" s="35">
        <v>164</v>
      </c>
      <c r="AO22" s="19">
        <v>214.4</v>
      </c>
      <c r="AP22" s="33">
        <v>213</v>
      </c>
      <c r="AQ22" s="19"/>
      <c r="AS22" s="22">
        <v>17</v>
      </c>
      <c r="AT22" s="19"/>
      <c r="AU22" s="22">
        <v>66</v>
      </c>
      <c r="AV22" s="19"/>
      <c r="AW22" s="22">
        <f t="shared" si="4"/>
        <v>115</v>
      </c>
      <c r="AX22" s="19"/>
      <c r="AY22" s="35">
        <v>164</v>
      </c>
      <c r="AZ22" s="19"/>
      <c r="BA22" s="33">
        <v>213</v>
      </c>
      <c r="BB22" s="19">
        <v>197.5</v>
      </c>
    </row>
    <row r="23" spans="1:54" ht="15.75" x14ac:dyDescent="0.25">
      <c r="A23" s="22">
        <v>18</v>
      </c>
      <c r="B23" s="19">
        <v>197.5</v>
      </c>
      <c r="C23" s="22">
        <v>67</v>
      </c>
      <c r="D23" s="19">
        <v>189.1</v>
      </c>
      <c r="E23" s="22">
        <f t="shared" si="0"/>
        <v>116</v>
      </c>
      <c r="F23" s="19">
        <v>191.6</v>
      </c>
      <c r="G23" s="35">
        <v>165</v>
      </c>
      <c r="H23" s="19"/>
      <c r="I23" s="33">
        <v>214</v>
      </c>
      <c r="J23" s="19"/>
      <c r="K23" s="107"/>
      <c r="L23" s="22">
        <v>18</v>
      </c>
      <c r="M23" s="19"/>
      <c r="N23" s="22">
        <v>67</v>
      </c>
      <c r="O23" s="19"/>
      <c r="P23" s="22">
        <f t="shared" si="1"/>
        <v>116</v>
      </c>
      <c r="Q23" s="19"/>
      <c r="R23" s="35">
        <v>165</v>
      </c>
      <c r="S23" s="19">
        <v>198.9</v>
      </c>
      <c r="T23" s="33">
        <v>214</v>
      </c>
      <c r="U23" s="19">
        <v>198.5</v>
      </c>
      <c r="W23" s="22">
        <v>18</v>
      </c>
      <c r="X23" s="19">
        <v>197.5</v>
      </c>
      <c r="Y23" s="22">
        <v>67</v>
      </c>
      <c r="Z23" s="19">
        <v>189.1</v>
      </c>
      <c r="AA23" s="22">
        <f t="shared" si="2"/>
        <v>116</v>
      </c>
      <c r="AB23" s="19">
        <v>191.6</v>
      </c>
      <c r="AC23" s="35">
        <v>165</v>
      </c>
      <c r="AD23" s="19"/>
      <c r="AE23" s="33">
        <v>214</v>
      </c>
      <c r="AF23" s="19"/>
      <c r="AG23" s="107"/>
      <c r="AH23" s="22">
        <v>18</v>
      </c>
      <c r="AI23" s="19"/>
      <c r="AJ23" s="22">
        <v>67</v>
      </c>
      <c r="AK23" s="19"/>
      <c r="AL23" s="22">
        <f t="shared" si="3"/>
        <v>116</v>
      </c>
      <c r="AM23" s="19"/>
      <c r="AN23" s="35">
        <v>165</v>
      </c>
      <c r="AO23" s="19">
        <v>198.9</v>
      </c>
      <c r="AP23" s="33">
        <v>214</v>
      </c>
      <c r="AQ23" s="19"/>
      <c r="AS23" s="22">
        <v>18</v>
      </c>
      <c r="AT23" s="19"/>
      <c r="AU23" s="22">
        <v>67</v>
      </c>
      <c r="AV23" s="19"/>
      <c r="AW23" s="22">
        <f t="shared" si="4"/>
        <v>116</v>
      </c>
      <c r="AX23" s="19"/>
      <c r="AY23" s="35">
        <v>165</v>
      </c>
      <c r="AZ23" s="19"/>
      <c r="BA23" s="33">
        <v>214</v>
      </c>
      <c r="BB23" s="19">
        <v>198.5</v>
      </c>
    </row>
    <row r="24" spans="1:54" ht="15.75" x14ac:dyDescent="0.25">
      <c r="A24" s="22">
        <v>19</v>
      </c>
      <c r="B24" s="19">
        <v>196.4</v>
      </c>
      <c r="C24" s="22">
        <v>68</v>
      </c>
      <c r="D24" s="19">
        <v>189.1</v>
      </c>
      <c r="E24" s="22">
        <f t="shared" si="0"/>
        <v>117</v>
      </c>
      <c r="F24" s="19">
        <v>198.9</v>
      </c>
      <c r="G24" s="35">
        <v>166</v>
      </c>
      <c r="H24" s="19"/>
      <c r="I24" s="33">
        <v>215</v>
      </c>
      <c r="J24" s="19"/>
      <c r="K24" s="107"/>
      <c r="L24" s="22">
        <v>19</v>
      </c>
      <c r="M24" s="19"/>
      <c r="N24" s="22">
        <v>68</v>
      </c>
      <c r="O24" s="19"/>
      <c r="P24" s="22">
        <f t="shared" si="1"/>
        <v>117</v>
      </c>
      <c r="Q24" s="19"/>
      <c r="R24" s="35">
        <v>166</v>
      </c>
      <c r="S24" s="19">
        <v>211.3</v>
      </c>
      <c r="T24" s="33">
        <v>215</v>
      </c>
      <c r="U24" s="19">
        <v>192.5</v>
      </c>
      <c r="W24" s="22">
        <v>19</v>
      </c>
      <c r="X24" s="19">
        <v>196.4</v>
      </c>
      <c r="Y24" s="22">
        <v>68</v>
      </c>
      <c r="Z24" s="19">
        <v>189.1</v>
      </c>
      <c r="AA24" s="22">
        <f t="shared" si="2"/>
        <v>117</v>
      </c>
      <c r="AB24" s="19">
        <v>198.9</v>
      </c>
      <c r="AC24" s="35">
        <v>166</v>
      </c>
      <c r="AD24" s="19"/>
      <c r="AE24" s="33">
        <v>215</v>
      </c>
      <c r="AF24" s="19"/>
      <c r="AG24" s="107"/>
      <c r="AH24" s="22">
        <v>19</v>
      </c>
      <c r="AI24" s="19"/>
      <c r="AJ24" s="22">
        <v>68</v>
      </c>
      <c r="AK24" s="19"/>
      <c r="AL24" s="22">
        <f t="shared" si="3"/>
        <v>117</v>
      </c>
      <c r="AM24" s="19"/>
      <c r="AN24" s="35">
        <v>166</v>
      </c>
      <c r="AO24" s="19">
        <v>211.3</v>
      </c>
      <c r="AP24" s="33">
        <v>215</v>
      </c>
      <c r="AQ24" s="19"/>
      <c r="AS24" s="22">
        <v>19</v>
      </c>
      <c r="AT24" s="19"/>
      <c r="AU24" s="22">
        <v>68</v>
      </c>
      <c r="AV24" s="19"/>
      <c r="AW24" s="22">
        <f t="shared" si="4"/>
        <v>117</v>
      </c>
      <c r="AX24" s="19"/>
      <c r="AY24" s="35">
        <v>166</v>
      </c>
      <c r="AZ24" s="19"/>
      <c r="BA24" s="33">
        <v>215</v>
      </c>
      <c r="BB24" s="19">
        <v>192.5</v>
      </c>
    </row>
    <row r="25" spans="1:54" ht="15.75" x14ac:dyDescent="0.25">
      <c r="A25" s="22">
        <v>20</v>
      </c>
      <c r="B25" s="19">
        <v>200.1</v>
      </c>
      <c r="C25" s="22">
        <v>69</v>
      </c>
      <c r="D25" s="19">
        <v>192.6</v>
      </c>
      <c r="E25" s="22">
        <f t="shared" si="0"/>
        <v>118</v>
      </c>
      <c r="F25" s="19">
        <v>200.5</v>
      </c>
      <c r="G25" s="35">
        <v>167</v>
      </c>
      <c r="H25" s="19"/>
      <c r="I25" s="33">
        <v>216</v>
      </c>
      <c r="J25" s="19"/>
      <c r="K25" s="107"/>
      <c r="L25" s="22">
        <v>20</v>
      </c>
      <c r="M25" s="19"/>
      <c r="N25" s="22">
        <v>69</v>
      </c>
      <c r="O25" s="19"/>
      <c r="P25" s="22">
        <f t="shared" si="1"/>
        <v>118</v>
      </c>
      <c r="Q25" s="19"/>
      <c r="R25" s="35">
        <v>167</v>
      </c>
      <c r="S25" s="19">
        <v>202.6</v>
      </c>
      <c r="T25" s="33">
        <v>216</v>
      </c>
      <c r="U25" s="19">
        <v>198.7</v>
      </c>
      <c r="W25" s="22">
        <v>20</v>
      </c>
      <c r="X25" s="19">
        <v>200.1</v>
      </c>
      <c r="Y25" s="22">
        <v>69</v>
      </c>
      <c r="Z25" s="19">
        <v>192.6</v>
      </c>
      <c r="AA25" s="22">
        <f t="shared" si="2"/>
        <v>118</v>
      </c>
      <c r="AB25" s="19">
        <v>200.5</v>
      </c>
      <c r="AC25" s="35">
        <v>167</v>
      </c>
      <c r="AD25" s="19"/>
      <c r="AE25" s="33">
        <v>216</v>
      </c>
      <c r="AF25" s="19"/>
      <c r="AG25" s="107"/>
      <c r="AH25" s="22">
        <v>20</v>
      </c>
      <c r="AI25" s="19"/>
      <c r="AJ25" s="22">
        <v>69</v>
      </c>
      <c r="AK25" s="19"/>
      <c r="AL25" s="22">
        <f t="shared" si="3"/>
        <v>118</v>
      </c>
      <c r="AM25" s="19"/>
      <c r="AN25" s="35">
        <v>167</v>
      </c>
      <c r="AO25" s="19">
        <v>202.6</v>
      </c>
      <c r="AP25" s="33">
        <v>216</v>
      </c>
      <c r="AQ25" s="19"/>
      <c r="AS25" s="22">
        <v>20</v>
      </c>
      <c r="AT25" s="19"/>
      <c r="AU25" s="22">
        <v>69</v>
      </c>
      <c r="AV25" s="19"/>
      <c r="AW25" s="22">
        <f t="shared" si="4"/>
        <v>118</v>
      </c>
      <c r="AX25" s="19"/>
      <c r="AY25" s="35">
        <v>167</v>
      </c>
      <c r="AZ25" s="19"/>
      <c r="BA25" s="33">
        <v>216</v>
      </c>
      <c r="BB25" s="19">
        <v>198.7</v>
      </c>
    </row>
    <row r="26" spans="1:54" ht="15.75" x14ac:dyDescent="0.25">
      <c r="A26" s="22">
        <v>21</v>
      </c>
      <c r="B26" s="19">
        <v>205.1</v>
      </c>
      <c r="C26" s="22">
        <v>70</v>
      </c>
      <c r="D26" s="19">
        <v>184.1</v>
      </c>
      <c r="E26" s="22">
        <f t="shared" si="0"/>
        <v>119</v>
      </c>
      <c r="F26" s="19">
        <v>198.4</v>
      </c>
      <c r="G26" s="35">
        <v>168</v>
      </c>
      <c r="H26" s="19"/>
      <c r="I26" s="33">
        <v>217</v>
      </c>
      <c r="J26" s="19"/>
      <c r="K26" s="107"/>
      <c r="L26" s="22">
        <v>21</v>
      </c>
      <c r="M26" s="19"/>
      <c r="N26" s="22">
        <v>70</v>
      </c>
      <c r="O26" s="19"/>
      <c r="P26" s="22">
        <f t="shared" si="1"/>
        <v>119</v>
      </c>
      <c r="Q26" s="19"/>
      <c r="R26" s="35">
        <v>168</v>
      </c>
      <c r="S26" s="19">
        <v>211</v>
      </c>
      <c r="T26" s="33">
        <v>217</v>
      </c>
      <c r="U26" s="19">
        <v>199.9</v>
      </c>
      <c r="W26" s="22">
        <v>21</v>
      </c>
      <c r="X26" s="19">
        <v>205.1</v>
      </c>
      <c r="Y26" s="22">
        <v>70</v>
      </c>
      <c r="Z26" s="19">
        <v>184.1</v>
      </c>
      <c r="AA26" s="22">
        <f t="shared" si="2"/>
        <v>119</v>
      </c>
      <c r="AB26" s="19">
        <v>198.4</v>
      </c>
      <c r="AC26" s="35">
        <v>168</v>
      </c>
      <c r="AD26" s="19"/>
      <c r="AE26" s="33">
        <v>217</v>
      </c>
      <c r="AF26" s="19"/>
      <c r="AG26" s="107"/>
      <c r="AH26" s="22">
        <v>21</v>
      </c>
      <c r="AI26" s="19"/>
      <c r="AJ26" s="22">
        <v>70</v>
      </c>
      <c r="AK26" s="19"/>
      <c r="AL26" s="22">
        <f t="shared" si="3"/>
        <v>119</v>
      </c>
      <c r="AM26" s="19"/>
      <c r="AN26" s="35">
        <v>168</v>
      </c>
      <c r="AO26" s="19">
        <v>211</v>
      </c>
      <c r="AP26" s="33">
        <v>217</v>
      </c>
      <c r="AQ26" s="19"/>
      <c r="AS26" s="22">
        <v>21</v>
      </c>
      <c r="AT26" s="19"/>
      <c r="AU26" s="22">
        <v>70</v>
      </c>
      <c r="AV26" s="19"/>
      <c r="AW26" s="22">
        <f t="shared" si="4"/>
        <v>119</v>
      </c>
      <c r="AX26" s="19"/>
      <c r="AY26" s="35">
        <v>168</v>
      </c>
      <c r="AZ26" s="19"/>
      <c r="BA26" s="33">
        <v>217</v>
      </c>
      <c r="BB26" s="19">
        <v>199.9</v>
      </c>
    </row>
    <row r="27" spans="1:54" ht="15.75" x14ac:dyDescent="0.25">
      <c r="A27" s="22">
        <v>22</v>
      </c>
      <c r="B27" s="19">
        <v>198.8</v>
      </c>
      <c r="C27" s="22">
        <v>71</v>
      </c>
      <c r="D27" s="19">
        <v>184.9</v>
      </c>
      <c r="E27" s="22">
        <f t="shared" si="0"/>
        <v>120</v>
      </c>
      <c r="F27" s="19">
        <v>193.3</v>
      </c>
      <c r="G27" s="35">
        <v>169</v>
      </c>
      <c r="H27" s="19"/>
      <c r="I27" s="33">
        <v>218</v>
      </c>
      <c r="J27" s="19"/>
      <c r="K27" s="107"/>
      <c r="L27" s="22">
        <v>22</v>
      </c>
      <c r="M27" s="19"/>
      <c r="N27" s="22">
        <v>71</v>
      </c>
      <c r="O27" s="19"/>
      <c r="P27" s="22">
        <f t="shared" si="1"/>
        <v>120</v>
      </c>
      <c r="Q27" s="19"/>
      <c r="R27" s="35">
        <v>169</v>
      </c>
      <c r="S27" s="19">
        <v>203.1</v>
      </c>
      <c r="T27" s="33">
        <v>218</v>
      </c>
      <c r="U27" s="19">
        <v>201.3</v>
      </c>
      <c r="W27" s="22">
        <v>22</v>
      </c>
      <c r="X27" s="19">
        <v>198.8</v>
      </c>
      <c r="Y27" s="22">
        <v>71</v>
      </c>
      <c r="Z27" s="19">
        <v>184.9</v>
      </c>
      <c r="AA27" s="22">
        <f t="shared" si="2"/>
        <v>120</v>
      </c>
      <c r="AB27" s="19">
        <v>193.3</v>
      </c>
      <c r="AC27" s="35">
        <v>169</v>
      </c>
      <c r="AD27" s="19"/>
      <c r="AE27" s="33">
        <v>218</v>
      </c>
      <c r="AF27" s="19"/>
      <c r="AG27" s="107"/>
      <c r="AH27" s="22">
        <v>22</v>
      </c>
      <c r="AI27" s="19"/>
      <c r="AJ27" s="22">
        <v>71</v>
      </c>
      <c r="AK27" s="19"/>
      <c r="AL27" s="22">
        <f t="shared" si="3"/>
        <v>120</v>
      </c>
      <c r="AM27" s="19"/>
      <c r="AN27" s="35">
        <v>169</v>
      </c>
      <c r="AO27" s="19">
        <v>203.1</v>
      </c>
      <c r="AP27" s="33">
        <v>218</v>
      </c>
      <c r="AQ27" s="19"/>
      <c r="AS27" s="22">
        <v>22</v>
      </c>
      <c r="AT27" s="19"/>
      <c r="AU27" s="22">
        <v>71</v>
      </c>
      <c r="AV27" s="19"/>
      <c r="AW27" s="22">
        <f t="shared" si="4"/>
        <v>120</v>
      </c>
      <c r="AX27" s="19"/>
      <c r="AY27" s="35">
        <v>169</v>
      </c>
      <c r="AZ27" s="19"/>
      <c r="BA27" s="33">
        <v>218</v>
      </c>
      <c r="BB27" s="19">
        <v>201.3</v>
      </c>
    </row>
    <row r="28" spans="1:54" ht="15.75" x14ac:dyDescent="0.25">
      <c r="A28" s="22">
        <v>23</v>
      </c>
      <c r="B28" s="19">
        <v>198.8</v>
      </c>
      <c r="C28" s="22">
        <v>72</v>
      </c>
      <c r="D28" s="19">
        <v>185.4</v>
      </c>
      <c r="E28" s="22">
        <f t="shared" si="0"/>
        <v>121</v>
      </c>
      <c r="F28" s="19">
        <v>196.2</v>
      </c>
      <c r="G28" s="35">
        <v>170</v>
      </c>
      <c r="H28" s="19"/>
      <c r="I28" s="33">
        <v>219</v>
      </c>
      <c r="J28" s="19"/>
      <c r="K28" s="107"/>
      <c r="L28" s="22">
        <v>23</v>
      </c>
      <c r="M28" s="19"/>
      <c r="N28" s="22">
        <v>72</v>
      </c>
      <c r="O28" s="19"/>
      <c r="P28" s="22">
        <f t="shared" si="1"/>
        <v>121</v>
      </c>
      <c r="Q28" s="19"/>
      <c r="R28" s="35">
        <v>170</v>
      </c>
      <c r="S28" s="19">
        <v>197.6</v>
      </c>
      <c r="T28" s="33">
        <v>219</v>
      </c>
      <c r="U28" s="19">
        <v>201.8</v>
      </c>
      <c r="W28" s="22">
        <v>23</v>
      </c>
      <c r="X28" s="19">
        <v>198.8</v>
      </c>
      <c r="Y28" s="22">
        <v>72</v>
      </c>
      <c r="Z28" s="19">
        <v>185.4</v>
      </c>
      <c r="AA28" s="22">
        <f t="shared" si="2"/>
        <v>121</v>
      </c>
      <c r="AB28" s="19">
        <v>196.2</v>
      </c>
      <c r="AC28" s="35">
        <v>170</v>
      </c>
      <c r="AD28" s="19"/>
      <c r="AE28" s="33">
        <v>219</v>
      </c>
      <c r="AF28" s="19"/>
      <c r="AG28" s="107"/>
      <c r="AH28" s="22">
        <v>23</v>
      </c>
      <c r="AI28" s="19"/>
      <c r="AJ28" s="22">
        <v>72</v>
      </c>
      <c r="AK28" s="19"/>
      <c r="AL28" s="22">
        <f t="shared" si="3"/>
        <v>121</v>
      </c>
      <c r="AM28" s="19"/>
      <c r="AN28" s="35">
        <v>170</v>
      </c>
      <c r="AO28" s="19">
        <v>197.6</v>
      </c>
      <c r="AP28" s="33">
        <v>219</v>
      </c>
      <c r="AQ28" s="19"/>
      <c r="AS28" s="22">
        <v>23</v>
      </c>
      <c r="AT28" s="19"/>
      <c r="AU28" s="22">
        <v>72</v>
      </c>
      <c r="AV28" s="19"/>
      <c r="AW28" s="22">
        <f t="shared" si="4"/>
        <v>121</v>
      </c>
      <c r="AX28" s="19"/>
      <c r="AY28" s="35">
        <v>170</v>
      </c>
      <c r="AZ28" s="19"/>
      <c r="BA28" s="33">
        <v>219</v>
      </c>
      <c r="BB28" s="19">
        <v>201.8</v>
      </c>
    </row>
    <row r="29" spans="1:54" ht="15.75" x14ac:dyDescent="0.25">
      <c r="A29" s="22">
        <v>24</v>
      </c>
      <c r="B29" s="19">
        <v>194.7</v>
      </c>
      <c r="C29" s="22">
        <v>73</v>
      </c>
      <c r="D29" s="19">
        <v>188</v>
      </c>
      <c r="E29" s="22">
        <f t="shared" si="0"/>
        <v>122</v>
      </c>
      <c r="F29" s="19">
        <v>197.4</v>
      </c>
      <c r="G29" s="35">
        <v>171</v>
      </c>
      <c r="H29" s="19"/>
      <c r="I29" s="33">
        <v>220</v>
      </c>
      <c r="J29" s="19"/>
      <c r="K29" s="107"/>
      <c r="L29" s="22">
        <v>24</v>
      </c>
      <c r="M29" s="19"/>
      <c r="N29" s="22">
        <v>73</v>
      </c>
      <c r="O29" s="19"/>
      <c r="P29" s="22">
        <f t="shared" si="1"/>
        <v>122</v>
      </c>
      <c r="Q29" s="19"/>
      <c r="R29" s="35">
        <v>171</v>
      </c>
      <c r="S29" s="19">
        <v>210.4</v>
      </c>
      <c r="T29" s="33">
        <v>220</v>
      </c>
      <c r="U29" s="19">
        <v>199.5</v>
      </c>
      <c r="W29" s="22">
        <v>24</v>
      </c>
      <c r="X29" s="19">
        <v>194.7</v>
      </c>
      <c r="Y29" s="22">
        <v>73</v>
      </c>
      <c r="Z29" s="19">
        <v>188</v>
      </c>
      <c r="AA29" s="22">
        <f t="shared" si="2"/>
        <v>122</v>
      </c>
      <c r="AB29" s="19">
        <v>197.4</v>
      </c>
      <c r="AC29" s="35">
        <v>171</v>
      </c>
      <c r="AD29" s="19"/>
      <c r="AE29" s="33">
        <v>220</v>
      </c>
      <c r="AF29" s="19"/>
      <c r="AG29" s="107"/>
      <c r="AH29" s="22">
        <v>24</v>
      </c>
      <c r="AI29" s="19"/>
      <c r="AJ29" s="22">
        <v>73</v>
      </c>
      <c r="AK29" s="19"/>
      <c r="AL29" s="22">
        <f t="shared" si="3"/>
        <v>122</v>
      </c>
      <c r="AM29" s="19"/>
      <c r="AN29" s="35">
        <v>171</v>
      </c>
      <c r="AO29" s="19">
        <v>210.4</v>
      </c>
      <c r="AP29" s="33">
        <v>220</v>
      </c>
      <c r="AQ29" s="19"/>
      <c r="AS29" s="22">
        <v>24</v>
      </c>
      <c r="AT29" s="19"/>
      <c r="AU29" s="22">
        <v>73</v>
      </c>
      <c r="AV29" s="19"/>
      <c r="AW29" s="22">
        <f t="shared" si="4"/>
        <v>122</v>
      </c>
      <c r="AX29" s="19"/>
      <c r="AY29" s="35">
        <v>171</v>
      </c>
      <c r="AZ29" s="19"/>
      <c r="BA29" s="33">
        <v>220</v>
      </c>
      <c r="BB29" s="19">
        <v>199.5</v>
      </c>
    </row>
    <row r="30" spans="1:54" ht="15.75" x14ac:dyDescent="0.25">
      <c r="A30" s="22">
        <v>25</v>
      </c>
      <c r="B30" s="19">
        <v>199.6</v>
      </c>
      <c r="C30" s="22">
        <v>74</v>
      </c>
      <c r="D30" s="19">
        <v>186.7</v>
      </c>
      <c r="E30" s="22">
        <f t="shared" si="0"/>
        <v>123</v>
      </c>
      <c r="F30" s="19">
        <v>182.9</v>
      </c>
      <c r="G30" s="35">
        <v>172</v>
      </c>
      <c r="H30" s="19"/>
      <c r="I30" s="20"/>
      <c r="J30" s="36"/>
      <c r="K30" s="108"/>
      <c r="L30" s="22">
        <v>25</v>
      </c>
      <c r="M30" s="19"/>
      <c r="N30" s="22">
        <v>74</v>
      </c>
      <c r="O30" s="19"/>
      <c r="P30" s="22">
        <f t="shared" si="1"/>
        <v>123</v>
      </c>
      <c r="Q30" s="19"/>
      <c r="R30" s="35">
        <v>172</v>
      </c>
      <c r="S30" s="19">
        <v>202.4</v>
      </c>
      <c r="T30" s="20"/>
      <c r="U30" s="36"/>
      <c r="W30" s="22">
        <v>25</v>
      </c>
      <c r="X30" s="19">
        <v>199.6</v>
      </c>
      <c r="Y30" s="22">
        <v>74</v>
      </c>
      <c r="Z30" s="19">
        <v>186.7</v>
      </c>
      <c r="AA30" s="22">
        <f t="shared" si="2"/>
        <v>123</v>
      </c>
      <c r="AB30" s="19">
        <v>182.9</v>
      </c>
      <c r="AC30" s="35">
        <v>172</v>
      </c>
      <c r="AD30" s="19"/>
      <c r="AE30" s="20"/>
      <c r="AF30" s="36"/>
      <c r="AG30" s="108"/>
      <c r="AH30" s="22">
        <v>25</v>
      </c>
      <c r="AI30" s="19"/>
      <c r="AJ30" s="22">
        <v>74</v>
      </c>
      <c r="AK30" s="19"/>
      <c r="AL30" s="22">
        <f t="shared" si="3"/>
        <v>123</v>
      </c>
      <c r="AM30" s="19"/>
      <c r="AN30" s="35">
        <v>172</v>
      </c>
      <c r="AO30" s="19">
        <v>202.4</v>
      </c>
      <c r="AP30" s="20"/>
      <c r="AQ30" s="36"/>
      <c r="AS30" s="22">
        <v>25</v>
      </c>
      <c r="AT30" s="19"/>
      <c r="AU30" s="22">
        <v>74</v>
      </c>
      <c r="AV30" s="19"/>
      <c r="AW30" s="22">
        <f t="shared" si="4"/>
        <v>123</v>
      </c>
      <c r="AX30" s="19"/>
      <c r="AY30" s="35">
        <v>172</v>
      </c>
      <c r="AZ30" s="19"/>
      <c r="BA30" s="20"/>
      <c r="BB30" s="36"/>
    </row>
    <row r="31" spans="1:54" ht="15.75" x14ac:dyDescent="0.25">
      <c r="A31" s="22">
        <v>26</v>
      </c>
      <c r="B31" s="19">
        <v>194.3</v>
      </c>
      <c r="C31" s="22">
        <v>75</v>
      </c>
      <c r="D31" s="19">
        <v>187.9</v>
      </c>
      <c r="E31" s="22">
        <f t="shared" si="0"/>
        <v>124</v>
      </c>
      <c r="F31" s="19">
        <v>185.8</v>
      </c>
      <c r="G31" s="35">
        <v>173</v>
      </c>
      <c r="H31" s="19"/>
      <c r="I31" s="20"/>
      <c r="J31" s="36"/>
      <c r="K31" s="108"/>
      <c r="L31" s="22">
        <v>26</v>
      </c>
      <c r="M31" s="19"/>
      <c r="N31" s="22">
        <v>75</v>
      </c>
      <c r="O31" s="19"/>
      <c r="P31" s="22">
        <f t="shared" si="1"/>
        <v>124</v>
      </c>
      <c r="Q31" s="19"/>
      <c r="R31" s="35">
        <v>173</v>
      </c>
      <c r="S31" s="19">
        <v>209.9</v>
      </c>
      <c r="T31" s="20"/>
      <c r="U31" s="36"/>
      <c r="W31" s="22">
        <v>26</v>
      </c>
      <c r="X31" s="19">
        <v>194.3</v>
      </c>
      <c r="Y31" s="22">
        <v>75</v>
      </c>
      <c r="Z31" s="19">
        <v>187.9</v>
      </c>
      <c r="AA31" s="22">
        <f t="shared" si="2"/>
        <v>124</v>
      </c>
      <c r="AB31" s="19">
        <v>185.8</v>
      </c>
      <c r="AC31" s="35">
        <v>173</v>
      </c>
      <c r="AD31" s="19"/>
      <c r="AE31" s="20"/>
      <c r="AF31" s="36"/>
      <c r="AG31" s="108"/>
      <c r="AH31" s="22">
        <v>26</v>
      </c>
      <c r="AI31" s="19"/>
      <c r="AJ31" s="22">
        <v>75</v>
      </c>
      <c r="AK31" s="19"/>
      <c r="AL31" s="22">
        <f t="shared" si="3"/>
        <v>124</v>
      </c>
      <c r="AM31" s="19"/>
      <c r="AN31" s="35">
        <v>173</v>
      </c>
      <c r="AO31" s="19">
        <v>209.9</v>
      </c>
      <c r="AP31" s="20"/>
      <c r="AQ31" s="36"/>
      <c r="AS31" s="22">
        <v>26</v>
      </c>
      <c r="AT31" s="19"/>
      <c r="AU31" s="22">
        <v>75</v>
      </c>
      <c r="AV31" s="19"/>
      <c r="AW31" s="22">
        <f t="shared" si="4"/>
        <v>124</v>
      </c>
      <c r="AX31" s="19"/>
      <c r="AY31" s="35">
        <v>173</v>
      </c>
      <c r="AZ31" s="19"/>
      <c r="BA31" s="20"/>
      <c r="BB31" s="36"/>
    </row>
    <row r="32" spans="1:54" ht="15.75" x14ac:dyDescent="0.25">
      <c r="A32" s="22">
        <v>27</v>
      </c>
      <c r="B32" s="19">
        <v>221</v>
      </c>
      <c r="C32" s="22">
        <v>76</v>
      </c>
      <c r="D32" s="19">
        <v>177.3</v>
      </c>
      <c r="E32" s="22">
        <f t="shared" si="0"/>
        <v>125</v>
      </c>
      <c r="F32" s="19">
        <v>179.1</v>
      </c>
      <c r="G32" s="33">
        <v>174</v>
      </c>
      <c r="H32" s="19"/>
      <c r="I32" s="21"/>
      <c r="J32" s="36"/>
      <c r="K32" s="108"/>
      <c r="L32" s="22">
        <v>27</v>
      </c>
      <c r="M32" s="19"/>
      <c r="N32" s="22">
        <v>76</v>
      </c>
      <c r="O32" s="19"/>
      <c r="P32" s="22">
        <f t="shared" si="1"/>
        <v>125</v>
      </c>
      <c r="Q32" s="19"/>
      <c r="R32" s="33">
        <v>174</v>
      </c>
      <c r="S32" s="19">
        <v>196.1</v>
      </c>
      <c r="T32" s="21"/>
      <c r="U32" s="36"/>
      <c r="W32" s="22">
        <v>27</v>
      </c>
      <c r="X32" s="19">
        <v>221</v>
      </c>
      <c r="Y32" s="22">
        <v>76</v>
      </c>
      <c r="Z32" s="19">
        <v>177.3</v>
      </c>
      <c r="AA32" s="22">
        <f t="shared" si="2"/>
        <v>125</v>
      </c>
      <c r="AB32" s="19">
        <v>179.1</v>
      </c>
      <c r="AC32" s="33">
        <v>174</v>
      </c>
      <c r="AD32" s="19"/>
      <c r="AE32" s="21"/>
      <c r="AF32" s="36"/>
      <c r="AG32" s="108"/>
      <c r="AH32" s="22">
        <v>27</v>
      </c>
      <c r="AI32" s="19"/>
      <c r="AJ32" s="22">
        <v>76</v>
      </c>
      <c r="AK32" s="19"/>
      <c r="AL32" s="22">
        <f t="shared" si="3"/>
        <v>125</v>
      </c>
      <c r="AM32" s="19"/>
      <c r="AN32" s="33">
        <v>174</v>
      </c>
      <c r="AO32" s="19">
        <v>196.1</v>
      </c>
      <c r="AP32" s="21"/>
      <c r="AQ32" s="36"/>
      <c r="AS32" s="22">
        <v>27</v>
      </c>
      <c r="AT32" s="19"/>
      <c r="AU32" s="22">
        <v>76</v>
      </c>
      <c r="AV32" s="19"/>
      <c r="AW32" s="22">
        <f t="shared" si="4"/>
        <v>125</v>
      </c>
      <c r="AX32" s="19"/>
      <c r="AY32" s="33">
        <v>174</v>
      </c>
      <c r="AZ32" s="19"/>
      <c r="BA32" s="21"/>
      <c r="BB32" s="36"/>
    </row>
    <row r="33" spans="1:54" ht="15.75" x14ac:dyDescent="0.25">
      <c r="A33" s="22">
        <v>28</v>
      </c>
      <c r="B33" s="19">
        <v>199.8</v>
      </c>
      <c r="C33" s="22">
        <v>77</v>
      </c>
      <c r="D33" s="19">
        <v>182.5</v>
      </c>
      <c r="E33" s="22">
        <f t="shared" si="0"/>
        <v>126</v>
      </c>
      <c r="F33" s="19">
        <v>180.1</v>
      </c>
      <c r="G33" s="33">
        <v>175</v>
      </c>
      <c r="H33" s="19"/>
      <c r="I33" s="20"/>
      <c r="J33" s="36"/>
      <c r="K33" s="108"/>
      <c r="L33" s="22">
        <v>28</v>
      </c>
      <c r="M33" s="19"/>
      <c r="N33" s="22">
        <v>77</v>
      </c>
      <c r="O33" s="19"/>
      <c r="P33" s="22">
        <f t="shared" si="1"/>
        <v>126</v>
      </c>
      <c r="Q33" s="19"/>
      <c r="R33" s="33">
        <v>175</v>
      </c>
      <c r="S33" s="19">
        <v>206.9</v>
      </c>
      <c r="T33" s="20"/>
      <c r="U33" s="36"/>
      <c r="W33" s="22">
        <v>28</v>
      </c>
      <c r="X33" s="19">
        <v>199.8</v>
      </c>
      <c r="Y33" s="22">
        <v>77</v>
      </c>
      <c r="Z33" s="19">
        <v>182.5</v>
      </c>
      <c r="AA33" s="22">
        <f t="shared" si="2"/>
        <v>126</v>
      </c>
      <c r="AB33" s="19">
        <v>180.1</v>
      </c>
      <c r="AC33" s="33">
        <v>175</v>
      </c>
      <c r="AD33" s="19"/>
      <c r="AE33" s="20"/>
      <c r="AF33" s="36"/>
      <c r="AG33" s="108"/>
      <c r="AH33" s="22">
        <v>28</v>
      </c>
      <c r="AI33" s="19"/>
      <c r="AJ33" s="22">
        <v>77</v>
      </c>
      <c r="AK33" s="19"/>
      <c r="AL33" s="22">
        <f t="shared" si="3"/>
        <v>126</v>
      </c>
      <c r="AM33" s="19"/>
      <c r="AN33" s="33">
        <v>175</v>
      </c>
      <c r="AO33" s="19">
        <v>206.9</v>
      </c>
      <c r="AP33" s="20"/>
      <c r="AQ33" s="36"/>
      <c r="AS33" s="22">
        <v>28</v>
      </c>
      <c r="AT33" s="19"/>
      <c r="AU33" s="22">
        <v>77</v>
      </c>
      <c r="AV33" s="19"/>
      <c r="AW33" s="22">
        <f t="shared" si="4"/>
        <v>126</v>
      </c>
      <c r="AX33" s="19"/>
      <c r="AY33" s="33">
        <v>175</v>
      </c>
      <c r="AZ33" s="19"/>
      <c r="BA33" s="20"/>
      <c r="BB33" s="36"/>
    </row>
    <row r="34" spans="1:54" ht="15.75" x14ac:dyDescent="0.25">
      <c r="A34" s="22">
        <v>29</v>
      </c>
      <c r="B34" s="19">
        <v>193.1</v>
      </c>
      <c r="C34" s="22">
        <v>78</v>
      </c>
      <c r="D34" s="19">
        <v>185.1</v>
      </c>
      <c r="E34" s="22">
        <f t="shared" si="0"/>
        <v>127</v>
      </c>
      <c r="F34" s="19"/>
      <c r="G34" s="33">
        <v>176</v>
      </c>
      <c r="H34" s="19"/>
      <c r="I34" s="20"/>
      <c r="J34" s="36"/>
      <c r="K34" s="108"/>
      <c r="L34" s="22">
        <v>29</v>
      </c>
      <c r="M34" s="19"/>
      <c r="N34" s="22">
        <v>78</v>
      </c>
      <c r="O34" s="19"/>
      <c r="P34" s="22">
        <f t="shared" si="1"/>
        <v>127</v>
      </c>
      <c r="Q34" s="19">
        <v>202.5</v>
      </c>
      <c r="R34" s="33">
        <v>176</v>
      </c>
      <c r="S34" s="19">
        <v>201.2</v>
      </c>
      <c r="T34" s="20"/>
      <c r="U34" s="36"/>
      <c r="W34" s="22">
        <v>29</v>
      </c>
      <c r="X34" s="19">
        <v>193.1</v>
      </c>
      <c r="Y34" s="22">
        <v>78</v>
      </c>
      <c r="Z34" s="19">
        <v>185.1</v>
      </c>
      <c r="AA34" s="22">
        <f t="shared" si="2"/>
        <v>127</v>
      </c>
      <c r="AB34" s="19"/>
      <c r="AC34" s="33">
        <v>176</v>
      </c>
      <c r="AD34" s="19"/>
      <c r="AE34" s="20"/>
      <c r="AF34" s="36"/>
      <c r="AG34" s="108"/>
      <c r="AH34" s="22">
        <v>29</v>
      </c>
      <c r="AI34" s="19"/>
      <c r="AJ34" s="22">
        <v>78</v>
      </c>
      <c r="AK34" s="19"/>
      <c r="AL34" s="22">
        <f t="shared" si="3"/>
        <v>127</v>
      </c>
      <c r="AM34" s="19">
        <v>202.5</v>
      </c>
      <c r="AN34" s="33">
        <v>176</v>
      </c>
      <c r="AO34" s="19">
        <v>201.2</v>
      </c>
      <c r="AP34" s="20"/>
      <c r="AQ34" s="36"/>
      <c r="AS34" s="22">
        <v>29</v>
      </c>
      <c r="AT34" s="19"/>
      <c r="AU34" s="22">
        <v>78</v>
      </c>
      <c r="AV34" s="19"/>
      <c r="AW34" s="22">
        <f t="shared" si="4"/>
        <v>127</v>
      </c>
      <c r="AX34" s="19"/>
      <c r="AY34" s="33">
        <v>176</v>
      </c>
      <c r="AZ34" s="19"/>
      <c r="BA34" s="20"/>
      <c r="BB34" s="36"/>
    </row>
    <row r="35" spans="1:54" ht="15.75" x14ac:dyDescent="0.25">
      <c r="A35" s="22">
        <v>30</v>
      </c>
      <c r="B35" s="19">
        <v>197.7</v>
      </c>
      <c r="C35" s="22">
        <v>79</v>
      </c>
      <c r="D35" s="19">
        <v>180.9</v>
      </c>
      <c r="E35" s="22">
        <f t="shared" si="0"/>
        <v>128</v>
      </c>
      <c r="F35" s="19"/>
      <c r="G35" s="33">
        <v>177</v>
      </c>
      <c r="H35" s="19"/>
      <c r="I35" s="21"/>
      <c r="J35" s="36"/>
      <c r="K35" s="108"/>
      <c r="L35" s="22">
        <v>30</v>
      </c>
      <c r="M35" s="19"/>
      <c r="N35" s="22">
        <v>79</v>
      </c>
      <c r="O35" s="19"/>
      <c r="P35" s="22">
        <f t="shared" si="1"/>
        <v>128</v>
      </c>
      <c r="Q35" s="19">
        <v>202</v>
      </c>
      <c r="R35" s="33">
        <v>177</v>
      </c>
      <c r="S35" s="19">
        <v>213.4</v>
      </c>
      <c r="T35" s="21"/>
      <c r="U35" s="36"/>
      <c r="W35" s="22">
        <v>30</v>
      </c>
      <c r="X35" s="19">
        <v>197.7</v>
      </c>
      <c r="Y35" s="22">
        <v>79</v>
      </c>
      <c r="Z35" s="19">
        <v>180.9</v>
      </c>
      <c r="AA35" s="22">
        <f t="shared" si="2"/>
        <v>128</v>
      </c>
      <c r="AB35" s="19"/>
      <c r="AC35" s="33">
        <v>177</v>
      </c>
      <c r="AD35" s="19"/>
      <c r="AE35" s="21"/>
      <c r="AF35" s="36"/>
      <c r="AG35" s="108"/>
      <c r="AH35" s="22">
        <v>30</v>
      </c>
      <c r="AI35" s="19"/>
      <c r="AJ35" s="22">
        <v>79</v>
      </c>
      <c r="AK35" s="19"/>
      <c r="AL35" s="22">
        <f t="shared" si="3"/>
        <v>128</v>
      </c>
      <c r="AM35" s="19">
        <v>202</v>
      </c>
      <c r="AN35" s="33">
        <v>177</v>
      </c>
      <c r="AO35" s="19">
        <v>213.4</v>
      </c>
      <c r="AP35" s="21"/>
      <c r="AQ35" s="36"/>
      <c r="AS35" s="22">
        <v>30</v>
      </c>
      <c r="AT35" s="19"/>
      <c r="AU35" s="22">
        <v>79</v>
      </c>
      <c r="AV35" s="19"/>
      <c r="AW35" s="22">
        <f t="shared" si="4"/>
        <v>128</v>
      </c>
      <c r="AX35" s="19"/>
      <c r="AY35" s="33">
        <v>177</v>
      </c>
      <c r="AZ35" s="19"/>
      <c r="BA35" s="21"/>
      <c r="BB35" s="36"/>
    </row>
    <row r="36" spans="1:54" ht="15.75" x14ac:dyDescent="0.25">
      <c r="A36" s="22">
        <v>31</v>
      </c>
      <c r="B36" s="19">
        <v>196.5</v>
      </c>
      <c r="C36" s="22">
        <v>80</v>
      </c>
      <c r="D36" s="19">
        <v>187.6</v>
      </c>
      <c r="E36" s="22">
        <f t="shared" si="0"/>
        <v>129</v>
      </c>
      <c r="F36" s="19"/>
      <c r="G36" s="33">
        <v>178</v>
      </c>
      <c r="H36" s="19"/>
      <c r="I36" s="20"/>
      <c r="J36" s="36"/>
      <c r="K36" s="108"/>
      <c r="L36" s="22">
        <v>31</v>
      </c>
      <c r="M36" s="19"/>
      <c r="N36" s="22">
        <v>80</v>
      </c>
      <c r="O36" s="19"/>
      <c r="P36" s="22">
        <f t="shared" si="1"/>
        <v>129</v>
      </c>
      <c r="Q36" s="19">
        <v>197.4</v>
      </c>
      <c r="R36" s="33">
        <v>178</v>
      </c>
      <c r="S36" s="19">
        <v>201.1</v>
      </c>
      <c r="T36" s="20"/>
      <c r="U36" s="36"/>
      <c r="W36" s="22">
        <v>31</v>
      </c>
      <c r="X36" s="19">
        <v>196.5</v>
      </c>
      <c r="Y36" s="22">
        <v>80</v>
      </c>
      <c r="Z36" s="19">
        <v>187.6</v>
      </c>
      <c r="AA36" s="22">
        <f t="shared" si="2"/>
        <v>129</v>
      </c>
      <c r="AB36" s="19"/>
      <c r="AC36" s="33">
        <v>178</v>
      </c>
      <c r="AD36" s="19"/>
      <c r="AE36" s="20"/>
      <c r="AF36" s="36"/>
      <c r="AG36" s="108"/>
      <c r="AH36" s="22">
        <v>31</v>
      </c>
      <c r="AI36" s="19"/>
      <c r="AJ36" s="22">
        <v>80</v>
      </c>
      <c r="AK36" s="19"/>
      <c r="AL36" s="22">
        <f t="shared" si="3"/>
        <v>129</v>
      </c>
      <c r="AM36" s="19">
        <v>197.4</v>
      </c>
      <c r="AN36" s="33">
        <v>178</v>
      </c>
      <c r="AO36" s="19">
        <v>201.1</v>
      </c>
      <c r="AP36" s="20"/>
      <c r="AQ36" s="36"/>
      <c r="AS36" s="22">
        <v>31</v>
      </c>
      <c r="AT36" s="19"/>
      <c r="AU36" s="22">
        <v>80</v>
      </c>
      <c r="AV36" s="19"/>
      <c r="AW36" s="22">
        <f t="shared" si="4"/>
        <v>129</v>
      </c>
      <c r="AX36" s="19"/>
      <c r="AY36" s="33">
        <v>178</v>
      </c>
      <c r="AZ36" s="19"/>
      <c r="BA36" s="20"/>
      <c r="BB36" s="36"/>
    </row>
    <row r="37" spans="1:54" ht="15.75" x14ac:dyDescent="0.25">
      <c r="A37" s="22">
        <v>32</v>
      </c>
      <c r="B37" s="19">
        <v>201.2</v>
      </c>
      <c r="C37" s="22">
        <v>81</v>
      </c>
      <c r="D37" s="19">
        <v>185.1</v>
      </c>
      <c r="E37" s="22">
        <f t="shared" si="0"/>
        <v>130</v>
      </c>
      <c r="F37" s="19"/>
      <c r="G37" s="33">
        <v>179</v>
      </c>
      <c r="H37" s="19"/>
      <c r="I37" s="20"/>
      <c r="J37" s="36"/>
      <c r="K37" s="108"/>
      <c r="L37" s="22">
        <v>32</v>
      </c>
      <c r="M37" s="19"/>
      <c r="N37" s="22">
        <v>81</v>
      </c>
      <c r="O37" s="19"/>
      <c r="P37" s="22">
        <f t="shared" si="1"/>
        <v>130</v>
      </c>
      <c r="Q37" s="19">
        <v>202</v>
      </c>
      <c r="R37" s="33">
        <v>179</v>
      </c>
      <c r="S37" s="19">
        <v>208.3</v>
      </c>
      <c r="T37" s="20"/>
      <c r="U37" s="36"/>
      <c r="W37" s="22">
        <v>32</v>
      </c>
      <c r="X37" s="19">
        <v>201.2</v>
      </c>
      <c r="Y37" s="22">
        <v>81</v>
      </c>
      <c r="Z37" s="19">
        <v>185.1</v>
      </c>
      <c r="AA37" s="22">
        <f t="shared" si="2"/>
        <v>130</v>
      </c>
      <c r="AB37" s="19"/>
      <c r="AC37" s="33">
        <v>179</v>
      </c>
      <c r="AD37" s="19"/>
      <c r="AE37" s="20"/>
      <c r="AF37" s="36"/>
      <c r="AG37" s="108"/>
      <c r="AH37" s="22">
        <v>32</v>
      </c>
      <c r="AI37" s="19"/>
      <c r="AJ37" s="22">
        <v>81</v>
      </c>
      <c r="AK37" s="19"/>
      <c r="AL37" s="22">
        <f t="shared" si="3"/>
        <v>130</v>
      </c>
      <c r="AM37" s="19">
        <v>202</v>
      </c>
      <c r="AN37" s="33">
        <v>179</v>
      </c>
      <c r="AO37" s="19">
        <v>208.3</v>
      </c>
      <c r="AP37" s="20"/>
      <c r="AQ37" s="36"/>
      <c r="AS37" s="22">
        <v>32</v>
      </c>
      <c r="AT37" s="19"/>
      <c r="AU37" s="22">
        <v>81</v>
      </c>
      <c r="AV37" s="19"/>
      <c r="AW37" s="22">
        <f t="shared" si="4"/>
        <v>130</v>
      </c>
      <c r="AX37" s="19"/>
      <c r="AY37" s="33">
        <v>179</v>
      </c>
      <c r="AZ37" s="19"/>
      <c r="BA37" s="20"/>
      <c r="BB37" s="36"/>
    </row>
    <row r="38" spans="1:54" ht="15.75" x14ac:dyDescent="0.25">
      <c r="A38" s="22">
        <v>33</v>
      </c>
      <c r="B38" s="19">
        <v>154.30000000000001</v>
      </c>
      <c r="C38" s="22">
        <v>82</v>
      </c>
      <c r="D38" s="19">
        <v>189.9</v>
      </c>
      <c r="E38" s="22">
        <f t="shared" si="0"/>
        <v>131</v>
      </c>
      <c r="F38" s="19"/>
      <c r="G38" s="33">
        <v>180</v>
      </c>
      <c r="H38" s="19"/>
      <c r="I38" s="21"/>
      <c r="J38" s="36"/>
      <c r="K38" s="108"/>
      <c r="L38" s="22">
        <v>33</v>
      </c>
      <c r="M38" s="19"/>
      <c r="N38" s="22">
        <v>82</v>
      </c>
      <c r="O38" s="19"/>
      <c r="P38" s="22">
        <f t="shared" si="1"/>
        <v>131</v>
      </c>
      <c r="Q38" s="19">
        <v>195.6</v>
      </c>
      <c r="R38" s="33">
        <v>180</v>
      </c>
      <c r="S38" s="19">
        <v>201.5</v>
      </c>
      <c r="T38" s="21"/>
      <c r="U38" s="36"/>
      <c r="W38" s="22">
        <v>33</v>
      </c>
      <c r="X38" s="19">
        <v>154.30000000000001</v>
      </c>
      <c r="Y38" s="22">
        <v>82</v>
      </c>
      <c r="Z38" s="19">
        <v>189.9</v>
      </c>
      <c r="AA38" s="22">
        <f t="shared" si="2"/>
        <v>131</v>
      </c>
      <c r="AB38" s="19"/>
      <c r="AC38" s="33">
        <v>180</v>
      </c>
      <c r="AD38" s="19"/>
      <c r="AE38" s="21"/>
      <c r="AF38" s="36"/>
      <c r="AG38" s="108"/>
      <c r="AH38" s="22">
        <v>33</v>
      </c>
      <c r="AI38" s="19"/>
      <c r="AJ38" s="22">
        <v>82</v>
      </c>
      <c r="AK38" s="19"/>
      <c r="AL38" s="22">
        <f t="shared" si="3"/>
        <v>131</v>
      </c>
      <c r="AM38" s="19">
        <v>195.6</v>
      </c>
      <c r="AN38" s="33">
        <v>180</v>
      </c>
      <c r="AO38" s="19">
        <v>201.5</v>
      </c>
      <c r="AP38" s="21"/>
      <c r="AQ38" s="36"/>
      <c r="AS38" s="22">
        <v>33</v>
      </c>
      <c r="AT38" s="19"/>
      <c r="AU38" s="22">
        <v>82</v>
      </c>
      <c r="AV38" s="19"/>
      <c r="AW38" s="22">
        <f t="shared" si="4"/>
        <v>131</v>
      </c>
      <c r="AX38" s="19"/>
      <c r="AY38" s="33">
        <v>180</v>
      </c>
      <c r="AZ38" s="19"/>
      <c r="BA38" s="21"/>
      <c r="BB38" s="36"/>
    </row>
    <row r="39" spans="1:54" ht="15.75" x14ac:dyDescent="0.25">
      <c r="A39" s="22">
        <v>34</v>
      </c>
      <c r="B39" s="19">
        <v>181.9</v>
      </c>
      <c r="C39" s="22">
        <v>83</v>
      </c>
      <c r="D39" s="19">
        <v>185.2</v>
      </c>
      <c r="E39" s="22">
        <f t="shared" si="0"/>
        <v>132</v>
      </c>
      <c r="F39" s="19"/>
      <c r="G39" s="33">
        <v>181</v>
      </c>
      <c r="H39" s="19"/>
      <c r="I39" s="21"/>
      <c r="J39" s="36"/>
      <c r="K39" s="108"/>
      <c r="L39" s="22">
        <v>34</v>
      </c>
      <c r="M39" s="19"/>
      <c r="N39" s="22">
        <v>83</v>
      </c>
      <c r="O39" s="19"/>
      <c r="P39" s="22">
        <f t="shared" si="1"/>
        <v>132</v>
      </c>
      <c r="Q39" s="19">
        <v>202.8</v>
      </c>
      <c r="R39" s="33">
        <v>181</v>
      </c>
      <c r="S39" s="19">
        <v>212.8</v>
      </c>
      <c r="T39" s="21"/>
      <c r="U39" s="36"/>
      <c r="W39" s="22">
        <v>34</v>
      </c>
      <c r="X39" s="19">
        <v>181.9</v>
      </c>
      <c r="Y39" s="22">
        <v>83</v>
      </c>
      <c r="Z39" s="19">
        <v>185.2</v>
      </c>
      <c r="AA39" s="22">
        <f t="shared" si="2"/>
        <v>132</v>
      </c>
      <c r="AB39" s="19"/>
      <c r="AC39" s="33">
        <v>181</v>
      </c>
      <c r="AD39" s="19"/>
      <c r="AE39" s="21"/>
      <c r="AF39" s="36"/>
      <c r="AG39" s="108"/>
      <c r="AH39" s="22">
        <v>34</v>
      </c>
      <c r="AI39" s="19"/>
      <c r="AJ39" s="22">
        <v>83</v>
      </c>
      <c r="AK39" s="19"/>
      <c r="AL39" s="22">
        <f t="shared" si="3"/>
        <v>132</v>
      </c>
      <c r="AM39" s="19">
        <v>202.8</v>
      </c>
      <c r="AN39" s="33">
        <v>181</v>
      </c>
      <c r="AO39" s="19">
        <v>212.8</v>
      </c>
      <c r="AP39" s="21"/>
      <c r="AQ39" s="36"/>
      <c r="AS39" s="22">
        <v>34</v>
      </c>
      <c r="AT39" s="19"/>
      <c r="AU39" s="22">
        <v>83</v>
      </c>
      <c r="AV39" s="19"/>
      <c r="AW39" s="22">
        <f t="shared" si="4"/>
        <v>132</v>
      </c>
      <c r="AX39" s="19"/>
      <c r="AY39" s="33">
        <v>181</v>
      </c>
      <c r="AZ39" s="19"/>
      <c r="BA39" s="21"/>
      <c r="BB39" s="36"/>
    </row>
    <row r="40" spans="1:54" ht="15.75" x14ac:dyDescent="0.25">
      <c r="A40" s="22">
        <v>35</v>
      </c>
      <c r="B40" s="19">
        <v>184</v>
      </c>
      <c r="C40" s="22">
        <v>84</v>
      </c>
      <c r="D40" s="19">
        <v>189.6</v>
      </c>
      <c r="E40" s="22">
        <f t="shared" si="0"/>
        <v>133</v>
      </c>
      <c r="F40" s="19"/>
      <c r="G40" s="33">
        <v>182</v>
      </c>
      <c r="H40" s="19"/>
      <c r="I40" s="20"/>
      <c r="J40" s="36"/>
      <c r="K40" s="108"/>
      <c r="L40" s="22">
        <v>35</v>
      </c>
      <c r="M40" s="19"/>
      <c r="N40" s="22">
        <v>84</v>
      </c>
      <c r="O40" s="19"/>
      <c r="P40" s="22">
        <f t="shared" si="1"/>
        <v>133</v>
      </c>
      <c r="Q40" s="19">
        <v>197.5</v>
      </c>
      <c r="R40" s="33">
        <v>182</v>
      </c>
      <c r="S40" s="19">
        <v>207.8</v>
      </c>
      <c r="T40" s="20"/>
      <c r="U40" s="36"/>
      <c r="W40" s="22">
        <v>35</v>
      </c>
      <c r="X40" s="19">
        <v>184</v>
      </c>
      <c r="Y40" s="22">
        <v>84</v>
      </c>
      <c r="Z40" s="19">
        <v>189.6</v>
      </c>
      <c r="AA40" s="22">
        <f t="shared" si="2"/>
        <v>133</v>
      </c>
      <c r="AB40" s="19"/>
      <c r="AC40" s="33">
        <v>182</v>
      </c>
      <c r="AD40" s="19"/>
      <c r="AE40" s="20"/>
      <c r="AF40" s="36"/>
      <c r="AG40" s="108"/>
      <c r="AH40" s="22">
        <v>35</v>
      </c>
      <c r="AI40" s="19"/>
      <c r="AJ40" s="22">
        <v>84</v>
      </c>
      <c r="AK40" s="19"/>
      <c r="AL40" s="22">
        <f t="shared" si="3"/>
        <v>133</v>
      </c>
      <c r="AM40" s="19">
        <v>197.5</v>
      </c>
      <c r="AN40" s="33">
        <v>182</v>
      </c>
      <c r="AO40" s="19">
        <v>207.8</v>
      </c>
      <c r="AP40" s="20"/>
      <c r="AQ40" s="36"/>
      <c r="AS40" s="22">
        <v>35</v>
      </c>
      <c r="AT40" s="19"/>
      <c r="AU40" s="22">
        <v>84</v>
      </c>
      <c r="AV40" s="19"/>
      <c r="AW40" s="22">
        <f t="shared" si="4"/>
        <v>133</v>
      </c>
      <c r="AX40" s="19"/>
      <c r="AY40" s="33">
        <v>182</v>
      </c>
      <c r="AZ40" s="19"/>
      <c r="BA40" s="20"/>
      <c r="BB40" s="36"/>
    </row>
    <row r="41" spans="1:54" ht="15.75" x14ac:dyDescent="0.25">
      <c r="A41" s="22">
        <v>36</v>
      </c>
      <c r="B41" s="19">
        <v>207.8</v>
      </c>
      <c r="C41" s="22">
        <v>85</v>
      </c>
      <c r="D41" s="19">
        <v>184.7</v>
      </c>
      <c r="E41" s="22">
        <f t="shared" si="0"/>
        <v>134</v>
      </c>
      <c r="F41" s="19"/>
      <c r="G41" s="33">
        <v>183</v>
      </c>
      <c r="H41" s="19"/>
      <c r="I41" s="20"/>
      <c r="J41" s="36"/>
      <c r="K41" s="108"/>
      <c r="L41" s="22">
        <v>36</v>
      </c>
      <c r="M41" s="19"/>
      <c r="N41" s="22">
        <v>85</v>
      </c>
      <c r="O41" s="19"/>
      <c r="P41" s="22">
        <f t="shared" si="1"/>
        <v>134</v>
      </c>
      <c r="Q41" s="19">
        <v>197.9</v>
      </c>
      <c r="R41" s="33">
        <v>183</v>
      </c>
      <c r="S41" s="19">
        <v>216</v>
      </c>
      <c r="T41" s="20"/>
      <c r="U41" s="36"/>
      <c r="W41" s="22">
        <v>36</v>
      </c>
      <c r="X41" s="19">
        <v>207.8</v>
      </c>
      <c r="Y41" s="22">
        <v>85</v>
      </c>
      <c r="Z41" s="19">
        <v>184.7</v>
      </c>
      <c r="AA41" s="22">
        <f t="shared" si="2"/>
        <v>134</v>
      </c>
      <c r="AB41" s="19"/>
      <c r="AC41" s="33">
        <v>183</v>
      </c>
      <c r="AD41" s="19"/>
      <c r="AE41" s="20"/>
      <c r="AF41" s="36"/>
      <c r="AG41" s="108"/>
      <c r="AH41" s="22">
        <v>36</v>
      </c>
      <c r="AI41" s="19"/>
      <c r="AJ41" s="22">
        <v>85</v>
      </c>
      <c r="AK41" s="19"/>
      <c r="AL41" s="22">
        <f t="shared" si="3"/>
        <v>134</v>
      </c>
      <c r="AM41" s="19">
        <v>197.9</v>
      </c>
      <c r="AN41" s="33">
        <v>183</v>
      </c>
      <c r="AO41" s="19">
        <v>216</v>
      </c>
      <c r="AP41" s="20"/>
      <c r="AQ41" s="36"/>
      <c r="AS41" s="22">
        <v>36</v>
      </c>
      <c r="AT41" s="19"/>
      <c r="AU41" s="22">
        <v>85</v>
      </c>
      <c r="AV41" s="19"/>
      <c r="AW41" s="22">
        <f t="shared" si="4"/>
        <v>134</v>
      </c>
      <c r="AX41" s="19"/>
      <c r="AY41" s="33">
        <v>183</v>
      </c>
      <c r="AZ41" s="19"/>
      <c r="BA41" s="20"/>
      <c r="BB41" s="36"/>
    </row>
    <row r="42" spans="1:54" ht="15.75" x14ac:dyDescent="0.25">
      <c r="A42" s="22">
        <v>37</v>
      </c>
      <c r="B42" s="19">
        <v>185</v>
      </c>
      <c r="C42" s="22">
        <v>86</v>
      </c>
      <c r="D42" s="19">
        <v>225.9</v>
      </c>
      <c r="E42" s="22">
        <f t="shared" si="0"/>
        <v>135</v>
      </c>
      <c r="F42" s="19"/>
      <c r="G42" s="33">
        <v>184</v>
      </c>
      <c r="H42" s="19"/>
      <c r="I42" s="21"/>
      <c r="J42" s="36"/>
      <c r="K42" s="108"/>
      <c r="L42" s="22">
        <v>37</v>
      </c>
      <c r="M42" s="19"/>
      <c r="N42" s="22">
        <v>86</v>
      </c>
      <c r="O42" s="19"/>
      <c r="P42" s="22">
        <f t="shared" si="1"/>
        <v>135</v>
      </c>
      <c r="Q42" s="19">
        <v>207.8</v>
      </c>
      <c r="R42" s="33">
        <v>184</v>
      </c>
      <c r="S42" s="19">
        <v>215.7</v>
      </c>
      <c r="T42" s="21"/>
      <c r="U42" s="36"/>
      <c r="W42" s="22">
        <v>37</v>
      </c>
      <c r="X42" s="19">
        <v>185</v>
      </c>
      <c r="Y42" s="22">
        <v>86</v>
      </c>
      <c r="Z42" s="19">
        <v>225.9</v>
      </c>
      <c r="AA42" s="22">
        <f t="shared" si="2"/>
        <v>135</v>
      </c>
      <c r="AB42" s="19"/>
      <c r="AC42" s="33">
        <v>184</v>
      </c>
      <c r="AD42" s="19"/>
      <c r="AE42" s="21"/>
      <c r="AF42" s="36"/>
      <c r="AG42" s="108"/>
      <c r="AH42" s="22">
        <v>37</v>
      </c>
      <c r="AI42" s="19"/>
      <c r="AJ42" s="22">
        <v>86</v>
      </c>
      <c r="AK42" s="19"/>
      <c r="AL42" s="22">
        <f t="shared" si="3"/>
        <v>135</v>
      </c>
      <c r="AM42" s="19">
        <v>207.8</v>
      </c>
      <c r="AN42" s="33">
        <v>184</v>
      </c>
      <c r="AO42" s="19"/>
      <c r="AP42" s="21"/>
      <c r="AQ42" s="36"/>
      <c r="AS42" s="22">
        <v>37</v>
      </c>
      <c r="AT42" s="19"/>
      <c r="AU42" s="22">
        <v>86</v>
      </c>
      <c r="AV42" s="19"/>
      <c r="AW42" s="22">
        <f t="shared" si="4"/>
        <v>135</v>
      </c>
      <c r="AX42" s="19"/>
      <c r="AY42" s="33">
        <v>184</v>
      </c>
      <c r="AZ42" s="19">
        <v>215.7</v>
      </c>
      <c r="BA42" s="21"/>
      <c r="BB42" s="36"/>
    </row>
    <row r="43" spans="1:54" ht="15.75" x14ac:dyDescent="0.25">
      <c r="A43" s="22">
        <v>38</v>
      </c>
      <c r="B43" s="19">
        <v>199.3</v>
      </c>
      <c r="C43" s="22">
        <v>87</v>
      </c>
      <c r="D43" s="19">
        <v>190.5</v>
      </c>
      <c r="E43" s="22">
        <f t="shared" si="0"/>
        <v>136</v>
      </c>
      <c r="F43" s="19"/>
      <c r="G43" s="33">
        <v>185</v>
      </c>
      <c r="H43" s="19"/>
      <c r="I43" s="20"/>
      <c r="J43" s="36"/>
      <c r="K43" s="108"/>
      <c r="L43" s="22">
        <v>38</v>
      </c>
      <c r="M43" s="19"/>
      <c r="N43" s="22">
        <v>87</v>
      </c>
      <c r="O43" s="19"/>
      <c r="P43" s="22">
        <f t="shared" si="1"/>
        <v>136</v>
      </c>
      <c r="Q43" s="19">
        <v>197.5</v>
      </c>
      <c r="R43" s="33">
        <v>185</v>
      </c>
      <c r="S43" s="19">
        <v>217</v>
      </c>
      <c r="T43" s="20"/>
      <c r="U43" s="36"/>
      <c r="W43" s="22">
        <v>38</v>
      </c>
      <c r="X43" s="19">
        <v>199.3</v>
      </c>
      <c r="Y43" s="22">
        <v>87</v>
      </c>
      <c r="Z43" s="19">
        <v>190.5</v>
      </c>
      <c r="AA43" s="22">
        <f t="shared" si="2"/>
        <v>136</v>
      </c>
      <c r="AB43" s="19"/>
      <c r="AC43" s="33">
        <v>185</v>
      </c>
      <c r="AD43" s="19"/>
      <c r="AE43" s="20"/>
      <c r="AF43" s="36"/>
      <c r="AG43" s="108"/>
      <c r="AH43" s="22">
        <v>38</v>
      </c>
      <c r="AI43" s="19"/>
      <c r="AJ43" s="22">
        <v>87</v>
      </c>
      <c r="AK43" s="19"/>
      <c r="AL43" s="22">
        <f t="shared" si="3"/>
        <v>136</v>
      </c>
      <c r="AM43" s="19">
        <v>197.5</v>
      </c>
      <c r="AN43" s="33">
        <v>185</v>
      </c>
      <c r="AO43" s="19"/>
      <c r="AP43" s="20"/>
      <c r="AQ43" s="36"/>
      <c r="AS43" s="22">
        <v>38</v>
      </c>
      <c r="AT43" s="19"/>
      <c r="AU43" s="22">
        <v>87</v>
      </c>
      <c r="AV43" s="19"/>
      <c r="AW43" s="22">
        <f t="shared" si="4"/>
        <v>136</v>
      </c>
      <c r="AX43" s="19"/>
      <c r="AY43" s="33">
        <v>185</v>
      </c>
      <c r="AZ43" s="19">
        <v>217</v>
      </c>
      <c r="BA43" s="20"/>
      <c r="BB43" s="36"/>
    </row>
    <row r="44" spans="1:54" ht="15.75" x14ac:dyDescent="0.25">
      <c r="A44" s="22">
        <v>39</v>
      </c>
      <c r="B44" s="19">
        <v>194</v>
      </c>
      <c r="C44" s="22">
        <v>88</v>
      </c>
      <c r="D44" s="19">
        <v>188.3</v>
      </c>
      <c r="E44" s="22">
        <f t="shared" si="0"/>
        <v>137</v>
      </c>
      <c r="F44" s="19"/>
      <c r="G44" s="33">
        <v>186</v>
      </c>
      <c r="H44" s="19"/>
      <c r="I44" s="20"/>
      <c r="J44" s="36"/>
      <c r="K44" s="108"/>
      <c r="L44" s="22">
        <v>39</v>
      </c>
      <c r="M44" s="19"/>
      <c r="N44" s="22">
        <v>88</v>
      </c>
      <c r="O44" s="19"/>
      <c r="P44" s="22">
        <f t="shared" si="1"/>
        <v>137</v>
      </c>
      <c r="Q44" s="19">
        <v>202.5</v>
      </c>
      <c r="R44" s="33">
        <v>186</v>
      </c>
      <c r="S44" s="19">
        <v>209.2</v>
      </c>
      <c r="T44" s="20"/>
      <c r="U44" s="36"/>
      <c r="W44" s="22">
        <v>39</v>
      </c>
      <c r="X44" s="19">
        <v>194</v>
      </c>
      <c r="Y44" s="22">
        <v>88</v>
      </c>
      <c r="Z44" s="19">
        <v>188.3</v>
      </c>
      <c r="AA44" s="22">
        <f t="shared" si="2"/>
        <v>137</v>
      </c>
      <c r="AB44" s="19"/>
      <c r="AC44" s="33">
        <v>186</v>
      </c>
      <c r="AD44" s="19"/>
      <c r="AE44" s="20"/>
      <c r="AF44" s="36"/>
      <c r="AG44" s="108"/>
      <c r="AH44" s="22">
        <v>39</v>
      </c>
      <c r="AI44" s="19"/>
      <c r="AJ44" s="22">
        <v>88</v>
      </c>
      <c r="AK44" s="19"/>
      <c r="AL44" s="22">
        <f t="shared" si="3"/>
        <v>137</v>
      </c>
      <c r="AM44" s="19">
        <v>202.5</v>
      </c>
      <c r="AN44" s="33">
        <v>186</v>
      </c>
      <c r="AO44" s="19"/>
      <c r="AP44" s="20"/>
      <c r="AQ44" s="36"/>
      <c r="AS44" s="22">
        <v>39</v>
      </c>
      <c r="AT44" s="19"/>
      <c r="AU44" s="22">
        <v>88</v>
      </c>
      <c r="AV44" s="19"/>
      <c r="AW44" s="22">
        <f t="shared" si="4"/>
        <v>137</v>
      </c>
      <c r="AX44" s="19"/>
      <c r="AY44" s="33">
        <v>186</v>
      </c>
      <c r="AZ44" s="19">
        <v>209.2</v>
      </c>
      <c r="BA44" s="20"/>
      <c r="BB44" s="36"/>
    </row>
    <row r="45" spans="1:54" ht="15.75" x14ac:dyDescent="0.25">
      <c r="A45" s="22">
        <v>40</v>
      </c>
      <c r="B45" s="19">
        <v>212.8</v>
      </c>
      <c r="C45" s="22">
        <v>89</v>
      </c>
      <c r="D45" s="19">
        <v>184.8</v>
      </c>
      <c r="E45" s="22">
        <f t="shared" si="0"/>
        <v>138</v>
      </c>
      <c r="F45" s="19"/>
      <c r="G45" s="33">
        <v>187</v>
      </c>
      <c r="H45" s="19"/>
      <c r="I45" s="21"/>
      <c r="J45" s="36"/>
      <c r="K45" s="108"/>
      <c r="L45" s="22">
        <v>40</v>
      </c>
      <c r="M45" s="19"/>
      <c r="N45" s="22">
        <v>89</v>
      </c>
      <c r="O45" s="19"/>
      <c r="P45" s="22">
        <f t="shared" si="1"/>
        <v>138</v>
      </c>
      <c r="Q45" s="19">
        <v>194.4</v>
      </c>
      <c r="R45" s="33">
        <v>187</v>
      </c>
      <c r="S45" s="19">
        <v>208.6</v>
      </c>
      <c r="T45" s="21"/>
      <c r="U45" s="36"/>
      <c r="W45" s="22">
        <v>40</v>
      </c>
      <c r="X45" s="19">
        <v>212.8</v>
      </c>
      <c r="Y45" s="22">
        <v>89</v>
      </c>
      <c r="Z45" s="19">
        <v>184.8</v>
      </c>
      <c r="AA45" s="22">
        <f t="shared" si="2"/>
        <v>138</v>
      </c>
      <c r="AB45" s="19"/>
      <c r="AC45" s="33">
        <v>187</v>
      </c>
      <c r="AD45" s="19"/>
      <c r="AE45" s="21"/>
      <c r="AF45" s="36"/>
      <c r="AG45" s="108"/>
      <c r="AH45" s="22">
        <v>40</v>
      </c>
      <c r="AI45" s="19"/>
      <c r="AJ45" s="22">
        <v>89</v>
      </c>
      <c r="AK45" s="19"/>
      <c r="AL45" s="22">
        <f t="shared" si="3"/>
        <v>138</v>
      </c>
      <c r="AM45" s="19">
        <v>194.4</v>
      </c>
      <c r="AN45" s="33">
        <v>187</v>
      </c>
      <c r="AO45" s="19"/>
      <c r="AP45" s="21"/>
      <c r="AQ45" s="36"/>
      <c r="AS45" s="22">
        <v>40</v>
      </c>
      <c r="AT45" s="19"/>
      <c r="AU45" s="22">
        <v>89</v>
      </c>
      <c r="AV45" s="19"/>
      <c r="AW45" s="22">
        <f t="shared" si="4"/>
        <v>138</v>
      </c>
      <c r="AX45" s="19"/>
      <c r="AY45" s="33">
        <v>187</v>
      </c>
      <c r="AZ45" s="19">
        <v>208.6</v>
      </c>
      <c r="BA45" s="21"/>
      <c r="BB45" s="36"/>
    </row>
    <row r="46" spans="1:54" ht="15.75" x14ac:dyDescent="0.25">
      <c r="A46" s="22">
        <v>41</v>
      </c>
      <c r="B46" s="19">
        <v>197</v>
      </c>
      <c r="C46" s="22">
        <v>90</v>
      </c>
      <c r="D46" s="19">
        <v>188.4</v>
      </c>
      <c r="E46" s="22">
        <f t="shared" si="0"/>
        <v>139</v>
      </c>
      <c r="F46" s="19"/>
      <c r="G46" s="33">
        <v>188</v>
      </c>
      <c r="H46" s="19"/>
      <c r="I46" s="20"/>
      <c r="J46" s="36"/>
      <c r="K46" s="108"/>
      <c r="L46" s="22">
        <v>41</v>
      </c>
      <c r="M46" s="19"/>
      <c r="N46" s="22">
        <v>90</v>
      </c>
      <c r="O46" s="19"/>
      <c r="P46" s="22">
        <f t="shared" si="1"/>
        <v>139</v>
      </c>
      <c r="Q46" s="19">
        <v>199.4</v>
      </c>
      <c r="R46" s="33">
        <v>188</v>
      </c>
      <c r="S46" s="19">
        <v>216.4</v>
      </c>
      <c r="T46" s="20"/>
      <c r="U46" s="36"/>
      <c r="W46" s="22">
        <v>41</v>
      </c>
      <c r="X46" s="19">
        <v>197</v>
      </c>
      <c r="Y46" s="22">
        <v>90</v>
      </c>
      <c r="Z46" s="19">
        <v>188.4</v>
      </c>
      <c r="AA46" s="22">
        <f t="shared" si="2"/>
        <v>139</v>
      </c>
      <c r="AB46" s="19"/>
      <c r="AC46" s="33">
        <v>188</v>
      </c>
      <c r="AD46" s="19"/>
      <c r="AE46" s="20"/>
      <c r="AF46" s="36"/>
      <c r="AG46" s="108"/>
      <c r="AH46" s="22">
        <v>41</v>
      </c>
      <c r="AI46" s="19"/>
      <c r="AJ46" s="22">
        <v>90</v>
      </c>
      <c r="AK46" s="19"/>
      <c r="AL46" s="22">
        <f t="shared" si="3"/>
        <v>139</v>
      </c>
      <c r="AM46" s="19">
        <v>199.4</v>
      </c>
      <c r="AN46" s="33">
        <v>188</v>
      </c>
      <c r="AO46" s="19"/>
      <c r="AP46" s="20"/>
      <c r="AQ46" s="36"/>
      <c r="AS46" s="22">
        <v>41</v>
      </c>
      <c r="AT46" s="19"/>
      <c r="AU46" s="22">
        <v>90</v>
      </c>
      <c r="AV46" s="19"/>
      <c r="AW46" s="22">
        <f t="shared" si="4"/>
        <v>139</v>
      </c>
      <c r="AX46" s="19"/>
      <c r="AY46" s="33">
        <v>188</v>
      </c>
      <c r="AZ46" s="19">
        <v>216.4</v>
      </c>
      <c r="BA46" s="20"/>
      <c r="BB46" s="36"/>
    </row>
    <row r="47" spans="1:54" ht="15.75" x14ac:dyDescent="0.25">
      <c r="A47" s="22">
        <v>42</v>
      </c>
      <c r="B47" s="19">
        <v>197</v>
      </c>
      <c r="C47" s="22">
        <v>91</v>
      </c>
      <c r="D47" s="19">
        <v>186.7</v>
      </c>
      <c r="E47" s="22">
        <f t="shared" si="0"/>
        <v>140</v>
      </c>
      <c r="F47" s="19"/>
      <c r="G47" s="33">
        <v>189</v>
      </c>
      <c r="H47" s="19"/>
      <c r="I47" s="20"/>
      <c r="J47" s="36"/>
      <c r="K47" s="108"/>
      <c r="L47" s="22">
        <v>42</v>
      </c>
      <c r="M47" s="19"/>
      <c r="N47" s="22">
        <v>91</v>
      </c>
      <c r="O47" s="19"/>
      <c r="P47" s="22">
        <f t="shared" si="1"/>
        <v>140</v>
      </c>
      <c r="Q47" s="19">
        <v>197.9</v>
      </c>
      <c r="R47" s="33">
        <v>189</v>
      </c>
      <c r="S47" s="19">
        <v>192.6</v>
      </c>
      <c r="T47" s="20"/>
      <c r="U47" s="36"/>
      <c r="W47" s="22">
        <v>42</v>
      </c>
      <c r="X47" s="19">
        <v>197</v>
      </c>
      <c r="Y47" s="22">
        <v>91</v>
      </c>
      <c r="Z47" s="19">
        <v>186.7</v>
      </c>
      <c r="AA47" s="22">
        <f t="shared" si="2"/>
        <v>140</v>
      </c>
      <c r="AB47" s="19"/>
      <c r="AC47" s="33">
        <v>189</v>
      </c>
      <c r="AD47" s="19"/>
      <c r="AE47" s="20"/>
      <c r="AF47" s="36"/>
      <c r="AG47" s="108"/>
      <c r="AH47" s="22">
        <v>42</v>
      </c>
      <c r="AI47" s="19"/>
      <c r="AJ47" s="22">
        <v>91</v>
      </c>
      <c r="AK47" s="19"/>
      <c r="AL47" s="22">
        <f t="shared" si="3"/>
        <v>140</v>
      </c>
      <c r="AM47" s="19">
        <v>197.9</v>
      </c>
      <c r="AN47" s="33">
        <v>189</v>
      </c>
      <c r="AO47" s="19"/>
      <c r="AP47" s="20"/>
      <c r="AQ47" s="36"/>
      <c r="AS47" s="22">
        <v>42</v>
      </c>
      <c r="AT47" s="19"/>
      <c r="AU47" s="22">
        <v>91</v>
      </c>
      <c r="AV47" s="19"/>
      <c r="AW47" s="22">
        <f t="shared" si="4"/>
        <v>140</v>
      </c>
      <c r="AX47" s="19"/>
      <c r="AY47" s="33">
        <v>189</v>
      </c>
      <c r="AZ47" s="19">
        <v>192.6</v>
      </c>
      <c r="BA47" s="20"/>
      <c r="BB47" s="36"/>
    </row>
    <row r="48" spans="1:54" ht="15.75" x14ac:dyDescent="0.25">
      <c r="A48" s="22">
        <v>43</v>
      </c>
      <c r="B48" s="19">
        <v>193.2</v>
      </c>
      <c r="C48" s="22">
        <v>92</v>
      </c>
      <c r="D48" s="19">
        <v>188.8</v>
      </c>
      <c r="E48" s="22">
        <f t="shared" si="0"/>
        <v>141</v>
      </c>
      <c r="F48" s="19"/>
      <c r="G48" s="33">
        <v>190</v>
      </c>
      <c r="H48" s="19"/>
      <c r="I48" s="21"/>
      <c r="J48" s="36"/>
      <c r="K48" s="108"/>
      <c r="L48" s="22">
        <v>43</v>
      </c>
      <c r="M48" s="19"/>
      <c r="N48" s="22">
        <v>92</v>
      </c>
      <c r="O48" s="19"/>
      <c r="P48" s="22">
        <f t="shared" si="1"/>
        <v>141</v>
      </c>
      <c r="Q48" s="19">
        <v>202.5</v>
      </c>
      <c r="R48" s="33">
        <v>190</v>
      </c>
      <c r="S48" s="19">
        <v>203.1</v>
      </c>
      <c r="T48" s="21"/>
      <c r="U48" s="36"/>
      <c r="W48" s="22">
        <v>43</v>
      </c>
      <c r="X48" s="19">
        <v>193.2</v>
      </c>
      <c r="Y48" s="22">
        <v>92</v>
      </c>
      <c r="Z48" s="19">
        <v>188.8</v>
      </c>
      <c r="AA48" s="22">
        <f t="shared" si="2"/>
        <v>141</v>
      </c>
      <c r="AB48" s="19"/>
      <c r="AC48" s="33">
        <v>190</v>
      </c>
      <c r="AD48" s="19"/>
      <c r="AE48" s="21"/>
      <c r="AF48" s="36"/>
      <c r="AG48" s="108"/>
      <c r="AH48" s="22">
        <v>43</v>
      </c>
      <c r="AI48" s="19"/>
      <c r="AJ48" s="22">
        <v>92</v>
      </c>
      <c r="AK48" s="19"/>
      <c r="AL48" s="22">
        <f t="shared" si="3"/>
        <v>141</v>
      </c>
      <c r="AM48" s="19">
        <v>202.5</v>
      </c>
      <c r="AN48" s="33">
        <v>190</v>
      </c>
      <c r="AO48" s="19"/>
      <c r="AP48" s="21"/>
      <c r="AQ48" s="36"/>
      <c r="AS48" s="22">
        <v>43</v>
      </c>
      <c r="AT48" s="19"/>
      <c r="AU48" s="22">
        <v>92</v>
      </c>
      <c r="AV48" s="19"/>
      <c r="AW48" s="22">
        <f t="shared" si="4"/>
        <v>141</v>
      </c>
      <c r="AX48" s="19"/>
      <c r="AY48" s="33">
        <v>190</v>
      </c>
      <c r="AZ48" s="19">
        <v>203.1</v>
      </c>
      <c r="BA48" s="21"/>
      <c r="BB48" s="36"/>
    </row>
    <row r="49" spans="1:54" ht="15.75" x14ac:dyDescent="0.25">
      <c r="A49" s="22">
        <v>44</v>
      </c>
      <c r="B49" s="19">
        <v>182.6</v>
      </c>
      <c r="C49" s="22">
        <v>93</v>
      </c>
      <c r="D49" s="19">
        <v>183.1</v>
      </c>
      <c r="E49" s="22">
        <f t="shared" si="0"/>
        <v>142</v>
      </c>
      <c r="F49" s="19"/>
      <c r="G49" s="33">
        <v>191</v>
      </c>
      <c r="H49" s="19"/>
      <c r="I49" s="21"/>
      <c r="J49" s="36"/>
      <c r="K49" s="108"/>
      <c r="L49" s="22">
        <v>44</v>
      </c>
      <c r="M49" s="19"/>
      <c r="N49" s="22">
        <v>93</v>
      </c>
      <c r="O49" s="19"/>
      <c r="P49" s="22">
        <f t="shared" si="1"/>
        <v>142</v>
      </c>
      <c r="Q49" s="19">
        <v>194</v>
      </c>
      <c r="R49" s="33">
        <v>191</v>
      </c>
      <c r="S49" s="19">
        <v>207.3</v>
      </c>
      <c r="T49" s="21"/>
      <c r="U49" s="36"/>
      <c r="W49" s="22">
        <v>44</v>
      </c>
      <c r="X49" s="19">
        <v>182.6</v>
      </c>
      <c r="Y49" s="22">
        <v>93</v>
      </c>
      <c r="Z49" s="19">
        <v>183.1</v>
      </c>
      <c r="AA49" s="22">
        <f t="shared" si="2"/>
        <v>142</v>
      </c>
      <c r="AB49" s="19"/>
      <c r="AC49" s="33">
        <v>191</v>
      </c>
      <c r="AD49" s="19"/>
      <c r="AE49" s="21"/>
      <c r="AF49" s="36"/>
      <c r="AG49" s="108"/>
      <c r="AH49" s="22">
        <v>44</v>
      </c>
      <c r="AI49" s="19"/>
      <c r="AJ49" s="22">
        <v>93</v>
      </c>
      <c r="AK49" s="19"/>
      <c r="AL49" s="22">
        <f t="shared" si="3"/>
        <v>142</v>
      </c>
      <c r="AM49" s="19">
        <v>194</v>
      </c>
      <c r="AN49" s="33">
        <v>191</v>
      </c>
      <c r="AO49" s="19"/>
      <c r="AP49" s="21"/>
      <c r="AQ49" s="36"/>
      <c r="AS49" s="22">
        <v>44</v>
      </c>
      <c r="AT49" s="19"/>
      <c r="AU49" s="22">
        <v>93</v>
      </c>
      <c r="AV49" s="19"/>
      <c r="AW49" s="22">
        <f t="shared" si="4"/>
        <v>142</v>
      </c>
      <c r="AX49" s="19"/>
      <c r="AY49" s="33">
        <v>191</v>
      </c>
      <c r="AZ49" s="19">
        <v>207.3</v>
      </c>
      <c r="BA49" s="21"/>
      <c r="BB49" s="36"/>
    </row>
    <row r="50" spans="1:54" ht="15.75" x14ac:dyDescent="0.25">
      <c r="A50" s="22">
        <v>45</v>
      </c>
      <c r="B50" s="19">
        <v>180.2</v>
      </c>
      <c r="C50" s="22">
        <v>94</v>
      </c>
      <c r="D50" s="19">
        <v>209.6</v>
      </c>
      <c r="E50" s="22">
        <f t="shared" si="0"/>
        <v>143</v>
      </c>
      <c r="F50" s="19"/>
      <c r="G50" s="33">
        <v>192</v>
      </c>
      <c r="H50" s="19"/>
      <c r="I50" s="20"/>
      <c r="J50" s="36"/>
      <c r="K50" s="108"/>
      <c r="L50" s="22">
        <v>45</v>
      </c>
      <c r="M50" s="19"/>
      <c r="N50" s="22">
        <v>94</v>
      </c>
      <c r="O50" s="19"/>
      <c r="P50" s="22">
        <f t="shared" si="1"/>
        <v>143</v>
      </c>
      <c r="Q50" s="19">
        <v>207.9</v>
      </c>
      <c r="R50" s="33">
        <v>192</v>
      </c>
      <c r="S50" s="19">
        <v>212.3</v>
      </c>
      <c r="T50" s="20"/>
      <c r="U50" s="36"/>
      <c r="W50" s="22">
        <v>45</v>
      </c>
      <c r="X50" s="19">
        <v>180.2</v>
      </c>
      <c r="Y50" s="22">
        <v>94</v>
      </c>
      <c r="Z50" s="19">
        <v>209.6</v>
      </c>
      <c r="AA50" s="22">
        <f t="shared" si="2"/>
        <v>143</v>
      </c>
      <c r="AB50" s="19"/>
      <c r="AC50" s="33">
        <v>192</v>
      </c>
      <c r="AD50" s="19"/>
      <c r="AE50" s="20"/>
      <c r="AF50" s="36"/>
      <c r="AG50" s="108"/>
      <c r="AH50" s="22">
        <v>45</v>
      </c>
      <c r="AI50" s="19"/>
      <c r="AJ50" s="22">
        <v>94</v>
      </c>
      <c r="AK50" s="19"/>
      <c r="AL50" s="22">
        <f t="shared" si="3"/>
        <v>143</v>
      </c>
      <c r="AM50" s="19">
        <v>207.9</v>
      </c>
      <c r="AN50" s="33">
        <v>192</v>
      </c>
      <c r="AO50" s="19"/>
      <c r="AP50" s="20"/>
      <c r="AQ50" s="36"/>
      <c r="AS50" s="22">
        <v>45</v>
      </c>
      <c r="AT50" s="19"/>
      <c r="AU50" s="22">
        <v>94</v>
      </c>
      <c r="AV50" s="19"/>
      <c r="AW50" s="22">
        <f t="shared" si="4"/>
        <v>143</v>
      </c>
      <c r="AX50" s="19"/>
      <c r="AY50" s="33">
        <v>192</v>
      </c>
      <c r="AZ50" s="19">
        <v>212.3</v>
      </c>
      <c r="BA50" s="20"/>
      <c r="BB50" s="36"/>
    </row>
    <row r="51" spans="1:54" ht="15.75" x14ac:dyDescent="0.25">
      <c r="A51" s="22">
        <v>46</v>
      </c>
      <c r="B51" s="19">
        <v>181.9</v>
      </c>
      <c r="C51" s="22">
        <v>95</v>
      </c>
      <c r="D51" s="19">
        <v>186.2</v>
      </c>
      <c r="E51" s="22">
        <f t="shared" si="0"/>
        <v>144</v>
      </c>
      <c r="F51" s="19"/>
      <c r="G51" s="33">
        <v>193</v>
      </c>
      <c r="H51" s="19"/>
      <c r="I51" s="20"/>
      <c r="J51" s="36"/>
      <c r="K51" s="108"/>
      <c r="L51" s="22">
        <v>46</v>
      </c>
      <c r="M51" s="19"/>
      <c r="N51" s="22">
        <v>95</v>
      </c>
      <c r="O51" s="19"/>
      <c r="P51" s="22">
        <f t="shared" si="1"/>
        <v>144</v>
      </c>
      <c r="Q51" s="19">
        <v>202.2</v>
      </c>
      <c r="R51" s="33">
        <v>193</v>
      </c>
      <c r="S51" s="19">
        <v>204</v>
      </c>
      <c r="T51" s="20"/>
      <c r="U51" s="36"/>
      <c r="W51" s="22">
        <v>46</v>
      </c>
      <c r="X51" s="19">
        <v>181.9</v>
      </c>
      <c r="Y51" s="22">
        <v>95</v>
      </c>
      <c r="Z51" s="19">
        <v>186.2</v>
      </c>
      <c r="AA51" s="22">
        <f t="shared" si="2"/>
        <v>144</v>
      </c>
      <c r="AB51" s="19"/>
      <c r="AC51" s="33">
        <v>193</v>
      </c>
      <c r="AD51" s="19"/>
      <c r="AE51" s="20"/>
      <c r="AF51" s="36"/>
      <c r="AG51" s="108"/>
      <c r="AH51" s="22">
        <v>46</v>
      </c>
      <c r="AI51" s="19"/>
      <c r="AJ51" s="22">
        <v>95</v>
      </c>
      <c r="AK51" s="19"/>
      <c r="AL51" s="22">
        <f t="shared" si="3"/>
        <v>144</v>
      </c>
      <c r="AM51" s="19">
        <v>202.2</v>
      </c>
      <c r="AN51" s="33">
        <v>193</v>
      </c>
      <c r="AO51" s="19"/>
      <c r="AP51" s="20"/>
      <c r="AQ51" s="36"/>
      <c r="AS51" s="22">
        <v>46</v>
      </c>
      <c r="AT51" s="19"/>
      <c r="AU51" s="22">
        <v>95</v>
      </c>
      <c r="AV51" s="19"/>
      <c r="AW51" s="22">
        <f t="shared" si="4"/>
        <v>144</v>
      </c>
      <c r="AX51" s="19"/>
      <c r="AY51" s="33">
        <v>193</v>
      </c>
      <c r="AZ51" s="19">
        <v>204</v>
      </c>
      <c r="BA51" s="20"/>
      <c r="BB51" s="36"/>
    </row>
    <row r="52" spans="1:54" ht="15.75" x14ac:dyDescent="0.25">
      <c r="A52" s="22">
        <v>47</v>
      </c>
      <c r="B52" s="19">
        <v>185.3</v>
      </c>
      <c r="C52" s="22">
        <v>96</v>
      </c>
      <c r="D52" s="19">
        <v>190.1</v>
      </c>
      <c r="E52" s="22">
        <f t="shared" si="0"/>
        <v>145</v>
      </c>
      <c r="F52" s="19"/>
      <c r="G52" s="33">
        <v>194</v>
      </c>
      <c r="H52" s="19"/>
      <c r="I52" s="21"/>
      <c r="J52" s="36"/>
      <c r="K52" s="108"/>
      <c r="L52" s="22">
        <v>47</v>
      </c>
      <c r="M52" s="19"/>
      <c r="N52" s="22">
        <v>96</v>
      </c>
      <c r="O52" s="19"/>
      <c r="P52" s="22">
        <f t="shared" si="1"/>
        <v>145</v>
      </c>
      <c r="Q52" s="19">
        <v>209.5</v>
      </c>
      <c r="R52" s="33">
        <v>194</v>
      </c>
      <c r="S52" s="19">
        <v>209.8</v>
      </c>
      <c r="T52" s="21"/>
      <c r="U52" s="36"/>
      <c r="W52" s="22">
        <v>47</v>
      </c>
      <c r="X52" s="19">
        <v>185.3</v>
      </c>
      <c r="Y52" s="22">
        <v>96</v>
      </c>
      <c r="Z52" s="19">
        <v>190.1</v>
      </c>
      <c r="AA52" s="22">
        <f t="shared" si="2"/>
        <v>145</v>
      </c>
      <c r="AB52" s="19"/>
      <c r="AC52" s="33">
        <v>194</v>
      </c>
      <c r="AD52" s="19"/>
      <c r="AE52" s="21"/>
      <c r="AF52" s="36"/>
      <c r="AG52" s="108"/>
      <c r="AH52" s="22">
        <v>47</v>
      </c>
      <c r="AI52" s="19"/>
      <c r="AJ52" s="22">
        <v>96</v>
      </c>
      <c r="AK52" s="19"/>
      <c r="AL52" s="22">
        <f t="shared" si="3"/>
        <v>145</v>
      </c>
      <c r="AM52" s="19">
        <v>209.5</v>
      </c>
      <c r="AN52" s="33">
        <v>194</v>
      </c>
      <c r="AO52" s="19"/>
      <c r="AP52" s="21"/>
      <c r="AQ52" s="36"/>
      <c r="AS52" s="22">
        <v>47</v>
      </c>
      <c r="AT52" s="19"/>
      <c r="AU52" s="22">
        <v>96</v>
      </c>
      <c r="AV52" s="19"/>
      <c r="AW52" s="22">
        <f t="shared" si="4"/>
        <v>145</v>
      </c>
      <c r="AX52" s="19"/>
      <c r="AY52" s="33">
        <v>194</v>
      </c>
      <c r="AZ52" s="19">
        <v>209.8</v>
      </c>
      <c r="BA52" s="21"/>
      <c r="BB52" s="36"/>
    </row>
    <row r="53" spans="1:54" ht="15.75" x14ac:dyDescent="0.25">
      <c r="A53" s="22">
        <v>48</v>
      </c>
      <c r="B53" s="19">
        <v>209.3</v>
      </c>
      <c r="C53" s="22">
        <v>97</v>
      </c>
      <c r="D53" s="19">
        <v>187.5</v>
      </c>
      <c r="E53" s="22">
        <f t="shared" si="0"/>
        <v>146</v>
      </c>
      <c r="F53" s="19"/>
      <c r="G53" s="33">
        <v>195</v>
      </c>
      <c r="H53" s="19"/>
      <c r="I53" s="20"/>
      <c r="J53" s="36"/>
      <c r="K53" s="108"/>
      <c r="L53" s="22">
        <v>48</v>
      </c>
      <c r="M53" s="19"/>
      <c r="N53" s="22">
        <v>97</v>
      </c>
      <c r="O53" s="19"/>
      <c r="P53" s="22">
        <f t="shared" si="1"/>
        <v>146</v>
      </c>
      <c r="Q53" s="19">
        <v>211.1</v>
      </c>
      <c r="R53" s="33">
        <v>195</v>
      </c>
      <c r="S53" s="19">
        <v>203.5</v>
      </c>
      <c r="T53" s="20"/>
      <c r="U53" s="36"/>
      <c r="W53" s="22">
        <v>48</v>
      </c>
      <c r="X53" s="19">
        <v>209.3</v>
      </c>
      <c r="Y53" s="22">
        <v>97</v>
      </c>
      <c r="Z53" s="19">
        <v>187.5</v>
      </c>
      <c r="AA53" s="22">
        <f t="shared" si="2"/>
        <v>146</v>
      </c>
      <c r="AB53" s="19"/>
      <c r="AC53" s="33">
        <v>195</v>
      </c>
      <c r="AD53" s="19"/>
      <c r="AE53" s="20"/>
      <c r="AF53" s="36"/>
      <c r="AG53" s="108"/>
      <c r="AH53" s="22">
        <v>48</v>
      </c>
      <c r="AI53" s="19"/>
      <c r="AJ53" s="22">
        <v>97</v>
      </c>
      <c r="AK53" s="19"/>
      <c r="AL53" s="22">
        <f t="shared" si="3"/>
        <v>146</v>
      </c>
      <c r="AM53" s="19">
        <v>211.1</v>
      </c>
      <c r="AN53" s="33">
        <v>195</v>
      </c>
      <c r="AO53" s="19"/>
      <c r="AP53" s="20"/>
      <c r="AQ53" s="36"/>
      <c r="AS53" s="22">
        <v>48</v>
      </c>
      <c r="AT53" s="19"/>
      <c r="AU53" s="22">
        <v>97</v>
      </c>
      <c r="AV53" s="19"/>
      <c r="AW53" s="22">
        <f t="shared" si="4"/>
        <v>146</v>
      </c>
      <c r="AX53" s="19"/>
      <c r="AY53" s="33">
        <v>195</v>
      </c>
      <c r="AZ53" s="19">
        <v>203.5</v>
      </c>
      <c r="BA53" s="20"/>
      <c r="BB53" s="36"/>
    </row>
    <row r="54" spans="1:54" ht="15.75" x14ac:dyDescent="0.25">
      <c r="A54" s="37">
        <v>49</v>
      </c>
      <c r="B54" s="19">
        <v>181</v>
      </c>
      <c r="C54" s="37">
        <v>98</v>
      </c>
      <c r="D54" s="19">
        <v>187.6</v>
      </c>
      <c r="E54" s="22">
        <f t="shared" si="0"/>
        <v>147</v>
      </c>
      <c r="F54" s="19"/>
      <c r="G54" s="38">
        <v>196</v>
      </c>
      <c r="H54" s="19"/>
      <c r="I54" s="39"/>
      <c r="J54" s="40"/>
      <c r="K54" s="108"/>
      <c r="L54" s="37">
        <v>49</v>
      </c>
      <c r="M54" s="19"/>
      <c r="N54" s="37">
        <v>98</v>
      </c>
      <c r="O54" s="19"/>
      <c r="P54" s="22">
        <f t="shared" si="1"/>
        <v>147</v>
      </c>
      <c r="Q54" s="19">
        <v>199.2</v>
      </c>
      <c r="R54" s="38">
        <v>196</v>
      </c>
      <c r="S54" s="19">
        <v>208.5</v>
      </c>
      <c r="T54" s="39"/>
      <c r="U54" s="40"/>
      <c r="W54" s="37">
        <v>49</v>
      </c>
      <c r="X54" s="19">
        <v>181</v>
      </c>
      <c r="Y54" s="37">
        <v>98</v>
      </c>
      <c r="Z54" s="19">
        <v>187.6</v>
      </c>
      <c r="AA54" s="22">
        <f t="shared" si="2"/>
        <v>147</v>
      </c>
      <c r="AB54" s="19"/>
      <c r="AC54" s="38">
        <v>196</v>
      </c>
      <c r="AD54" s="19"/>
      <c r="AE54" s="39"/>
      <c r="AF54" s="40"/>
      <c r="AG54" s="108"/>
      <c r="AH54" s="37">
        <v>49</v>
      </c>
      <c r="AI54" s="19"/>
      <c r="AJ54" s="37">
        <v>98</v>
      </c>
      <c r="AK54" s="19"/>
      <c r="AL54" s="22">
        <f t="shared" si="3"/>
        <v>147</v>
      </c>
      <c r="AM54" s="19">
        <v>199.2</v>
      </c>
      <c r="AN54" s="38">
        <v>196</v>
      </c>
      <c r="AO54" s="19"/>
      <c r="AP54" s="39"/>
      <c r="AQ54" s="40"/>
      <c r="AS54" s="37">
        <v>49</v>
      </c>
      <c r="AT54" s="19"/>
      <c r="AU54" s="37">
        <v>98</v>
      </c>
      <c r="AV54" s="19"/>
      <c r="AW54" s="22">
        <f t="shared" si="4"/>
        <v>147</v>
      </c>
      <c r="AX54" s="19"/>
      <c r="AY54" s="38">
        <v>196</v>
      </c>
      <c r="AZ54" s="19">
        <v>208.5</v>
      </c>
      <c r="BA54" s="39"/>
      <c r="BB54" s="40"/>
    </row>
    <row r="55" spans="1:54" ht="15.75" x14ac:dyDescent="0.25">
      <c r="A55" s="41"/>
      <c r="B55" s="117">
        <f>SUM(B6:B54)</f>
        <v>9620.4000000000015</v>
      </c>
      <c r="C55" s="117"/>
      <c r="D55" s="117">
        <f>SUM(D6:D54)</f>
        <v>9241.2000000000007</v>
      </c>
      <c r="E55" s="117"/>
      <c r="F55" s="117">
        <f>SUM(F6:F54)</f>
        <v>5260</v>
      </c>
      <c r="G55" s="23"/>
      <c r="H55" s="23">
        <f>SUM(H6:H54)</f>
        <v>0</v>
      </c>
      <c r="I55" s="41"/>
      <c r="J55" s="41">
        <f>SUM(J6:J54)</f>
        <v>0</v>
      </c>
      <c r="K55" s="109"/>
      <c r="L55" s="41"/>
      <c r="M55" s="23">
        <f>SUM(M6:M54)</f>
        <v>0</v>
      </c>
      <c r="N55" s="23"/>
      <c r="O55" s="23">
        <f>SUM(O6:O54)</f>
        <v>0</v>
      </c>
      <c r="P55" s="23"/>
      <c r="Q55" s="23">
        <f>SUM(Q6:Q54)</f>
        <v>4223.6000000000004</v>
      </c>
      <c r="R55" s="23"/>
      <c r="S55" s="23">
        <f>SUM(S6:S54)</f>
        <v>10103.799999999997</v>
      </c>
      <c r="T55" s="41"/>
      <c r="U55" s="41">
        <f>SUM(U6:U54)</f>
        <v>4836.2</v>
      </c>
      <c r="W55" s="41"/>
      <c r="X55" s="23">
        <f>SUM(X6:X54)</f>
        <v>9620.4000000000015</v>
      </c>
      <c r="Y55" s="23"/>
      <c r="Z55" s="23">
        <f>SUM(Z6:Z54)</f>
        <v>9241.2000000000007</v>
      </c>
      <c r="AA55" s="23"/>
      <c r="AB55" s="23">
        <f>SUM(AB6:AB54)</f>
        <v>5260</v>
      </c>
      <c r="AC55" s="23"/>
      <c r="AD55" s="23">
        <f>SUM(AD6:AD54)</f>
        <v>0</v>
      </c>
      <c r="AE55" s="41"/>
      <c r="AF55" s="41">
        <f>SUM(AF6:AF54)</f>
        <v>0</v>
      </c>
      <c r="AG55" s="109"/>
      <c r="AH55" s="41"/>
      <c r="AI55" s="23">
        <f>SUM(AI6:AI54)</f>
        <v>0</v>
      </c>
      <c r="AJ55" s="23"/>
      <c r="AK55" s="23">
        <f>SUM(AK6:AK54)</f>
        <v>0</v>
      </c>
      <c r="AL55" s="23"/>
      <c r="AM55" s="23">
        <f>SUM(AM6:AM54)</f>
        <v>4223.6000000000004</v>
      </c>
      <c r="AN55" s="23"/>
      <c r="AO55" s="23">
        <f>SUM(AO6:AO54)</f>
        <v>7395.8</v>
      </c>
      <c r="AP55" s="41"/>
      <c r="AQ55" s="41">
        <f>SUM(AQ6:AQ54)</f>
        <v>0</v>
      </c>
      <c r="AS55" s="41"/>
      <c r="AT55" s="23">
        <f>SUM(AT6:AT54)</f>
        <v>0</v>
      </c>
      <c r="AU55" s="23"/>
      <c r="AV55" s="23">
        <f>SUM(AV6:AV54)</f>
        <v>0</v>
      </c>
      <c r="AW55" s="23"/>
      <c r="AX55" s="23">
        <f>SUM(AX6:AX54)</f>
        <v>0</v>
      </c>
      <c r="AY55" s="23"/>
      <c r="AZ55" s="23">
        <f>SUM(AZ6:AZ54)</f>
        <v>2708</v>
      </c>
      <c r="BA55" s="41"/>
      <c r="BB55" s="41">
        <f>SUM(BB6:BB54)</f>
        <v>4836.2</v>
      </c>
    </row>
    <row r="56" spans="1:54" ht="15.75" x14ac:dyDescent="0.25">
      <c r="A56" s="42" t="s">
        <v>5</v>
      </c>
      <c r="B56" s="43">
        <f>COUNT(B6:B54,D6:D54,F6:F54,H6:H54,J6:J54)</f>
        <v>126</v>
      </c>
      <c r="C56" s="13" t="s">
        <v>6</v>
      </c>
      <c r="D56" s="44"/>
      <c r="E56" s="45">
        <f>B55+D55+F55+H55+J55</f>
        <v>24121.600000000002</v>
      </c>
      <c r="F56" s="24" t="s">
        <v>7</v>
      </c>
      <c r="G56" s="1">
        <f>B56*2.1</f>
        <v>264.60000000000002</v>
      </c>
      <c r="H56" s="13" t="s">
        <v>8</v>
      </c>
      <c r="I56" s="44"/>
      <c r="J56" s="45">
        <f>E56-G56</f>
        <v>23857.000000000004</v>
      </c>
      <c r="K56" s="110"/>
      <c r="L56" s="42" t="s">
        <v>5</v>
      </c>
      <c r="M56" s="43">
        <f>COUNT(M6:M54,O6:O54,Q6:Q54,S6:S54,U6:U54)</f>
        <v>94</v>
      </c>
      <c r="N56" s="13" t="s">
        <v>6</v>
      </c>
      <c r="O56" s="44"/>
      <c r="P56" s="45">
        <f>M55+O55+Q55+S55+U55</f>
        <v>19163.599999999999</v>
      </c>
      <c r="Q56" s="24" t="s">
        <v>7</v>
      </c>
      <c r="R56" s="1">
        <f>M56*2.2</f>
        <v>206.8</v>
      </c>
      <c r="S56" s="13" t="s">
        <v>8</v>
      </c>
      <c r="T56" s="44"/>
      <c r="U56" s="45">
        <f>P56-R56</f>
        <v>18956.8</v>
      </c>
      <c r="W56" s="42" t="s">
        <v>5</v>
      </c>
      <c r="X56" s="43">
        <f>COUNT(X6:X54,Z6:Z54,AB6:AB54,AD6:AD54,AF6:AF54)</f>
        <v>126</v>
      </c>
      <c r="Y56" s="13" t="s">
        <v>6</v>
      </c>
      <c r="Z56" s="44"/>
      <c r="AA56" s="45">
        <f>X55+Z55+AB55+AD55+AF55</f>
        <v>24121.600000000002</v>
      </c>
      <c r="AB56" s="24" t="s">
        <v>7</v>
      </c>
      <c r="AC56" s="1">
        <f>X56*2.1</f>
        <v>264.60000000000002</v>
      </c>
      <c r="AD56" s="13" t="s">
        <v>8</v>
      </c>
      <c r="AE56" s="44"/>
      <c r="AF56" s="45">
        <f>AA56-AC56</f>
        <v>23857.000000000004</v>
      </c>
      <c r="AG56" s="110"/>
      <c r="AH56" s="42" t="s">
        <v>5</v>
      </c>
      <c r="AI56" s="43">
        <f>COUNT(AI6:AI54,AK6:AK54,AM6:AM54,AO6:AO54,AQ6:AQ54)</f>
        <v>57</v>
      </c>
      <c r="AJ56" s="13" t="s">
        <v>6</v>
      </c>
      <c r="AK56" s="44"/>
      <c r="AL56" s="45">
        <f>AI55+AK55+AM55+AO55+AQ55</f>
        <v>11619.400000000001</v>
      </c>
      <c r="AM56" s="24" t="s">
        <v>7</v>
      </c>
      <c r="AN56" s="1">
        <f>AI56*2.2</f>
        <v>125.4</v>
      </c>
      <c r="AO56" s="13" t="s">
        <v>8</v>
      </c>
      <c r="AP56" s="44"/>
      <c r="AQ56" s="45">
        <f>AL56-AN56</f>
        <v>11494.000000000002</v>
      </c>
      <c r="AS56" s="42" t="s">
        <v>5</v>
      </c>
      <c r="AT56" s="43">
        <f>COUNT(AT6:AT54,AV6:AV54,AX6:AX54,AZ6:AZ54,BB6:BB54)</f>
        <v>37</v>
      </c>
      <c r="AU56" s="13" t="s">
        <v>6</v>
      </c>
      <c r="AV56" s="44"/>
      <c r="AW56" s="45">
        <f>AT55+AV55+AX55+AZ55+BB55</f>
        <v>7544.2</v>
      </c>
      <c r="AX56" s="24" t="s">
        <v>7</v>
      </c>
      <c r="AY56" s="1">
        <f>AT56*2.2</f>
        <v>81.400000000000006</v>
      </c>
      <c r="AZ56" s="13" t="s">
        <v>8</v>
      </c>
      <c r="BA56" s="44"/>
      <c r="BB56" s="45">
        <f>AW56-AY56</f>
        <v>7462.8</v>
      </c>
    </row>
    <row r="57" spans="1:54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  <c r="K57" s="49"/>
      <c r="L57" s="42" t="s">
        <v>9</v>
      </c>
      <c r="M57" s="25"/>
      <c r="N57" s="46"/>
      <c r="O57" s="44"/>
      <c r="P57" s="47"/>
      <c r="Q57" s="25"/>
      <c r="R57" s="48"/>
      <c r="S57" s="46"/>
      <c r="T57" s="44"/>
      <c r="U57" s="49"/>
      <c r="W57" s="42" t="s">
        <v>9</v>
      </c>
      <c r="X57" s="25"/>
      <c r="Y57" s="46"/>
      <c r="Z57" s="44"/>
      <c r="AA57" s="47"/>
      <c r="AB57" s="25"/>
      <c r="AC57" s="48"/>
      <c r="AD57" s="46"/>
      <c r="AE57" s="44"/>
      <c r="AF57" s="49"/>
      <c r="AG57" s="49"/>
      <c r="AH57" s="42" t="s">
        <v>9</v>
      </c>
      <c r="AI57" s="25"/>
      <c r="AJ57" s="46"/>
      <c r="AK57" s="44"/>
      <c r="AL57" s="47"/>
      <c r="AM57" s="25"/>
      <c r="AN57" s="48"/>
      <c r="AO57" s="46"/>
      <c r="AP57" s="44"/>
      <c r="AQ57" s="49"/>
      <c r="AS57" s="42" t="s">
        <v>9</v>
      </c>
      <c r="AT57" s="25"/>
      <c r="AU57" s="46"/>
      <c r="AV57" s="44"/>
      <c r="AW57" s="47"/>
      <c r="AX57" s="25"/>
      <c r="AY57" s="48"/>
      <c r="AZ57" s="46"/>
      <c r="BA57" s="44"/>
      <c r="BB57" s="49"/>
    </row>
    <row r="58" spans="1:54" x14ac:dyDescent="0.25">
      <c r="F58" t="s">
        <v>61</v>
      </c>
      <c r="G58">
        <v>2.1</v>
      </c>
      <c r="Q58" t="s">
        <v>61</v>
      </c>
      <c r="R58">
        <v>2.2000000000000002</v>
      </c>
      <c r="AB58" t="s">
        <v>61</v>
      </c>
      <c r="AC58">
        <v>2.1</v>
      </c>
      <c r="AM58" t="s">
        <v>61</v>
      </c>
      <c r="AN58">
        <v>2.2000000000000002</v>
      </c>
      <c r="AX58" t="s">
        <v>61</v>
      </c>
      <c r="AY58">
        <v>2.2000000000000002</v>
      </c>
    </row>
    <row r="60" spans="1:54" x14ac:dyDescent="0.25">
      <c r="E60" s="80"/>
    </row>
  </sheetData>
  <protectedRanges>
    <protectedRange password="CCE1" sqref="C6:C54 G6:G54 E6:E54 I6:I29 N6:N54 R6:R54 P6:P54 T6:T29 Y6:Y54 AC6:AC54 AA6:AA54 AE6:AE29 AJ6:AJ54 AN6:AN54 AL6:AL54 AP6:AP29 AU6:AU54 AY6:AY54 AW6:AW54 BA6:BA29" name="Диапазон1_3_1_7_2_1_1_1_1_1_1_1"/>
  </protectedRanges>
  <mergeCells count="10">
    <mergeCell ref="AS1:BB1"/>
    <mergeCell ref="BA4:BB4"/>
    <mergeCell ref="AH1:AQ1"/>
    <mergeCell ref="AP4:AQ4"/>
    <mergeCell ref="A1:J1"/>
    <mergeCell ref="I4:J4"/>
    <mergeCell ref="W1:AF1"/>
    <mergeCell ref="AE4:AF4"/>
    <mergeCell ref="L1:U1"/>
    <mergeCell ref="T4:U4"/>
  </mergeCells>
  <pageMargins left="0.78740157480314965" right="0" top="0.19685039370078741" bottom="0.19685039370078741" header="0.19685039370078741" footer="0.19685039370078741"/>
  <pageSetup paperSize="9" scale="86" orientation="portrait" r:id="rId1"/>
  <rowBreaks count="1" manualBreakCount="1">
    <brk id="57" max="20" man="1"/>
  </rowBreaks>
  <colBreaks count="4" manualBreakCount="4">
    <brk id="10" max="56" man="1"/>
    <brk id="21" max="1048575" man="1"/>
    <brk id="32" max="56" man="1"/>
    <brk id="44" max="56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8"/>
  <sheetViews>
    <sheetView topLeftCell="A34" zoomScale="70" zoomScaleNormal="70" workbookViewId="0">
      <selection activeCell="J31" sqref="J31"/>
    </sheetView>
  </sheetViews>
  <sheetFormatPr defaultRowHeight="15" x14ac:dyDescent="0.25"/>
  <cols>
    <col min="5" max="5" width="11" customWidth="1"/>
    <col min="10" max="10" width="10.42578125" bestFit="1" customWidth="1"/>
    <col min="11" max="11" width="2.7109375" customWidth="1"/>
    <col min="12" max="12" width="9.140625" customWidth="1"/>
    <col min="22" max="22" width="2.28515625" customWidth="1"/>
    <col min="27" max="27" width="12.85546875" customWidth="1"/>
    <col min="32" max="32" width="11.140625" customWidth="1"/>
    <col min="33" max="33" width="3" customWidth="1"/>
    <col min="37" max="37" width="10.5703125" customWidth="1"/>
  </cols>
  <sheetData>
    <row r="1" spans="1:43" ht="18.75" x14ac:dyDescent="0.3">
      <c r="A1" s="204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L1" s="204" t="s">
        <v>0</v>
      </c>
      <c r="M1" s="204"/>
      <c r="N1" s="204"/>
      <c r="O1" s="204"/>
      <c r="P1" s="204"/>
      <c r="Q1" s="204"/>
      <c r="R1" s="204"/>
      <c r="S1" s="204"/>
      <c r="T1" s="204"/>
      <c r="U1" s="204"/>
      <c r="W1" s="204" t="s">
        <v>0</v>
      </c>
      <c r="X1" s="204"/>
      <c r="Y1" s="204"/>
      <c r="Z1" s="204"/>
      <c r="AA1" s="204"/>
      <c r="AB1" s="204"/>
      <c r="AC1" s="204"/>
      <c r="AD1" s="204"/>
      <c r="AE1" s="204"/>
      <c r="AF1" s="204"/>
      <c r="AH1" s="204" t="s">
        <v>0</v>
      </c>
      <c r="AI1" s="204"/>
      <c r="AJ1" s="204"/>
      <c r="AK1" s="204"/>
      <c r="AL1" s="204"/>
      <c r="AM1" s="204"/>
      <c r="AN1" s="204"/>
      <c r="AO1" s="204"/>
      <c r="AP1" s="204"/>
      <c r="AQ1" s="204"/>
    </row>
    <row r="2" spans="1:43" ht="15.75" x14ac:dyDescent="0.25">
      <c r="A2" s="13" t="s">
        <v>1</v>
      </c>
      <c r="B2" s="13"/>
      <c r="C2" s="13"/>
      <c r="D2" s="13"/>
      <c r="E2" s="13"/>
      <c r="F2" s="13"/>
      <c r="G2" s="27"/>
      <c r="H2" s="13"/>
      <c r="I2" s="13"/>
      <c r="J2" s="13"/>
      <c r="L2" s="13" t="s">
        <v>1</v>
      </c>
      <c r="M2" s="13"/>
      <c r="N2" s="13"/>
      <c r="O2" s="13"/>
      <c r="P2" s="13"/>
      <c r="Q2" s="13"/>
      <c r="R2" s="27"/>
      <c r="S2" s="13"/>
      <c r="T2" s="13"/>
      <c r="U2" s="13"/>
      <c r="W2" s="13" t="s">
        <v>1</v>
      </c>
      <c r="X2" s="13"/>
      <c r="Y2" s="13"/>
      <c r="Z2" s="13"/>
      <c r="AA2" s="13"/>
      <c r="AB2" s="13"/>
      <c r="AC2" s="27"/>
      <c r="AD2" s="13"/>
      <c r="AE2" s="13"/>
      <c r="AF2" s="13"/>
      <c r="AH2" s="13" t="s">
        <v>1</v>
      </c>
      <c r="AI2" s="13"/>
      <c r="AJ2" s="13"/>
      <c r="AK2" s="13"/>
      <c r="AL2" s="13"/>
      <c r="AM2" s="13"/>
      <c r="AN2" s="27"/>
      <c r="AO2" s="13"/>
      <c r="AP2" s="13"/>
      <c r="AQ2" s="13"/>
    </row>
    <row r="3" spans="1:43" ht="15.75" x14ac:dyDescent="0.25">
      <c r="A3" s="25" t="s">
        <v>2</v>
      </c>
      <c r="B3" s="27">
        <v>201</v>
      </c>
      <c r="C3" s="14"/>
      <c r="D3" s="15"/>
      <c r="E3" s="16"/>
      <c r="F3" s="16"/>
      <c r="G3" s="16"/>
      <c r="H3" s="16"/>
      <c r="I3" s="16" t="s">
        <v>33</v>
      </c>
      <c r="J3" s="16"/>
      <c r="L3" s="25" t="s">
        <v>2</v>
      </c>
      <c r="M3" s="27">
        <v>201</v>
      </c>
      <c r="N3" s="14"/>
      <c r="O3" s="15"/>
      <c r="P3" s="16"/>
      <c r="Q3" s="16"/>
      <c r="R3" s="16"/>
      <c r="S3" s="16"/>
      <c r="T3" s="16" t="s">
        <v>33</v>
      </c>
      <c r="U3" s="16"/>
      <c r="W3" s="25" t="s">
        <v>2</v>
      </c>
      <c r="X3" s="27">
        <v>201</v>
      </c>
      <c r="Y3" s="14"/>
      <c r="Z3" s="15"/>
      <c r="AA3" s="16"/>
      <c r="AB3" s="16"/>
      <c r="AC3" s="16"/>
      <c r="AD3" s="16"/>
      <c r="AE3" s="16" t="s">
        <v>33</v>
      </c>
      <c r="AF3" s="16"/>
      <c r="AH3" s="25" t="s">
        <v>2</v>
      </c>
      <c r="AI3" s="27">
        <v>201</v>
      </c>
      <c r="AJ3" s="14"/>
      <c r="AK3" s="15"/>
      <c r="AL3" s="16"/>
      <c r="AM3" s="16"/>
      <c r="AN3" s="16"/>
      <c r="AO3" s="16"/>
      <c r="AP3" s="16" t="s">
        <v>33</v>
      </c>
      <c r="AQ3" s="16"/>
    </row>
    <row r="4" spans="1:43" ht="18.75" x14ac:dyDescent="0.3">
      <c r="A4" s="17"/>
      <c r="B4" s="17"/>
      <c r="C4" s="17"/>
      <c r="D4" s="17"/>
      <c r="E4" s="17"/>
      <c r="F4" s="17"/>
      <c r="G4" s="17"/>
      <c r="H4" s="28"/>
      <c r="I4" s="205" t="s">
        <v>10</v>
      </c>
      <c r="J4" s="206"/>
      <c r="L4" s="17"/>
      <c r="M4" s="17"/>
      <c r="N4" s="17"/>
      <c r="O4" s="17"/>
      <c r="P4" s="17"/>
      <c r="Q4" s="17"/>
      <c r="R4" s="17"/>
      <c r="S4" s="28"/>
      <c r="T4" s="205" t="s">
        <v>47</v>
      </c>
      <c r="U4" s="206"/>
      <c r="W4" s="17"/>
      <c r="X4" s="17"/>
      <c r="Y4" s="17"/>
      <c r="Z4" s="17"/>
      <c r="AA4" s="17"/>
      <c r="AB4" s="17"/>
      <c r="AC4" s="17"/>
      <c r="AD4" s="28"/>
      <c r="AE4" s="205" t="s">
        <v>48</v>
      </c>
      <c r="AF4" s="206"/>
      <c r="AH4" s="17"/>
      <c r="AI4" s="17"/>
      <c r="AJ4" s="17"/>
      <c r="AK4" s="17"/>
      <c r="AL4" s="17"/>
      <c r="AM4" s="17"/>
      <c r="AN4" s="17"/>
      <c r="AO4" s="28"/>
      <c r="AP4" s="205" t="s">
        <v>50</v>
      </c>
      <c r="AQ4" s="206"/>
    </row>
    <row r="5" spans="1:43" ht="15.75" x14ac:dyDescent="0.25">
      <c r="A5" s="29" t="s">
        <v>3</v>
      </c>
      <c r="B5" s="18" t="s">
        <v>4</v>
      </c>
      <c r="C5" s="29" t="s">
        <v>3</v>
      </c>
      <c r="D5" s="18" t="s">
        <v>4</v>
      </c>
      <c r="E5" s="29" t="s">
        <v>3</v>
      </c>
      <c r="F5" s="18" t="s">
        <v>4</v>
      </c>
      <c r="G5" s="29" t="s">
        <v>3</v>
      </c>
      <c r="H5" s="30" t="s">
        <v>4</v>
      </c>
      <c r="I5" s="31" t="s">
        <v>3</v>
      </c>
      <c r="J5" s="32" t="s">
        <v>4</v>
      </c>
      <c r="L5" s="29" t="s">
        <v>3</v>
      </c>
      <c r="M5" s="18" t="s">
        <v>4</v>
      </c>
      <c r="N5" s="29" t="s">
        <v>3</v>
      </c>
      <c r="O5" s="18" t="s">
        <v>4</v>
      </c>
      <c r="P5" s="29" t="s">
        <v>3</v>
      </c>
      <c r="Q5" s="18" t="s">
        <v>4</v>
      </c>
      <c r="R5" s="29" t="s">
        <v>3</v>
      </c>
      <c r="S5" s="30" t="s">
        <v>4</v>
      </c>
      <c r="T5" s="31" t="s">
        <v>3</v>
      </c>
      <c r="U5" s="32" t="s">
        <v>4</v>
      </c>
      <c r="W5" s="29" t="s">
        <v>3</v>
      </c>
      <c r="X5" s="18" t="s">
        <v>4</v>
      </c>
      <c r="Y5" s="29" t="s">
        <v>3</v>
      </c>
      <c r="Z5" s="18" t="s">
        <v>4</v>
      </c>
      <c r="AA5" s="29" t="s">
        <v>3</v>
      </c>
      <c r="AB5" s="18" t="s">
        <v>4</v>
      </c>
      <c r="AC5" s="29" t="s">
        <v>3</v>
      </c>
      <c r="AD5" s="30" t="s">
        <v>4</v>
      </c>
      <c r="AE5" s="31" t="s">
        <v>3</v>
      </c>
      <c r="AF5" s="32" t="s">
        <v>4</v>
      </c>
      <c r="AH5" s="29" t="s">
        <v>3</v>
      </c>
      <c r="AI5" s="18" t="s">
        <v>4</v>
      </c>
      <c r="AJ5" s="29" t="s">
        <v>3</v>
      </c>
      <c r="AK5" s="18" t="s">
        <v>4</v>
      </c>
      <c r="AL5" s="29" t="s">
        <v>3</v>
      </c>
      <c r="AM5" s="18" t="s">
        <v>4</v>
      </c>
      <c r="AN5" s="29" t="s">
        <v>3</v>
      </c>
      <c r="AO5" s="30" t="s">
        <v>4</v>
      </c>
      <c r="AP5" s="31" t="s">
        <v>3</v>
      </c>
      <c r="AQ5" s="32" t="s">
        <v>4</v>
      </c>
    </row>
    <row r="6" spans="1:43" ht="15.75" x14ac:dyDescent="0.25">
      <c r="A6" s="22">
        <v>1</v>
      </c>
      <c r="B6" s="19">
        <v>172.7</v>
      </c>
      <c r="C6" s="22">
        <v>50</v>
      </c>
      <c r="D6" s="19">
        <v>191.4</v>
      </c>
      <c r="E6" s="22">
        <v>99</v>
      </c>
      <c r="F6" s="19">
        <v>188.4</v>
      </c>
      <c r="G6" s="33">
        <v>148</v>
      </c>
      <c r="H6" s="19">
        <v>190.1</v>
      </c>
      <c r="I6" s="34">
        <v>197</v>
      </c>
      <c r="J6" s="19">
        <v>190.2</v>
      </c>
      <c r="L6" s="22">
        <v>1</v>
      </c>
      <c r="M6" s="19">
        <v>172.7</v>
      </c>
      <c r="N6" s="22">
        <v>50</v>
      </c>
      <c r="O6" s="19"/>
      <c r="P6" s="22">
        <v>99</v>
      </c>
      <c r="Q6" s="19"/>
      <c r="R6" s="33">
        <v>148</v>
      </c>
      <c r="S6" s="19"/>
      <c r="T6" s="34">
        <v>197</v>
      </c>
      <c r="U6" s="19"/>
      <c r="W6" s="22">
        <v>1</v>
      </c>
      <c r="X6" s="19"/>
      <c r="Y6" s="22">
        <v>50</v>
      </c>
      <c r="Z6" s="19">
        <v>191.4</v>
      </c>
      <c r="AA6" s="22">
        <v>99</v>
      </c>
      <c r="AB6" s="19">
        <v>188.4</v>
      </c>
      <c r="AC6" s="33">
        <v>148</v>
      </c>
      <c r="AD6" s="19">
        <v>190.1</v>
      </c>
      <c r="AE6" s="34">
        <v>197</v>
      </c>
      <c r="AF6" s="19"/>
      <c r="AH6" s="22">
        <v>1</v>
      </c>
      <c r="AI6" s="19"/>
      <c r="AJ6" s="22">
        <v>50</v>
      </c>
      <c r="AK6" s="19"/>
      <c r="AL6" s="22">
        <v>99</v>
      </c>
      <c r="AM6" s="19"/>
      <c r="AN6" s="33">
        <v>148</v>
      </c>
      <c r="AO6" s="19"/>
      <c r="AP6" s="34">
        <v>197</v>
      </c>
      <c r="AQ6" s="19">
        <v>190.2</v>
      </c>
    </row>
    <row r="7" spans="1:43" ht="15.75" x14ac:dyDescent="0.25">
      <c r="A7" s="22">
        <v>2</v>
      </c>
      <c r="B7" s="19">
        <v>172.8</v>
      </c>
      <c r="C7" s="22">
        <v>51</v>
      </c>
      <c r="D7" s="19">
        <v>190.5</v>
      </c>
      <c r="E7" s="22">
        <v>100</v>
      </c>
      <c r="F7" s="19">
        <v>185.8</v>
      </c>
      <c r="G7" s="33">
        <v>149</v>
      </c>
      <c r="H7" s="19">
        <v>185.8</v>
      </c>
      <c r="I7" s="33">
        <v>198</v>
      </c>
      <c r="J7" s="19">
        <v>197.2</v>
      </c>
      <c r="L7" s="22">
        <v>2</v>
      </c>
      <c r="M7" s="19">
        <v>172.8</v>
      </c>
      <c r="N7" s="22">
        <v>51</v>
      </c>
      <c r="O7" s="19"/>
      <c r="P7" s="22">
        <v>100</v>
      </c>
      <c r="Q7" s="19"/>
      <c r="R7" s="33">
        <v>149</v>
      </c>
      <c r="S7" s="19"/>
      <c r="T7" s="33">
        <v>198</v>
      </c>
      <c r="U7" s="19"/>
      <c r="W7" s="22">
        <v>2</v>
      </c>
      <c r="X7" s="19"/>
      <c r="Y7" s="22">
        <v>51</v>
      </c>
      <c r="Z7" s="19">
        <v>190.5</v>
      </c>
      <c r="AA7" s="22">
        <v>100</v>
      </c>
      <c r="AB7" s="19">
        <v>185.8</v>
      </c>
      <c r="AC7" s="33">
        <v>149</v>
      </c>
      <c r="AD7" s="19">
        <v>185.8</v>
      </c>
      <c r="AE7" s="33">
        <v>198</v>
      </c>
      <c r="AF7" s="19"/>
      <c r="AH7" s="22">
        <v>2</v>
      </c>
      <c r="AI7" s="19"/>
      <c r="AJ7" s="22">
        <v>51</v>
      </c>
      <c r="AK7" s="19"/>
      <c r="AL7" s="22">
        <v>100</v>
      </c>
      <c r="AM7" s="19"/>
      <c r="AN7" s="33">
        <v>149</v>
      </c>
      <c r="AO7" s="19"/>
      <c r="AP7" s="33">
        <v>198</v>
      </c>
      <c r="AQ7" s="19">
        <v>197.2</v>
      </c>
    </row>
    <row r="8" spans="1:43" ht="15.75" x14ac:dyDescent="0.25">
      <c r="A8" s="22">
        <v>3</v>
      </c>
      <c r="B8" s="19">
        <v>189.7</v>
      </c>
      <c r="C8" s="22">
        <v>52</v>
      </c>
      <c r="D8" s="19">
        <v>192.6</v>
      </c>
      <c r="E8" s="22">
        <f t="shared" ref="E8:E54" si="0">+E7+1</f>
        <v>101</v>
      </c>
      <c r="F8" s="19">
        <v>188.8</v>
      </c>
      <c r="G8" s="33">
        <v>150</v>
      </c>
      <c r="H8" s="19">
        <v>187.6</v>
      </c>
      <c r="I8" s="33">
        <v>199</v>
      </c>
      <c r="J8" s="19">
        <v>191.7</v>
      </c>
      <c r="L8" s="22">
        <v>3</v>
      </c>
      <c r="M8" s="19">
        <v>189.7</v>
      </c>
      <c r="N8" s="22">
        <v>52</v>
      </c>
      <c r="O8" s="19"/>
      <c r="P8" s="22">
        <f t="shared" ref="P8:P54" si="1">+P7+1</f>
        <v>101</v>
      </c>
      <c r="Q8" s="19"/>
      <c r="R8" s="33">
        <v>150</v>
      </c>
      <c r="S8" s="19"/>
      <c r="T8" s="33">
        <v>199</v>
      </c>
      <c r="U8" s="19"/>
      <c r="W8" s="22">
        <v>3</v>
      </c>
      <c r="X8" s="19"/>
      <c r="Y8" s="22">
        <v>52</v>
      </c>
      <c r="Z8" s="19">
        <v>192.6</v>
      </c>
      <c r="AA8" s="22">
        <f t="shared" ref="AA8:AA54" si="2">+AA7+1</f>
        <v>101</v>
      </c>
      <c r="AB8" s="19">
        <v>188.8</v>
      </c>
      <c r="AC8" s="33">
        <v>150</v>
      </c>
      <c r="AD8" s="19">
        <v>187.6</v>
      </c>
      <c r="AE8" s="33">
        <v>199</v>
      </c>
      <c r="AF8" s="19"/>
      <c r="AH8" s="22">
        <v>3</v>
      </c>
      <c r="AI8" s="19"/>
      <c r="AJ8" s="22">
        <v>52</v>
      </c>
      <c r="AK8" s="19"/>
      <c r="AL8" s="22">
        <f t="shared" ref="AL8:AL54" si="3">+AL7+1</f>
        <v>101</v>
      </c>
      <c r="AM8" s="19"/>
      <c r="AN8" s="33">
        <v>150</v>
      </c>
      <c r="AO8" s="19"/>
      <c r="AP8" s="33">
        <v>199</v>
      </c>
      <c r="AQ8" s="19">
        <v>191.7</v>
      </c>
    </row>
    <row r="9" spans="1:43" ht="15.75" x14ac:dyDescent="0.25">
      <c r="A9" s="22">
        <v>4</v>
      </c>
      <c r="B9" s="19">
        <v>192.6</v>
      </c>
      <c r="C9" s="22">
        <v>53</v>
      </c>
      <c r="D9" s="19">
        <v>192.7</v>
      </c>
      <c r="E9" s="22">
        <f t="shared" si="0"/>
        <v>102</v>
      </c>
      <c r="F9" s="19">
        <v>186.9</v>
      </c>
      <c r="G9" s="33">
        <v>151</v>
      </c>
      <c r="H9" s="19">
        <v>186.9</v>
      </c>
      <c r="I9" s="33">
        <v>200</v>
      </c>
      <c r="J9" s="19">
        <v>191</v>
      </c>
      <c r="L9" s="22">
        <v>4</v>
      </c>
      <c r="M9" s="19">
        <v>192.6</v>
      </c>
      <c r="N9" s="22">
        <v>53</v>
      </c>
      <c r="O9" s="19"/>
      <c r="P9" s="22">
        <f t="shared" si="1"/>
        <v>102</v>
      </c>
      <c r="Q9" s="19"/>
      <c r="R9" s="33">
        <v>151</v>
      </c>
      <c r="S9" s="19"/>
      <c r="T9" s="33">
        <v>200</v>
      </c>
      <c r="U9" s="19"/>
      <c r="W9" s="22">
        <v>4</v>
      </c>
      <c r="X9" s="19"/>
      <c r="Y9" s="22">
        <v>53</v>
      </c>
      <c r="Z9" s="19">
        <v>192.7</v>
      </c>
      <c r="AA9" s="22">
        <f t="shared" si="2"/>
        <v>102</v>
      </c>
      <c r="AB9" s="19">
        <v>186.9</v>
      </c>
      <c r="AC9" s="33">
        <v>151</v>
      </c>
      <c r="AD9" s="19">
        <v>186.9</v>
      </c>
      <c r="AE9" s="33">
        <v>200</v>
      </c>
      <c r="AF9" s="19"/>
      <c r="AH9" s="22">
        <v>4</v>
      </c>
      <c r="AI9" s="19"/>
      <c r="AJ9" s="22">
        <v>53</v>
      </c>
      <c r="AK9" s="19"/>
      <c r="AL9" s="22">
        <f t="shared" si="3"/>
        <v>102</v>
      </c>
      <c r="AM9" s="19"/>
      <c r="AN9" s="33">
        <v>151</v>
      </c>
      <c r="AO9" s="19"/>
      <c r="AP9" s="33">
        <v>200</v>
      </c>
      <c r="AQ9" s="19">
        <v>191</v>
      </c>
    </row>
    <row r="10" spans="1:43" ht="15.75" x14ac:dyDescent="0.25">
      <c r="A10" s="22">
        <v>5</v>
      </c>
      <c r="B10" s="19">
        <v>186.2</v>
      </c>
      <c r="C10" s="22">
        <v>54</v>
      </c>
      <c r="D10" s="19">
        <v>193.9</v>
      </c>
      <c r="E10" s="22">
        <f t="shared" si="0"/>
        <v>103</v>
      </c>
      <c r="F10" s="19">
        <v>187.7</v>
      </c>
      <c r="G10" s="33">
        <v>152</v>
      </c>
      <c r="H10" s="19">
        <v>190.9</v>
      </c>
      <c r="I10" s="33">
        <v>201</v>
      </c>
      <c r="J10" s="19">
        <v>195.1</v>
      </c>
      <c r="L10" s="22">
        <v>5</v>
      </c>
      <c r="M10" s="19">
        <v>186.2</v>
      </c>
      <c r="N10" s="22">
        <v>54</v>
      </c>
      <c r="O10" s="19"/>
      <c r="P10" s="22">
        <f t="shared" si="1"/>
        <v>103</v>
      </c>
      <c r="Q10" s="19"/>
      <c r="R10" s="33">
        <v>152</v>
      </c>
      <c r="S10" s="19"/>
      <c r="T10" s="33">
        <v>201</v>
      </c>
      <c r="U10" s="19"/>
      <c r="W10" s="22">
        <v>5</v>
      </c>
      <c r="X10" s="19"/>
      <c r="Y10" s="22">
        <v>54</v>
      </c>
      <c r="Z10" s="19">
        <v>193.9</v>
      </c>
      <c r="AA10" s="22">
        <f t="shared" si="2"/>
        <v>103</v>
      </c>
      <c r="AB10" s="19">
        <v>187.7</v>
      </c>
      <c r="AC10" s="33">
        <v>152</v>
      </c>
      <c r="AD10" s="19">
        <v>190.9</v>
      </c>
      <c r="AE10" s="33">
        <v>201</v>
      </c>
      <c r="AF10" s="19"/>
      <c r="AH10" s="22">
        <v>5</v>
      </c>
      <c r="AI10" s="19"/>
      <c r="AJ10" s="22">
        <v>54</v>
      </c>
      <c r="AK10" s="19"/>
      <c r="AL10" s="22">
        <f t="shared" si="3"/>
        <v>103</v>
      </c>
      <c r="AM10" s="19"/>
      <c r="AN10" s="33">
        <v>152</v>
      </c>
      <c r="AO10" s="19"/>
      <c r="AP10" s="33">
        <v>201</v>
      </c>
      <c r="AQ10" s="19">
        <v>195.1</v>
      </c>
    </row>
    <row r="11" spans="1:43" ht="15.75" x14ac:dyDescent="0.25">
      <c r="A11" s="22">
        <v>6</v>
      </c>
      <c r="B11" s="19">
        <v>181</v>
      </c>
      <c r="C11" s="22">
        <v>55</v>
      </c>
      <c r="D11" s="19">
        <v>192.6</v>
      </c>
      <c r="E11" s="22">
        <f t="shared" si="0"/>
        <v>104</v>
      </c>
      <c r="F11" s="19">
        <v>185.2</v>
      </c>
      <c r="G11" s="33">
        <v>153</v>
      </c>
      <c r="H11" s="19">
        <v>190.4</v>
      </c>
      <c r="I11" s="33">
        <v>202</v>
      </c>
      <c r="J11" s="19">
        <v>189.1</v>
      </c>
      <c r="L11" s="22">
        <v>6</v>
      </c>
      <c r="M11" s="19">
        <v>181</v>
      </c>
      <c r="N11" s="22">
        <v>55</v>
      </c>
      <c r="O11" s="19"/>
      <c r="P11" s="22">
        <f t="shared" si="1"/>
        <v>104</v>
      </c>
      <c r="Q11" s="19"/>
      <c r="R11" s="33">
        <v>153</v>
      </c>
      <c r="S11" s="19"/>
      <c r="T11" s="33">
        <v>202</v>
      </c>
      <c r="U11" s="19"/>
      <c r="W11" s="22">
        <v>6</v>
      </c>
      <c r="X11" s="19"/>
      <c r="Y11" s="22">
        <v>55</v>
      </c>
      <c r="Z11" s="19">
        <v>192.6</v>
      </c>
      <c r="AA11" s="22">
        <f t="shared" si="2"/>
        <v>104</v>
      </c>
      <c r="AB11" s="19">
        <v>185.2</v>
      </c>
      <c r="AC11" s="33">
        <v>153</v>
      </c>
      <c r="AD11" s="19">
        <v>190.4</v>
      </c>
      <c r="AE11" s="33">
        <v>202</v>
      </c>
      <c r="AF11" s="19"/>
      <c r="AH11" s="22">
        <v>6</v>
      </c>
      <c r="AI11" s="19"/>
      <c r="AJ11" s="22">
        <v>55</v>
      </c>
      <c r="AK11" s="19"/>
      <c r="AL11" s="22">
        <f t="shared" si="3"/>
        <v>104</v>
      </c>
      <c r="AM11" s="19"/>
      <c r="AN11" s="33">
        <v>153</v>
      </c>
      <c r="AO11" s="19"/>
      <c r="AP11" s="33">
        <v>202</v>
      </c>
      <c r="AQ11" s="19">
        <v>189.1</v>
      </c>
    </row>
    <row r="12" spans="1:43" ht="15.75" x14ac:dyDescent="0.25">
      <c r="A12" s="22">
        <v>7</v>
      </c>
      <c r="B12" s="19">
        <v>186.7</v>
      </c>
      <c r="C12" s="22">
        <v>56</v>
      </c>
      <c r="D12" s="19">
        <v>191.2</v>
      </c>
      <c r="E12" s="22">
        <f t="shared" si="0"/>
        <v>105</v>
      </c>
      <c r="F12" s="19">
        <v>189.2</v>
      </c>
      <c r="G12" s="33">
        <v>154</v>
      </c>
      <c r="H12" s="19">
        <v>188.1</v>
      </c>
      <c r="I12" s="33">
        <v>203</v>
      </c>
      <c r="J12" s="19">
        <v>191</v>
      </c>
      <c r="L12" s="22">
        <v>7</v>
      </c>
      <c r="M12" s="19">
        <v>186.7</v>
      </c>
      <c r="N12" s="22">
        <v>56</v>
      </c>
      <c r="O12" s="19"/>
      <c r="P12" s="22">
        <f t="shared" si="1"/>
        <v>105</v>
      </c>
      <c r="Q12" s="19"/>
      <c r="R12" s="33">
        <v>154</v>
      </c>
      <c r="S12" s="19"/>
      <c r="T12" s="33">
        <v>203</v>
      </c>
      <c r="U12" s="19"/>
      <c r="W12" s="22">
        <v>7</v>
      </c>
      <c r="X12" s="19"/>
      <c r="Y12" s="22">
        <v>56</v>
      </c>
      <c r="Z12" s="19">
        <v>191.2</v>
      </c>
      <c r="AA12" s="22">
        <f t="shared" si="2"/>
        <v>105</v>
      </c>
      <c r="AB12" s="19">
        <v>189.2</v>
      </c>
      <c r="AC12" s="33">
        <v>154</v>
      </c>
      <c r="AD12" s="19">
        <v>188.1</v>
      </c>
      <c r="AE12" s="33">
        <v>203</v>
      </c>
      <c r="AF12" s="19"/>
      <c r="AH12" s="22">
        <v>7</v>
      </c>
      <c r="AI12" s="19"/>
      <c r="AJ12" s="22">
        <v>56</v>
      </c>
      <c r="AK12" s="19"/>
      <c r="AL12" s="22">
        <f t="shared" si="3"/>
        <v>105</v>
      </c>
      <c r="AM12" s="19"/>
      <c r="AN12" s="33">
        <v>154</v>
      </c>
      <c r="AO12" s="19"/>
      <c r="AP12" s="33">
        <v>203</v>
      </c>
      <c r="AQ12" s="19">
        <v>191</v>
      </c>
    </row>
    <row r="13" spans="1:43" ht="15.75" x14ac:dyDescent="0.25">
      <c r="A13" s="22">
        <v>8</v>
      </c>
      <c r="B13" s="19">
        <v>156.5</v>
      </c>
      <c r="C13" s="22">
        <v>57</v>
      </c>
      <c r="D13" s="19">
        <v>190.5</v>
      </c>
      <c r="E13" s="22">
        <f t="shared" si="0"/>
        <v>106</v>
      </c>
      <c r="F13" s="19">
        <v>187.2</v>
      </c>
      <c r="G13" s="33">
        <v>155</v>
      </c>
      <c r="H13" s="19">
        <v>187.9</v>
      </c>
      <c r="I13" s="33">
        <v>204</v>
      </c>
      <c r="J13" s="19">
        <v>189.4</v>
      </c>
      <c r="L13" s="22">
        <v>8</v>
      </c>
      <c r="M13" s="19">
        <v>156.5</v>
      </c>
      <c r="N13" s="22">
        <v>57</v>
      </c>
      <c r="O13" s="19"/>
      <c r="P13" s="22">
        <f t="shared" si="1"/>
        <v>106</v>
      </c>
      <c r="Q13" s="19"/>
      <c r="R13" s="33">
        <v>155</v>
      </c>
      <c r="S13" s="19"/>
      <c r="T13" s="33">
        <v>204</v>
      </c>
      <c r="U13" s="19"/>
      <c r="W13" s="22">
        <v>8</v>
      </c>
      <c r="X13" s="19"/>
      <c r="Y13" s="22">
        <v>57</v>
      </c>
      <c r="Z13" s="19">
        <v>190.5</v>
      </c>
      <c r="AA13" s="22">
        <f t="shared" si="2"/>
        <v>106</v>
      </c>
      <c r="AB13" s="19">
        <v>187.2</v>
      </c>
      <c r="AC13" s="33">
        <v>155</v>
      </c>
      <c r="AD13" s="19">
        <v>187.9</v>
      </c>
      <c r="AE13" s="33">
        <v>204</v>
      </c>
      <c r="AF13" s="19"/>
      <c r="AH13" s="22">
        <v>8</v>
      </c>
      <c r="AI13" s="19"/>
      <c r="AJ13" s="22">
        <v>57</v>
      </c>
      <c r="AK13" s="19"/>
      <c r="AL13" s="22">
        <f t="shared" si="3"/>
        <v>106</v>
      </c>
      <c r="AM13" s="19"/>
      <c r="AN13" s="33">
        <v>155</v>
      </c>
      <c r="AO13" s="19"/>
      <c r="AP13" s="33">
        <v>204</v>
      </c>
      <c r="AQ13" s="19">
        <v>189.4</v>
      </c>
    </row>
    <row r="14" spans="1:43" ht="15.75" x14ac:dyDescent="0.25">
      <c r="A14" s="22">
        <v>9</v>
      </c>
      <c r="B14" s="19">
        <v>206</v>
      </c>
      <c r="C14" s="22">
        <v>58</v>
      </c>
      <c r="D14" s="19">
        <v>188.7</v>
      </c>
      <c r="E14" s="22">
        <f t="shared" si="0"/>
        <v>107</v>
      </c>
      <c r="F14" s="19">
        <v>185.1</v>
      </c>
      <c r="G14" s="33">
        <v>156</v>
      </c>
      <c r="H14" s="19">
        <v>183.1</v>
      </c>
      <c r="I14" s="33">
        <v>205</v>
      </c>
      <c r="J14" s="19">
        <v>191.4</v>
      </c>
      <c r="L14" s="22">
        <v>9</v>
      </c>
      <c r="M14" s="19">
        <v>206</v>
      </c>
      <c r="N14" s="22">
        <v>58</v>
      </c>
      <c r="O14" s="19"/>
      <c r="P14" s="22">
        <f t="shared" si="1"/>
        <v>107</v>
      </c>
      <c r="Q14" s="19"/>
      <c r="R14" s="33">
        <v>156</v>
      </c>
      <c r="S14" s="19"/>
      <c r="T14" s="33">
        <v>205</v>
      </c>
      <c r="U14" s="19"/>
      <c r="W14" s="22">
        <v>9</v>
      </c>
      <c r="X14" s="19"/>
      <c r="Y14" s="22">
        <v>58</v>
      </c>
      <c r="Z14" s="19">
        <v>188.7</v>
      </c>
      <c r="AA14" s="22">
        <f t="shared" si="2"/>
        <v>107</v>
      </c>
      <c r="AB14" s="19">
        <v>185.1</v>
      </c>
      <c r="AC14" s="33">
        <v>156</v>
      </c>
      <c r="AD14" s="19">
        <v>183.1</v>
      </c>
      <c r="AE14" s="33">
        <v>205</v>
      </c>
      <c r="AF14" s="19"/>
      <c r="AH14" s="22">
        <v>9</v>
      </c>
      <c r="AI14" s="19"/>
      <c r="AJ14" s="22">
        <v>58</v>
      </c>
      <c r="AK14" s="19"/>
      <c r="AL14" s="22">
        <f t="shared" si="3"/>
        <v>107</v>
      </c>
      <c r="AM14" s="19"/>
      <c r="AN14" s="33">
        <v>156</v>
      </c>
      <c r="AO14" s="19"/>
      <c r="AP14" s="33">
        <v>205</v>
      </c>
      <c r="AQ14" s="19">
        <v>191.4</v>
      </c>
    </row>
    <row r="15" spans="1:43" ht="15.75" x14ac:dyDescent="0.25">
      <c r="A15" s="22">
        <v>10</v>
      </c>
      <c r="B15" s="19">
        <v>165.2</v>
      </c>
      <c r="C15" s="22">
        <v>59</v>
      </c>
      <c r="D15" s="19">
        <v>187.3</v>
      </c>
      <c r="E15" s="22">
        <f t="shared" si="0"/>
        <v>108</v>
      </c>
      <c r="F15" s="19">
        <v>187.6</v>
      </c>
      <c r="G15" s="33">
        <v>157</v>
      </c>
      <c r="H15" s="19">
        <v>187.6</v>
      </c>
      <c r="I15" s="33">
        <v>206</v>
      </c>
      <c r="J15" s="19">
        <v>190.3</v>
      </c>
      <c r="L15" s="22">
        <v>10</v>
      </c>
      <c r="M15" s="19">
        <v>165.2</v>
      </c>
      <c r="N15" s="22">
        <v>59</v>
      </c>
      <c r="O15" s="19"/>
      <c r="P15" s="22">
        <f t="shared" si="1"/>
        <v>108</v>
      </c>
      <c r="Q15" s="19"/>
      <c r="R15" s="33">
        <v>157</v>
      </c>
      <c r="S15" s="19"/>
      <c r="T15" s="33">
        <v>206</v>
      </c>
      <c r="U15" s="19"/>
      <c r="W15" s="22">
        <v>10</v>
      </c>
      <c r="X15" s="19"/>
      <c r="Y15" s="22">
        <v>59</v>
      </c>
      <c r="Z15" s="19">
        <v>187.3</v>
      </c>
      <c r="AA15" s="22">
        <f t="shared" si="2"/>
        <v>108</v>
      </c>
      <c r="AB15" s="19">
        <v>187.6</v>
      </c>
      <c r="AC15" s="33">
        <v>157</v>
      </c>
      <c r="AD15" s="19">
        <v>187.6</v>
      </c>
      <c r="AE15" s="33">
        <v>206</v>
      </c>
      <c r="AF15" s="19"/>
      <c r="AH15" s="22">
        <v>10</v>
      </c>
      <c r="AI15" s="19"/>
      <c r="AJ15" s="22">
        <v>59</v>
      </c>
      <c r="AK15" s="19"/>
      <c r="AL15" s="22">
        <f t="shared" si="3"/>
        <v>108</v>
      </c>
      <c r="AM15" s="19"/>
      <c r="AN15" s="33">
        <v>157</v>
      </c>
      <c r="AO15" s="19"/>
      <c r="AP15" s="33">
        <v>206</v>
      </c>
      <c r="AQ15" s="19">
        <v>190.3</v>
      </c>
    </row>
    <row r="16" spans="1:43" ht="15.75" x14ac:dyDescent="0.25">
      <c r="A16" s="22">
        <v>11</v>
      </c>
      <c r="B16" s="19">
        <v>189.1</v>
      </c>
      <c r="C16" s="22">
        <v>60</v>
      </c>
      <c r="D16" s="19">
        <v>190.5</v>
      </c>
      <c r="E16" s="22">
        <f t="shared" si="0"/>
        <v>109</v>
      </c>
      <c r="F16" s="19">
        <v>185.6</v>
      </c>
      <c r="G16" s="33">
        <v>158</v>
      </c>
      <c r="H16" s="19">
        <v>192</v>
      </c>
      <c r="I16" s="33">
        <v>207</v>
      </c>
      <c r="J16" s="19">
        <v>188</v>
      </c>
      <c r="L16" s="22">
        <v>11</v>
      </c>
      <c r="M16" s="19">
        <v>189.1</v>
      </c>
      <c r="N16" s="22">
        <v>60</v>
      </c>
      <c r="O16" s="19"/>
      <c r="P16" s="22">
        <f t="shared" si="1"/>
        <v>109</v>
      </c>
      <c r="Q16" s="19"/>
      <c r="R16" s="33">
        <v>158</v>
      </c>
      <c r="S16" s="19"/>
      <c r="T16" s="33">
        <v>207</v>
      </c>
      <c r="U16" s="19"/>
      <c r="W16" s="22">
        <v>11</v>
      </c>
      <c r="X16" s="19"/>
      <c r="Y16" s="22">
        <v>60</v>
      </c>
      <c r="Z16" s="19">
        <v>190.5</v>
      </c>
      <c r="AA16" s="22">
        <f t="shared" si="2"/>
        <v>109</v>
      </c>
      <c r="AB16" s="19">
        <v>185.6</v>
      </c>
      <c r="AC16" s="33">
        <v>158</v>
      </c>
      <c r="AD16" s="19">
        <v>192</v>
      </c>
      <c r="AE16" s="33">
        <v>207</v>
      </c>
      <c r="AF16" s="19"/>
      <c r="AH16" s="22">
        <v>11</v>
      </c>
      <c r="AI16" s="19"/>
      <c r="AJ16" s="22">
        <v>60</v>
      </c>
      <c r="AK16" s="19"/>
      <c r="AL16" s="22">
        <f t="shared" si="3"/>
        <v>109</v>
      </c>
      <c r="AM16" s="19"/>
      <c r="AN16" s="33">
        <v>158</v>
      </c>
      <c r="AO16" s="19"/>
      <c r="AP16" s="33">
        <v>207</v>
      </c>
      <c r="AQ16" s="19">
        <v>188</v>
      </c>
    </row>
    <row r="17" spans="1:43" ht="15.75" x14ac:dyDescent="0.25">
      <c r="A17" s="22">
        <v>12</v>
      </c>
      <c r="B17" s="19">
        <v>202.6</v>
      </c>
      <c r="C17" s="22">
        <v>61</v>
      </c>
      <c r="D17" s="19">
        <v>188.7</v>
      </c>
      <c r="E17" s="22">
        <f t="shared" si="0"/>
        <v>110</v>
      </c>
      <c r="F17" s="19">
        <v>186</v>
      </c>
      <c r="G17" s="33">
        <v>159</v>
      </c>
      <c r="H17" s="19">
        <v>188</v>
      </c>
      <c r="I17" s="33">
        <v>208</v>
      </c>
      <c r="J17" s="19">
        <v>190.3</v>
      </c>
      <c r="L17" s="22">
        <v>12</v>
      </c>
      <c r="M17" s="19">
        <v>202.6</v>
      </c>
      <c r="N17" s="22">
        <v>61</v>
      </c>
      <c r="O17" s="19"/>
      <c r="P17" s="22">
        <f t="shared" si="1"/>
        <v>110</v>
      </c>
      <c r="Q17" s="19"/>
      <c r="R17" s="33">
        <v>159</v>
      </c>
      <c r="S17" s="19"/>
      <c r="T17" s="33">
        <v>208</v>
      </c>
      <c r="U17" s="19"/>
      <c r="W17" s="22">
        <v>12</v>
      </c>
      <c r="X17" s="19"/>
      <c r="Y17" s="22">
        <v>61</v>
      </c>
      <c r="Z17" s="19">
        <v>188.7</v>
      </c>
      <c r="AA17" s="22">
        <f t="shared" si="2"/>
        <v>110</v>
      </c>
      <c r="AB17" s="19">
        <v>186</v>
      </c>
      <c r="AC17" s="33">
        <v>159</v>
      </c>
      <c r="AD17" s="19">
        <v>188</v>
      </c>
      <c r="AE17" s="33">
        <v>208</v>
      </c>
      <c r="AF17" s="19"/>
      <c r="AH17" s="22">
        <v>12</v>
      </c>
      <c r="AI17" s="19"/>
      <c r="AJ17" s="22">
        <v>61</v>
      </c>
      <c r="AK17" s="19"/>
      <c r="AL17" s="22">
        <f t="shared" si="3"/>
        <v>110</v>
      </c>
      <c r="AM17" s="19"/>
      <c r="AN17" s="33">
        <v>159</v>
      </c>
      <c r="AO17" s="19"/>
      <c r="AP17" s="33">
        <v>208</v>
      </c>
      <c r="AQ17" s="19">
        <v>190.3</v>
      </c>
    </row>
    <row r="18" spans="1:43" ht="15.75" x14ac:dyDescent="0.25">
      <c r="A18" s="22">
        <v>13</v>
      </c>
      <c r="B18" s="19">
        <v>174.8</v>
      </c>
      <c r="C18" s="22">
        <v>62</v>
      </c>
      <c r="D18" s="19">
        <v>181.8</v>
      </c>
      <c r="E18" s="22">
        <f t="shared" si="0"/>
        <v>111</v>
      </c>
      <c r="F18" s="19">
        <v>189.9</v>
      </c>
      <c r="G18" s="33">
        <v>160</v>
      </c>
      <c r="H18" s="19">
        <v>188.1</v>
      </c>
      <c r="I18" s="33">
        <v>209</v>
      </c>
      <c r="J18" s="19">
        <v>188.6</v>
      </c>
      <c r="L18" s="22">
        <v>13</v>
      </c>
      <c r="M18" s="19"/>
      <c r="N18" s="22">
        <v>62</v>
      </c>
      <c r="O18" s="19"/>
      <c r="P18" s="22">
        <f t="shared" si="1"/>
        <v>111</v>
      </c>
      <c r="Q18" s="19"/>
      <c r="R18" s="33">
        <v>160</v>
      </c>
      <c r="S18" s="19"/>
      <c r="T18" s="33">
        <v>209</v>
      </c>
      <c r="U18" s="19"/>
      <c r="W18" s="22">
        <v>13</v>
      </c>
      <c r="X18" s="19">
        <v>174.8</v>
      </c>
      <c r="Y18" s="22">
        <v>62</v>
      </c>
      <c r="Z18" s="19">
        <v>181.8</v>
      </c>
      <c r="AA18" s="22">
        <f t="shared" si="2"/>
        <v>111</v>
      </c>
      <c r="AB18" s="19">
        <v>189.9</v>
      </c>
      <c r="AC18" s="33">
        <v>160</v>
      </c>
      <c r="AD18" s="19">
        <v>188.1</v>
      </c>
      <c r="AE18" s="33">
        <v>209</v>
      </c>
      <c r="AF18" s="19"/>
      <c r="AH18" s="22">
        <v>13</v>
      </c>
      <c r="AI18" s="19"/>
      <c r="AJ18" s="22">
        <v>62</v>
      </c>
      <c r="AK18" s="19"/>
      <c r="AL18" s="22">
        <f t="shared" si="3"/>
        <v>111</v>
      </c>
      <c r="AM18" s="19"/>
      <c r="AN18" s="33">
        <v>160</v>
      </c>
      <c r="AO18" s="19"/>
      <c r="AP18" s="33">
        <v>209</v>
      </c>
      <c r="AQ18" s="19">
        <v>188.6</v>
      </c>
    </row>
    <row r="19" spans="1:43" ht="15.75" x14ac:dyDescent="0.25">
      <c r="A19" s="22">
        <v>14</v>
      </c>
      <c r="B19" s="19">
        <v>179.7</v>
      </c>
      <c r="C19" s="22">
        <v>63</v>
      </c>
      <c r="D19" s="19">
        <v>185.6</v>
      </c>
      <c r="E19" s="22">
        <f t="shared" si="0"/>
        <v>112</v>
      </c>
      <c r="F19" s="19">
        <v>185</v>
      </c>
      <c r="G19" s="33">
        <v>161</v>
      </c>
      <c r="H19" s="19">
        <v>189.4</v>
      </c>
      <c r="I19" s="33">
        <v>210</v>
      </c>
      <c r="J19" s="19">
        <v>193.4</v>
      </c>
      <c r="L19" s="22">
        <v>14</v>
      </c>
      <c r="M19" s="19"/>
      <c r="N19" s="22">
        <v>63</v>
      </c>
      <c r="O19" s="19"/>
      <c r="P19" s="22">
        <f t="shared" si="1"/>
        <v>112</v>
      </c>
      <c r="Q19" s="19"/>
      <c r="R19" s="33">
        <v>161</v>
      </c>
      <c r="S19" s="19"/>
      <c r="T19" s="33">
        <v>210</v>
      </c>
      <c r="U19" s="19"/>
      <c r="W19" s="22">
        <v>14</v>
      </c>
      <c r="X19" s="19">
        <v>179.7</v>
      </c>
      <c r="Y19" s="22">
        <v>63</v>
      </c>
      <c r="Z19" s="19">
        <v>185.6</v>
      </c>
      <c r="AA19" s="22">
        <f t="shared" si="2"/>
        <v>112</v>
      </c>
      <c r="AB19" s="19">
        <v>185</v>
      </c>
      <c r="AC19" s="33">
        <v>161</v>
      </c>
      <c r="AD19" s="19">
        <v>189.4</v>
      </c>
      <c r="AE19" s="33">
        <v>210</v>
      </c>
      <c r="AF19" s="19"/>
      <c r="AH19" s="22">
        <v>14</v>
      </c>
      <c r="AI19" s="19"/>
      <c r="AJ19" s="22">
        <v>63</v>
      </c>
      <c r="AK19" s="19"/>
      <c r="AL19" s="22">
        <f t="shared" si="3"/>
        <v>112</v>
      </c>
      <c r="AM19" s="19"/>
      <c r="AN19" s="33">
        <v>161</v>
      </c>
      <c r="AO19" s="19"/>
      <c r="AP19" s="33">
        <v>210</v>
      </c>
      <c r="AQ19" s="19">
        <v>193.4</v>
      </c>
    </row>
    <row r="20" spans="1:43" ht="15.75" x14ac:dyDescent="0.25">
      <c r="A20" s="22">
        <v>15</v>
      </c>
      <c r="B20" s="19">
        <v>186.3</v>
      </c>
      <c r="C20" s="22">
        <v>64</v>
      </c>
      <c r="D20" s="19">
        <v>185.6</v>
      </c>
      <c r="E20" s="22">
        <f t="shared" si="0"/>
        <v>113</v>
      </c>
      <c r="F20" s="19">
        <v>188</v>
      </c>
      <c r="G20" s="35">
        <v>162</v>
      </c>
      <c r="H20" s="19">
        <v>185.7</v>
      </c>
      <c r="I20" s="33">
        <v>211</v>
      </c>
      <c r="J20" s="19">
        <v>194.2</v>
      </c>
      <c r="L20" s="22">
        <v>15</v>
      </c>
      <c r="M20" s="19"/>
      <c r="N20" s="22">
        <v>64</v>
      </c>
      <c r="O20" s="19"/>
      <c r="P20" s="22">
        <f t="shared" si="1"/>
        <v>113</v>
      </c>
      <c r="Q20" s="19"/>
      <c r="R20" s="35">
        <v>162</v>
      </c>
      <c r="S20" s="19"/>
      <c r="T20" s="33">
        <v>211</v>
      </c>
      <c r="U20" s="19"/>
      <c r="W20" s="22">
        <v>15</v>
      </c>
      <c r="X20" s="19">
        <v>186.3</v>
      </c>
      <c r="Y20" s="22">
        <v>64</v>
      </c>
      <c r="Z20" s="19">
        <v>185.6</v>
      </c>
      <c r="AA20" s="22">
        <f t="shared" si="2"/>
        <v>113</v>
      </c>
      <c r="AB20" s="19">
        <v>188</v>
      </c>
      <c r="AC20" s="35">
        <v>162</v>
      </c>
      <c r="AD20" s="19">
        <v>185.7</v>
      </c>
      <c r="AE20" s="33">
        <v>211</v>
      </c>
      <c r="AF20" s="19"/>
      <c r="AH20" s="22">
        <v>15</v>
      </c>
      <c r="AI20" s="19"/>
      <c r="AJ20" s="22">
        <v>64</v>
      </c>
      <c r="AK20" s="19"/>
      <c r="AL20" s="22">
        <f t="shared" si="3"/>
        <v>113</v>
      </c>
      <c r="AM20" s="19"/>
      <c r="AN20" s="35">
        <v>162</v>
      </c>
      <c r="AO20" s="19"/>
      <c r="AP20" s="33">
        <v>211</v>
      </c>
      <c r="AQ20" s="19">
        <v>194.2</v>
      </c>
    </row>
    <row r="21" spans="1:43" ht="15.75" x14ac:dyDescent="0.25">
      <c r="A21" s="22">
        <v>16</v>
      </c>
      <c r="B21" s="19">
        <v>184.5</v>
      </c>
      <c r="C21" s="22">
        <v>65</v>
      </c>
      <c r="D21" s="19">
        <v>186.8</v>
      </c>
      <c r="E21" s="22">
        <f t="shared" si="0"/>
        <v>114</v>
      </c>
      <c r="F21" s="19">
        <v>190.7</v>
      </c>
      <c r="G21" s="35">
        <v>163</v>
      </c>
      <c r="H21" s="19">
        <v>189.3</v>
      </c>
      <c r="I21" s="33">
        <v>212</v>
      </c>
      <c r="J21" s="19">
        <v>185.2</v>
      </c>
      <c r="L21" s="22">
        <v>16</v>
      </c>
      <c r="M21" s="19"/>
      <c r="N21" s="22">
        <v>65</v>
      </c>
      <c r="O21" s="19"/>
      <c r="P21" s="22">
        <f t="shared" si="1"/>
        <v>114</v>
      </c>
      <c r="Q21" s="19"/>
      <c r="R21" s="35">
        <v>163</v>
      </c>
      <c r="S21" s="19"/>
      <c r="T21" s="33">
        <v>212</v>
      </c>
      <c r="U21" s="19"/>
      <c r="W21" s="22">
        <v>16</v>
      </c>
      <c r="X21" s="19">
        <v>184.5</v>
      </c>
      <c r="Y21" s="22">
        <v>65</v>
      </c>
      <c r="Z21" s="19">
        <v>186.8</v>
      </c>
      <c r="AA21" s="22">
        <f t="shared" si="2"/>
        <v>114</v>
      </c>
      <c r="AB21" s="19">
        <v>190.7</v>
      </c>
      <c r="AC21" s="35">
        <v>163</v>
      </c>
      <c r="AD21" s="19">
        <v>189.3</v>
      </c>
      <c r="AE21" s="33">
        <v>212</v>
      </c>
      <c r="AF21" s="19"/>
      <c r="AH21" s="22">
        <v>16</v>
      </c>
      <c r="AI21" s="19"/>
      <c r="AJ21" s="22">
        <v>65</v>
      </c>
      <c r="AK21" s="19"/>
      <c r="AL21" s="22">
        <f t="shared" si="3"/>
        <v>114</v>
      </c>
      <c r="AM21" s="19"/>
      <c r="AN21" s="35">
        <v>163</v>
      </c>
      <c r="AO21" s="19"/>
      <c r="AP21" s="33">
        <v>212</v>
      </c>
      <c r="AQ21" s="19">
        <v>185.2</v>
      </c>
    </row>
    <row r="22" spans="1:43" ht="15.75" x14ac:dyDescent="0.25">
      <c r="A22" s="22">
        <v>17</v>
      </c>
      <c r="B22" s="19">
        <v>199.6</v>
      </c>
      <c r="C22" s="22">
        <v>66</v>
      </c>
      <c r="D22" s="19">
        <v>190.5</v>
      </c>
      <c r="E22" s="22">
        <f t="shared" si="0"/>
        <v>115</v>
      </c>
      <c r="F22" s="19">
        <v>190.3</v>
      </c>
      <c r="G22" s="35">
        <v>164</v>
      </c>
      <c r="H22" s="19">
        <v>190.8</v>
      </c>
      <c r="I22" s="33">
        <v>213</v>
      </c>
      <c r="J22" s="19">
        <v>192.9</v>
      </c>
      <c r="L22" s="22">
        <v>17</v>
      </c>
      <c r="M22" s="19"/>
      <c r="N22" s="22">
        <v>66</v>
      </c>
      <c r="O22" s="19"/>
      <c r="P22" s="22">
        <f t="shared" si="1"/>
        <v>115</v>
      </c>
      <c r="Q22" s="19"/>
      <c r="R22" s="35">
        <v>164</v>
      </c>
      <c r="S22" s="19"/>
      <c r="T22" s="33">
        <v>213</v>
      </c>
      <c r="U22" s="19"/>
      <c r="W22" s="22">
        <v>17</v>
      </c>
      <c r="X22" s="19">
        <v>199.6</v>
      </c>
      <c r="Y22" s="22">
        <v>66</v>
      </c>
      <c r="Z22" s="19">
        <v>190.5</v>
      </c>
      <c r="AA22" s="22">
        <f t="shared" si="2"/>
        <v>115</v>
      </c>
      <c r="AB22" s="19">
        <v>190.3</v>
      </c>
      <c r="AC22" s="35">
        <v>164</v>
      </c>
      <c r="AD22" s="19">
        <v>190.8</v>
      </c>
      <c r="AE22" s="33">
        <v>213</v>
      </c>
      <c r="AF22" s="19"/>
      <c r="AH22" s="22">
        <v>17</v>
      </c>
      <c r="AI22" s="19"/>
      <c r="AJ22" s="22">
        <v>66</v>
      </c>
      <c r="AK22" s="19"/>
      <c r="AL22" s="22">
        <f t="shared" si="3"/>
        <v>115</v>
      </c>
      <c r="AM22" s="19"/>
      <c r="AN22" s="35">
        <v>164</v>
      </c>
      <c r="AO22" s="19"/>
      <c r="AP22" s="33">
        <v>213</v>
      </c>
      <c r="AQ22" s="19">
        <v>192.9</v>
      </c>
    </row>
    <row r="23" spans="1:43" ht="15.75" x14ac:dyDescent="0.25">
      <c r="A23" s="22">
        <v>18</v>
      </c>
      <c r="B23" s="19">
        <v>181.9</v>
      </c>
      <c r="C23" s="22">
        <v>67</v>
      </c>
      <c r="D23" s="19">
        <v>186.9</v>
      </c>
      <c r="E23" s="22">
        <f t="shared" si="0"/>
        <v>116</v>
      </c>
      <c r="F23" s="19">
        <v>185.3</v>
      </c>
      <c r="G23" s="35">
        <v>165</v>
      </c>
      <c r="H23" s="19">
        <v>188.5</v>
      </c>
      <c r="I23" s="33">
        <v>214</v>
      </c>
      <c r="J23" s="19">
        <v>190.1</v>
      </c>
      <c r="L23" s="22">
        <v>18</v>
      </c>
      <c r="M23" s="19"/>
      <c r="N23" s="22">
        <v>67</v>
      </c>
      <c r="O23" s="19"/>
      <c r="P23" s="22">
        <f t="shared" si="1"/>
        <v>116</v>
      </c>
      <c r="Q23" s="19"/>
      <c r="R23" s="35">
        <v>165</v>
      </c>
      <c r="S23" s="19"/>
      <c r="T23" s="33">
        <v>214</v>
      </c>
      <c r="U23" s="19"/>
      <c r="W23" s="22">
        <v>18</v>
      </c>
      <c r="X23" s="19">
        <v>181.9</v>
      </c>
      <c r="Y23" s="22">
        <v>67</v>
      </c>
      <c r="Z23" s="19">
        <v>186.9</v>
      </c>
      <c r="AA23" s="22">
        <f t="shared" si="2"/>
        <v>116</v>
      </c>
      <c r="AB23" s="19">
        <v>185.3</v>
      </c>
      <c r="AC23" s="35">
        <v>165</v>
      </c>
      <c r="AD23" s="19">
        <v>188.5</v>
      </c>
      <c r="AE23" s="33">
        <v>214</v>
      </c>
      <c r="AF23" s="19"/>
      <c r="AH23" s="22">
        <v>18</v>
      </c>
      <c r="AI23" s="19"/>
      <c r="AJ23" s="22">
        <v>67</v>
      </c>
      <c r="AK23" s="19"/>
      <c r="AL23" s="22">
        <f t="shared" si="3"/>
        <v>116</v>
      </c>
      <c r="AM23" s="19"/>
      <c r="AN23" s="35">
        <v>165</v>
      </c>
      <c r="AO23" s="19"/>
      <c r="AP23" s="33">
        <v>214</v>
      </c>
      <c r="AQ23" s="19">
        <v>190.1</v>
      </c>
    </row>
    <row r="24" spans="1:43" ht="15.75" x14ac:dyDescent="0.25">
      <c r="A24" s="22">
        <v>19</v>
      </c>
      <c r="B24" s="19">
        <v>179.5</v>
      </c>
      <c r="C24" s="22">
        <v>68</v>
      </c>
      <c r="D24" s="19">
        <v>191.6</v>
      </c>
      <c r="E24" s="22">
        <f t="shared" si="0"/>
        <v>117</v>
      </c>
      <c r="F24" s="19">
        <v>187.8</v>
      </c>
      <c r="G24" s="35">
        <v>166</v>
      </c>
      <c r="H24" s="19">
        <v>188.8</v>
      </c>
      <c r="I24" s="33">
        <v>215</v>
      </c>
      <c r="J24" s="19">
        <v>189.2</v>
      </c>
      <c r="L24" s="22">
        <v>19</v>
      </c>
      <c r="M24" s="19"/>
      <c r="N24" s="22">
        <v>68</v>
      </c>
      <c r="O24" s="19"/>
      <c r="P24" s="22">
        <f t="shared" si="1"/>
        <v>117</v>
      </c>
      <c r="Q24" s="19"/>
      <c r="R24" s="35">
        <v>166</v>
      </c>
      <c r="S24" s="19"/>
      <c r="T24" s="33">
        <v>215</v>
      </c>
      <c r="U24" s="19"/>
      <c r="W24" s="22">
        <v>19</v>
      </c>
      <c r="X24" s="19">
        <v>179.5</v>
      </c>
      <c r="Y24" s="22">
        <v>68</v>
      </c>
      <c r="Z24" s="19">
        <v>191.6</v>
      </c>
      <c r="AA24" s="22">
        <f t="shared" si="2"/>
        <v>117</v>
      </c>
      <c r="AB24" s="19">
        <v>187.8</v>
      </c>
      <c r="AC24" s="35">
        <v>166</v>
      </c>
      <c r="AD24" s="19">
        <v>188.8</v>
      </c>
      <c r="AE24" s="33">
        <v>215</v>
      </c>
      <c r="AF24" s="19"/>
      <c r="AH24" s="22">
        <v>19</v>
      </c>
      <c r="AI24" s="19"/>
      <c r="AJ24" s="22">
        <v>68</v>
      </c>
      <c r="AK24" s="19"/>
      <c r="AL24" s="22">
        <f t="shared" si="3"/>
        <v>117</v>
      </c>
      <c r="AM24" s="19"/>
      <c r="AN24" s="35">
        <v>166</v>
      </c>
      <c r="AO24" s="19"/>
      <c r="AP24" s="33">
        <v>215</v>
      </c>
      <c r="AQ24" s="19">
        <v>189.2</v>
      </c>
    </row>
    <row r="25" spans="1:43" ht="15.75" x14ac:dyDescent="0.25">
      <c r="A25" s="22">
        <v>20</v>
      </c>
      <c r="B25" s="19">
        <v>183</v>
      </c>
      <c r="C25" s="22">
        <v>69</v>
      </c>
      <c r="D25" s="19">
        <v>191.5</v>
      </c>
      <c r="E25" s="22">
        <f t="shared" si="0"/>
        <v>118</v>
      </c>
      <c r="F25" s="19">
        <v>185.2</v>
      </c>
      <c r="G25" s="35">
        <v>167</v>
      </c>
      <c r="H25" s="19">
        <v>188.6</v>
      </c>
      <c r="I25" s="33">
        <v>216</v>
      </c>
      <c r="J25" s="19">
        <v>195.9</v>
      </c>
      <c r="L25" s="22">
        <v>20</v>
      </c>
      <c r="M25" s="19"/>
      <c r="N25" s="22">
        <v>69</v>
      </c>
      <c r="O25" s="19"/>
      <c r="P25" s="22">
        <f t="shared" si="1"/>
        <v>118</v>
      </c>
      <c r="Q25" s="19"/>
      <c r="R25" s="35">
        <v>167</v>
      </c>
      <c r="S25" s="19"/>
      <c r="T25" s="33">
        <v>216</v>
      </c>
      <c r="U25" s="19"/>
      <c r="W25" s="22">
        <v>20</v>
      </c>
      <c r="X25" s="19">
        <v>183</v>
      </c>
      <c r="Y25" s="22">
        <v>69</v>
      </c>
      <c r="Z25" s="19">
        <v>191.5</v>
      </c>
      <c r="AA25" s="22">
        <f t="shared" si="2"/>
        <v>118</v>
      </c>
      <c r="AB25" s="19">
        <v>185.2</v>
      </c>
      <c r="AC25" s="35">
        <v>167</v>
      </c>
      <c r="AD25" s="19">
        <v>188.6</v>
      </c>
      <c r="AE25" s="33">
        <v>216</v>
      </c>
      <c r="AF25" s="19"/>
      <c r="AH25" s="22">
        <v>20</v>
      </c>
      <c r="AI25" s="19"/>
      <c r="AJ25" s="22">
        <v>69</v>
      </c>
      <c r="AK25" s="19"/>
      <c r="AL25" s="22">
        <f t="shared" si="3"/>
        <v>118</v>
      </c>
      <c r="AM25" s="19"/>
      <c r="AN25" s="35">
        <v>167</v>
      </c>
      <c r="AO25" s="19"/>
      <c r="AP25" s="33">
        <v>216</v>
      </c>
      <c r="AQ25" s="19">
        <v>195.9</v>
      </c>
    </row>
    <row r="26" spans="1:43" ht="15.75" x14ac:dyDescent="0.25">
      <c r="A26" s="22">
        <v>21</v>
      </c>
      <c r="B26" s="19">
        <v>180.5</v>
      </c>
      <c r="C26" s="22">
        <v>70</v>
      </c>
      <c r="D26" s="19">
        <v>189.5</v>
      </c>
      <c r="E26" s="22">
        <f t="shared" si="0"/>
        <v>119</v>
      </c>
      <c r="F26" s="19">
        <v>187.2</v>
      </c>
      <c r="G26" s="35">
        <v>168</v>
      </c>
      <c r="H26" s="19">
        <v>188.2</v>
      </c>
      <c r="I26" s="33">
        <v>217</v>
      </c>
      <c r="J26" s="19">
        <v>190.8</v>
      </c>
      <c r="L26" s="22">
        <v>21</v>
      </c>
      <c r="M26" s="19"/>
      <c r="N26" s="22">
        <v>70</v>
      </c>
      <c r="O26" s="19"/>
      <c r="P26" s="22">
        <f t="shared" si="1"/>
        <v>119</v>
      </c>
      <c r="Q26" s="19"/>
      <c r="R26" s="35">
        <v>168</v>
      </c>
      <c r="S26" s="19"/>
      <c r="T26" s="33">
        <v>217</v>
      </c>
      <c r="U26" s="19"/>
      <c r="W26" s="22">
        <v>21</v>
      </c>
      <c r="X26" s="19">
        <v>180.5</v>
      </c>
      <c r="Y26" s="22">
        <v>70</v>
      </c>
      <c r="Z26" s="19">
        <v>189.5</v>
      </c>
      <c r="AA26" s="22">
        <f t="shared" si="2"/>
        <v>119</v>
      </c>
      <c r="AB26" s="19">
        <v>187.2</v>
      </c>
      <c r="AC26" s="35">
        <v>168</v>
      </c>
      <c r="AD26" s="19">
        <v>188.2</v>
      </c>
      <c r="AE26" s="33">
        <v>217</v>
      </c>
      <c r="AF26" s="19"/>
      <c r="AH26" s="22">
        <v>21</v>
      </c>
      <c r="AI26" s="19"/>
      <c r="AJ26" s="22">
        <v>70</v>
      </c>
      <c r="AK26" s="19"/>
      <c r="AL26" s="22">
        <f t="shared" si="3"/>
        <v>119</v>
      </c>
      <c r="AM26" s="19"/>
      <c r="AN26" s="35">
        <v>168</v>
      </c>
      <c r="AO26" s="19"/>
      <c r="AP26" s="33">
        <v>217</v>
      </c>
      <c r="AQ26" s="19">
        <v>190.8</v>
      </c>
    </row>
    <row r="27" spans="1:43" ht="15.75" x14ac:dyDescent="0.25">
      <c r="A27" s="22">
        <v>22</v>
      </c>
      <c r="B27" s="19">
        <v>179.7</v>
      </c>
      <c r="C27" s="22">
        <v>71</v>
      </c>
      <c r="D27" s="19">
        <v>187.5</v>
      </c>
      <c r="E27" s="22">
        <f t="shared" si="0"/>
        <v>120</v>
      </c>
      <c r="F27" s="19">
        <v>187</v>
      </c>
      <c r="G27" s="35">
        <v>169</v>
      </c>
      <c r="H27" s="19">
        <v>188.8</v>
      </c>
      <c r="I27" s="33">
        <v>218</v>
      </c>
      <c r="J27" s="19">
        <v>188.4</v>
      </c>
      <c r="L27" s="22">
        <v>22</v>
      </c>
      <c r="M27" s="19"/>
      <c r="N27" s="22">
        <v>71</v>
      </c>
      <c r="O27" s="19"/>
      <c r="P27" s="22">
        <f t="shared" si="1"/>
        <v>120</v>
      </c>
      <c r="Q27" s="19"/>
      <c r="R27" s="35">
        <v>169</v>
      </c>
      <c r="S27" s="19"/>
      <c r="T27" s="33">
        <v>218</v>
      </c>
      <c r="U27" s="19"/>
      <c r="W27" s="22">
        <v>22</v>
      </c>
      <c r="X27" s="19">
        <v>179.7</v>
      </c>
      <c r="Y27" s="22">
        <v>71</v>
      </c>
      <c r="Z27" s="19">
        <v>187.5</v>
      </c>
      <c r="AA27" s="22">
        <f t="shared" si="2"/>
        <v>120</v>
      </c>
      <c r="AB27" s="19">
        <v>187</v>
      </c>
      <c r="AC27" s="35">
        <v>169</v>
      </c>
      <c r="AD27" s="19">
        <v>188.8</v>
      </c>
      <c r="AE27" s="33">
        <v>218</v>
      </c>
      <c r="AF27" s="19"/>
      <c r="AH27" s="22">
        <v>22</v>
      </c>
      <c r="AI27" s="19"/>
      <c r="AJ27" s="22">
        <v>71</v>
      </c>
      <c r="AK27" s="19"/>
      <c r="AL27" s="22">
        <f t="shared" si="3"/>
        <v>120</v>
      </c>
      <c r="AM27" s="19"/>
      <c r="AN27" s="35">
        <v>169</v>
      </c>
      <c r="AO27" s="19"/>
      <c r="AP27" s="33">
        <v>218</v>
      </c>
      <c r="AQ27" s="19">
        <v>188.4</v>
      </c>
    </row>
    <row r="28" spans="1:43" ht="15.75" x14ac:dyDescent="0.25">
      <c r="A28" s="22">
        <v>23</v>
      </c>
      <c r="B28" s="19">
        <v>181.3</v>
      </c>
      <c r="C28" s="22">
        <v>72</v>
      </c>
      <c r="D28" s="19">
        <v>190.2</v>
      </c>
      <c r="E28" s="22">
        <f t="shared" si="0"/>
        <v>121</v>
      </c>
      <c r="F28" s="19">
        <v>189.6</v>
      </c>
      <c r="G28" s="35">
        <v>170</v>
      </c>
      <c r="H28" s="19">
        <v>187.5</v>
      </c>
      <c r="I28" s="33">
        <v>219</v>
      </c>
      <c r="J28" s="19">
        <v>193.8</v>
      </c>
      <c r="L28" s="22">
        <v>23</v>
      </c>
      <c r="M28" s="19"/>
      <c r="N28" s="22">
        <v>72</v>
      </c>
      <c r="O28" s="19"/>
      <c r="P28" s="22">
        <f t="shared" si="1"/>
        <v>121</v>
      </c>
      <c r="Q28" s="19"/>
      <c r="R28" s="35">
        <v>170</v>
      </c>
      <c r="S28" s="19"/>
      <c r="T28" s="33">
        <v>219</v>
      </c>
      <c r="U28" s="19"/>
      <c r="W28" s="22">
        <v>23</v>
      </c>
      <c r="X28" s="19">
        <v>181.3</v>
      </c>
      <c r="Y28" s="22">
        <v>72</v>
      </c>
      <c r="Z28" s="19">
        <v>190.2</v>
      </c>
      <c r="AA28" s="22">
        <f t="shared" si="2"/>
        <v>121</v>
      </c>
      <c r="AB28" s="19">
        <v>189.6</v>
      </c>
      <c r="AC28" s="35">
        <v>170</v>
      </c>
      <c r="AD28" s="19">
        <v>187.5</v>
      </c>
      <c r="AE28" s="33">
        <v>219</v>
      </c>
      <c r="AF28" s="19"/>
      <c r="AH28" s="22">
        <v>23</v>
      </c>
      <c r="AI28" s="19"/>
      <c r="AJ28" s="22">
        <v>72</v>
      </c>
      <c r="AK28" s="19"/>
      <c r="AL28" s="22">
        <f t="shared" si="3"/>
        <v>121</v>
      </c>
      <c r="AM28" s="19"/>
      <c r="AN28" s="35">
        <v>170</v>
      </c>
      <c r="AO28" s="19"/>
      <c r="AP28" s="33">
        <v>219</v>
      </c>
      <c r="AQ28" s="19">
        <v>193.8</v>
      </c>
    </row>
    <row r="29" spans="1:43" ht="15.75" x14ac:dyDescent="0.25">
      <c r="A29" s="22">
        <v>24</v>
      </c>
      <c r="B29" s="19">
        <v>184.5</v>
      </c>
      <c r="C29" s="22">
        <v>73</v>
      </c>
      <c r="D29" s="19">
        <v>186.8</v>
      </c>
      <c r="E29" s="22">
        <f t="shared" si="0"/>
        <v>122</v>
      </c>
      <c r="F29" s="19">
        <v>186.3</v>
      </c>
      <c r="G29" s="35">
        <v>171</v>
      </c>
      <c r="H29" s="19">
        <v>193.8</v>
      </c>
      <c r="I29" s="33">
        <v>220</v>
      </c>
      <c r="J29" s="19">
        <v>193.3</v>
      </c>
      <c r="L29" s="22">
        <v>24</v>
      </c>
      <c r="M29" s="19"/>
      <c r="N29" s="22">
        <v>73</v>
      </c>
      <c r="O29" s="19"/>
      <c r="P29" s="22">
        <f t="shared" si="1"/>
        <v>122</v>
      </c>
      <c r="Q29" s="19"/>
      <c r="R29" s="35">
        <v>171</v>
      </c>
      <c r="S29" s="19"/>
      <c r="T29" s="33">
        <v>220</v>
      </c>
      <c r="U29" s="19"/>
      <c r="W29" s="22">
        <v>24</v>
      </c>
      <c r="X29" s="19">
        <v>184.5</v>
      </c>
      <c r="Y29" s="22">
        <v>73</v>
      </c>
      <c r="Z29" s="19">
        <v>186.8</v>
      </c>
      <c r="AA29" s="22">
        <f t="shared" si="2"/>
        <v>122</v>
      </c>
      <c r="AB29" s="19">
        <v>186.3</v>
      </c>
      <c r="AC29" s="35">
        <v>171</v>
      </c>
      <c r="AD29" s="19">
        <v>193.8</v>
      </c>
      <c r="AE29" s="33">
        <v>220</v>
      </c>
      <c r="AF29" s="19"/>
      <c r="AH29" s="22">
        <v>24</v>
      </c>
      <c r="AI29" s="19"/>
      <c r="AJ29" s="22">
        <v>73</v>
      </c>
      <c r="AK29" s="19"/>
      <c r="AL29" s="22">
        <f t="shared" si="3"/>
        <v>122</v>
      </c>
      <c r="AM29" s="19"/>
      <c r="AN29" s="35">
        <v>171</v>
      </c>
      <c r="AO29" s="19"/>
      <c r="AP29" s="33">
        <v>220</v>
      </c>
      <c r="AQ29" s="19">
        <v>193.3</v>
      </c>
    </row>
    <row r="30" spans="1:43" ht="15.75" x14ac:dyDescent="0.25">
      <c r="A30" s="22">
        <v>25</v>
      </c>
      <c r="B30" s="19">
        <v>180.7</v>
      </c>
      <c r="C30" s="22">
        <v>74</v>
      </c>
      <c r="D30" s="19">
        <v>182.5</v>
      </c>
      <c r="E30" s="22">
        <f t="shared" si="0"/>
        <v>123</v>
      </c>
      <c r="F30" s="19">
        <v>194</v>
      </c>
      <c r="G30" s="35">
        <v>172</v>
      </c>
      <c r="H30" s="19">
        <v>194.9</v>
      </c>
      <c r="I30" s="20"/>
      <c r="J30" s="36"/>
      <c r="L30" s="22">
        <v>25</v>
      </c>
      <c r="M30" s="19"/>
      <c r="N30" s="22">
        <v>74</v>
      </c>
      <c r="O30" s="19"/>
      <c r="P30" s="22">
        <f t="shared" si="1"/>
        <v>123</v>
      </c>
      <c r="Q30" s="19"/>
      <c r="R30" s="35">
        <v>172</v>
      </c>
      <c r="S30" s="19"/>
      <c r="T30" s="20"/>
      <c r="U30" s="36"/>
      <c r="W30" s="22">
        <v>25</v>
      </c>
      <c r="X30" s="19">
        <v>180.7</v>
      </c>
      <c r="Y30" s="22">
        <v>74</v>
      </c>
      <c r="Z30" s="19">
        <v>182.5</v>
      </c>
      <c r="AA30" s="22">
        <f t="shared" si="2"/>
        <v>123</v>
      </c>
      <c r="AB30" s="19">
        <v>194</v>
      </c>
      <c r="AC30" s="35">
        <v>172</v>
      </c>
      <c r="AD30" s="19">
        <v>194.9</v>
      </c>
      <c r="AE30" s="20"/>
      <c r="AF30" s="36"/>
      <c r="AH30" s="22">
        <v>25</v>
      </c>
      <c r="AI30" s="19"/>
      <c r="AJ30" s="22">
        <v>74</v>
      </c>
      <c r="AK30" s="19"/>
      <c r="AL30" s="22">
        <f t="shared" si="3"/>
        <v>123</v>
      </c>
      <c r="AM30" s="19"/>
      <c r="AN30" s="35">
        <v>172</v>
      </c>
      <c r="AO30" s="19"/>
      <c r="AP30" s="20"/>
      <c r="AQ30" s="36"/>
    </row>
    <row r="31" spans="1:43" ht="15.75" x14ac:dyDescent="0.25">
      <c r="A31" s="22">
        <v>26</v>
      </c>
      <c r="B31" s="19">
        <v>185.1</v>
      </c>
      <c r="C31" s="22">
        <v>75</v>
      </c>
      <c r="D31" s="19">
        <v>183.2</v>
      </c>
      <c r="E31" s="22">
        <f t="shared" si="0"/>
        <v>124</v>
      </c>
      <c r="F31" s="19">
        <v>187.7</v>
      </c>
      <c r="G31" s="35">
        <v>173</v>
      </c>
      <c r="H31" s="19">
        <v>187.2</v>
      </c>
      <c r="I31" s="20"/>
      <c r="J31" s="36"/>
      <c r="L31" s="22">
        <v>26</v>
      </c>
      <c r="M31" s="19"/>
      <c r="N31" s="22">
        <v>75</v>
      </c>
      <c r="O31" s="19"/>
      <c r="P31" s="22">
        <f t="shared" si="1"/>
        <v>124</v>
      </c>
      <c r="Q31" s="19"/>
      <c r="R31" s="35">
        <v>173</v>
      </c>
      <c r="S31" s="19"/>
      <c r="T31" s="20"/>
      <c r="U31" s="36"/>
      <c r="W31" s="22">
        <v>26</v>
      </c>
      <c r="X31" s="19">
        <v>185.1</v>
      </c>
      <c r="Y31" s="22">
        <v>75</v>
      </c>
      <c r="Z31" s="19">
        <v>183.2</v>
      </c>
      <c r="AA31" s="22">
        <f t="shared" si="2"/>
        <v>124</v>
      </c>
      <c r="AB31" s="19">
        <v>187.7</v>
      </c>
      <c r="AC31" s="35">
        <v>173</v>
      </c>
      <c r="AD31" s="19">
        <v>187.2</v>
      </c>
      <c r="AE31" s="20"/>
      <c r="AF31" s="36"/>
      <c r="AH31" s="22">
        <v>26</v>
      </c>
      <c r="AI31" s="19"/>
      <c r="AJ31" s="22">
        <v>75</v>
      </c>
      <c r="AK31" s="19"/>
      <c r="AL31" s="22">
        <f t="shared" si="3"/>
        <v>124</v>
      </c>
      <c r="AM31" s="19"/>
      <c r="AN31" s="35">
        <v>173</v>
      </c>
      <c r="AO31" s="19"/>
      <c r="AP31" s="20"/>
      <c r="AQ31" s="36"/>
    </row>
    <row r="32" spans="1:43" ht="15.75" x14ac:dyDescent="0.25">
      <c r="A32" s="22">
        <v>27</v>
      </c>
      <c r="B32" s="19">
        <v>197.8</v>
      </c>
      <c r="C32" s="22">
        <v>76</v>
      </c>
      <c r="D32" s="19">
        <v>185.9</v>
      </c>
      <c r="E32" s="22">
        <f t="shared" si="0"/>
        <v>125</v>
      </c>
      <c r="F32" s="19">
        <v>187</v>
      </c>
      <c r="G32" s="33">
        <v>174</v>
      </c>
      <c r="H32" s="19">
        <v>191.8</v>
      </c>
      <c r="I32" s="21"/>
      <c r="J32" s="36"/>
      <c r="L32" s="22">
        <v>27</v>
      </c>
      <c r="M32" s="19"/>
      <c r="N32" s="22">
        <v>76</v>
      </c>
      <c r="O32" s="19"/>
      <c r="P32" s="22">
        <f t="shared" si="1"/>
        <v>125</v>
      </c>
      <c r="Q32" s="19"/>
      <c r="R32" s="33">
        <v>174</v>
      </c>
      <c r="S32" s="19"/>
      <c r="T32" s="21"/>
      <c r="U32" s="36"/>
      <c r="W32" s="22">
        <v>27</v>
      </c>
      <c r="X32" s="19">
        <v>197.8</v>
      </c>
      <c r="Y32" s="22">
        <v>76</v>
      </c>
      <c r="Z32" s="19">
        <v>185.9</v>
      </c>
      <c r="AA32" s="22">
        <f t="shared" si="2"/>
        <v>125</v>
      </c>
      <c r="AB32" s="19">
        <v>187</v>
      </c>
      <c r="AC32" s="33">
        <v>174</v>
      </c>
      <c r="AD32" s="19">
        <v>191.8</v>
      </c>
      <c r="AE32" s="21"/>
      <c r="AF32" s="36"/>
      <c r="AH32" s="22">
        <v>27</v>
      </c>
      <c r="AI32" s="19"/>
      <c r="AJ32" s="22">
        <v>76</v>
      </c>
      <c r="AK32" s="19"/>
      <c r="AL32" s="22">
        <f t="shared" si="3"/>
        <v>125</v>
      </c>
      <c r="AM32" s="19"/>
      <c r="AN32" s="33">
        <v>174</v>
      </c>
      <c r="AO32" s="19"/>
      <c r="AP32" s="21"/>
      <c r="AQ32" s="36"/>
    </row>
    <row r="33" spans="1:43" ht="15.75" x14ac:dyDescent="0.25">
      <c r="A33" s="22">
        <v>28</v>
      </c>
      <c r="B33" s="19">
        <v>188.5</v>
      </c>
      <c r="C33" s="22">
        <v>77</v>
      </c>
      <c r="D33" s="19">
        <v>174.4</v>
      </c>
      <c r="E33" s="22">
        <f t="shared" si="0"/>
        <v>126</v>
      </c>
      <c r="F33" s="19">
        <v>186</v>
      </c>
      <c r="G33" s="33">
        <v>175</v>
      </c>
      <c r="H33" s="19">
        <v>189.9</v>
      </c>
      <c r="I33" s="20"/>
      <c r="J33" s="36"/>
      <c r="L33" s="22">
        <v>28</v>
      </c>
      <c r="M33" s="19"/>
      <c r="N33" s="22">
        <v>77</v>
      </c>
      <c r="O33" s="19"/>
      <c r="P33" s="22">
        <f t="shared" si="1"/>
        <v>126</v>
      </c>
      <c r="Q33" s="19"/>
      <c r="R33" s="33">
        <v>175</v>
      </c>
      <c r="S33" s="19"/>
      <c r="T33" s="20"/>
      <c r="U33" s="36"/>
      <c r="W33" s="22">
        <v>28</v>
      </c>
      <c r="X33" s="19">
        <v>188.5</v>
      </c>
      <c r="Y33" s="22">
        <v>77</v>
      </c>
      <c r="Z33" s="19">
        <v>174.4</v>
      </c>
      <c r="AA33" s="22">
        <f t="shared" si="2"/>
        <v>126</v>
      </c>
      <c r="AB33" s="19">
        <v>186</v>
      </c>
      <c r="AC33" s="33">
        <v>175</v>
      </c>
      <c r="AD33" s="19">
        <v>189.9</v>
      </c>
      <c r="AE33" s="20"/>
      <c r="AF33" s="36"/>
      <c r="AH33" s="22">
        <v>28</v>
      </c>
      <c r="AI33" s="19"/>
      <c r="AJ33" s="22">
        <v>77</v>
      </c>
      <c r="AK33" s="19"/>
      <c r="AL33" s="22">
        <f t="shared" si="3"/>
        <v>126</v>
      </c>
      <c r="AM33" s="19"/>
      <c r="AN33" s="33">
        <v>175</v>
      </c>
      <c r="AO33" s="19"/>
      <c r="AP33" s="20"/>
      <c r="AQ33" s="36"/>
    </row>
    <row r="34" spans="1:43" ht="15.75" x14ac:dyDescent="0.25">
      <c r="A34" s="22">
        <v>29</v>
      </c>
      <c r="B34" s="19">
        <v>181.1</v>
      </c>
      <c r="C34" s="22">
        <v>78</v>
      </c>
      <c r="D34" s="19">
        <v>185.8</v>
      </c>
      <c r="E34" s="22">
        <f t="shared" si="0"/>
        <v>127</v>
      </c>
      <c r="F34" s="19">
        <v>190.5</v>
      </c>
      <c r="G34" s="33">
        <v>176</v>
      </c>
      <c r="H34" s="19">
        <v>192.9</v>
      </c>
      <c r="I34" s="20"/>
      <c r="J34" s="36"/>
      <c r="L34" s="22">
        <v>29</v>
      </c>
      <c r="M34" s="19"/>
      <c r="N34" s="22">
        <v>78</v>
      </c>
      <c r="O34" s="19"/>
      <c r="P34" s="22">
        <f t="shared" si="1"/>
        <v>127</v>
      </c>
      <c r="Q34" s="19"/>
      <c r="R34" s="33">
        <v>176</v>
      </c>
      <c r="S34" s="19"/>
      <c r="T34" s="20"/>
      <c r="U34" s="36"/>
      <c r="W34" s="22">
        <v>29</v>
      </c>
      <c r="X34" s="19">
        <v>181.1</v>
      </c>
      <c r="Y34" s="22">
        <v>78</v>
      </c>
      <c r="Z34" s="19">
        <v>185.8</v>
      </c>
      <c r="AA34" s="22">
        <f t="shared" si="2"/>
        <v>127</v>
      </c>
      <c r="AB34" s="19">
        <v>190.5</v>
      </c>
      <c r="AC34" s="33">
        <v>176</v>
      </c>
      <c r="AD34" s="19">
        <v>192.9</v>
      </c>
      <c r="AE34" s="20"/>
      <c r="AF34" s="36"/>
      <c r="AH34" s="22">
        <v>29</v>
      </c>
      <c r="AI34" s="19"/>
      <c r="AJ34" s="22">
        <v>78</v>
      </c>
      <c r="AK34" s="19"/>
      <c r="AL34" s="22">
        <f t="shared" si="3"/>
        <v>127</v>
      </c>
      <c r="AM34" s="19"/>
      <c r="AN34" s="33">
        <v>176</v>
      </c>
      <c r="AO34" s="19"/>
      <c r="AP34" s="20"/>
      <c r="AQ34" s="36"/>
    </row>
    <row r="35" spans="1:43" ht="15.75" x14ac:dyDescent="0.25">
      <c r="A35" s="22">
        <v>30</v>
      </c>
      <c r="B35" s="19">
        <v>186.4</v>
      </c>
      <c r="C35" s="22">
        <v>79</v>
      </c>
      <c r="D35" s="19">
        <v>183.6</v>
      </c>
      <c r="E35" s="22">
        <f t="shared" si="0"/>
        <v>128</v>
      </c>
      <c r="F35" s="19">
        <v>187</v>
      </c>
      <c r="G35" s="33">
        <v>177</v>
      </c>
      <c r="H35" s="19">
        <v>191.1</v>
      </c>
      <c r="I35" s="21"/>
      <c r="J35" s="36"/>
      <c r="L35" s="22">
        <v>30</v>
      </c>
      <c r="M35" s="19"/>
      <c r="N35" s="22">
        <v>79</v>
      </c>
      <c r="O35" s="19"/>
      <c r="P35" s="22">
        <f t="shared" si="1"/>
        <v>128</v>
      </c>
      <c r="Q35" s="19"/>
      <c r="R35" s="33">
        <v>177</v>
      </c>
      <c r="S35" s="19"/>
      <c r="T35" s="21"/>
      <c r="U35" s="36"/>
      <c r="W35" s="22">
        <v>30</v>
      </c>
      <c r="X35" s="19">
        <v>186.4</v>
      </c>
      <c r="Y35" s="22">
        <v>79</v>
      </c>
      <c r="Z35" s="19">
        <v>183.6</v>
      </c>
      <c r="AA35" s="22">
        <f t="shared" si="2"/>
        <v>128</v>
      </c>
      <c r="AB35" s="19">
        <v>187</v>
      </c>
      <c r="AC35" s="33">
        <v>177</v>
      </c>
      <c r="AD35" s="19">
        <v>191.1</v>
      </c>
      <c r="AE35" s="21"/>
      <c r="AF35" s="36"/>
      <c r="AH35" s="22">
        <v>30</v>
      </c>
      <c r="AI35" s="19"/>
      <c r="AJ35" s="22">
        <v>79</v>
      </c>
      <c r="AK35" s="19"/>
      <c r="AL35" s="22">
        <f t="shared" si="3"/>
        <v>128</v>
      </c>
      <c r="AM35" s="19"/>
      <c r="AN35" s="33">
        <v>177</v>
      </c>
      <c r="AO35" s="19"/>
      <c r="AP35" s="21"/>
      <c r="AQ35" s="36"/>
    </row>
    <row r="36" spans="1:43" ht="15.75" x14ac:dyDescent="0.25">
      <c r="A36" s="22">
        <v>31</v>
      </c>
      <c r="B36" s="19">
        <v>183.8</v>
      </c>
      <c r="C36" s="22">
        <v>80</v>
      </c>
      <c r="D36" s="19">
        <v>186.8</v>
      </c>
      <c r="E36" s="22">
        <f t="shared" si="0"/>
        <v>129</v>
      </c>
      <c r="F36" s="19">
        <v>189.4</v>
      </c>
      <c r="G36" s="33">
        <v>178</v>
      </c>
      <c r="H36" s="19">
        <v>191.2</v>
      </c>
      <c r="I36" s="20"/>
      <c r="J36" s="36"/>
      <c r="L36" s="22">
        <v>31</v>
      </c>
      <c r="M36" s="19"/>
      <c r="N36" s="22">
        <v>80</v>
      </c>
      <c r="O36" s="19"/>
      <c r="P36" s="22">
        <f t="shared" si="1"/>
        <v>129</v>
      </c>
      <c r="Q36" s="19"/>
      <c r="R36" s="33">
        <v>178</v>
      </c>
      <c r="S36" s="19"/>
      <c r="T36" s="20"/>
      <c r="U36" s="36"/>
      <c r="W36" s="22">
        <v>31</v>
      </c>
      <c r="X36" s="19">
        <v>183.8</v>
      </c>
      <c r="Y36" s="22">
        <v>80</v>
      </c>
      <c r="Z36" s="19">
        <v>186.8</v>
      </c>
      <c r="AA36" s="22">
        <f t="shared" si="2"/>
        <v>129</v>
      </c>
      <c r="AB36" s="19">
        <v>189.4</v>
      </c>
      <c r="AC36" s="33">
        <v>178</v>
      </c>
      <c r="AD36" s="19">
        <v>191.2</v>
      </c>
      <c r="AE36" s="20"/>
      <c r="AF36" s="36"/>
      <c r="AH36" s="22">
        <v>31</v>
      </c>
      <c r="AI36" s="19"/>
      <c r="AJ36" s="22">
        <v>80</v>
      </c>
      <c r="AK36" s="19"/>
      <c r="AL36" s="22">
        <f t="shared" si="3"/>
        <v>129</v>
      </c>
      <c r="AM36" s="19"/>
      <c r="AN36" s="33">
        <v>178</v>
      </c>
      <c r="AO36" s="19"/>
      <c r="AP36" s="20"/>
      <c r="AQ36" s="36"/>
    </row>
    <row r="37" spans="1:43" ht="15.75" x14ac:dyDescent="0.25">
      <c r="A37" s="22">
        <v>32</v>
      </c>
      <c r="B37" s="19">
        <v>188.3</v>
      </c>
      <c r="C37" s="22">
        <v>81</v>
      </c>
      <c r="D37" s="19">
        <v>181.7</v>
      </c>
      <c r="E37" s="22">
        <f t="shared" si="0"/>
        <v>130</v>
      </c>
      <c r="F37" s="19">
        <v>190.3</v>
      </c>
      <c r="G37" s="33">
        <v>179</v>
      </c>
      <c r="H37" s="19">
        <v>193.4</v>
      </c>
      <c r="I37" s="20"/>
      <c r="J37" s="36"/>
      <c r="L37" s="22">
        <v>32</v>
      </c>
      <c r="M37" s="19"/>
      <c r="N37" s="22">
        <v>81</v>
      </c>
      <c r="O37" s="19"/>
      <c r="P37" s="22">
        <f t="shared" si="1"/>
        <v>130</v>
      </c>
      <c r="Q37" s="19"/>
      <c r="R37" s="33">
        <v>179</v>
      </c>
      <c r="S37" s="19"/>
      <c r="T37" s="20"/>
      <c r="U37" s="36"/>
      <c r="W37" s="22">
        <v>32</v>
      </c>
      <c r="X37" s="19">
        <v>188.3</v>
      </c>
      <c r="Y37" s="22">
        <v>81</v>
      </c>
      <c r="Z37" s="19">
        <v>181.7</v>
      </c>
      <c r="AA37" s="22">
        <f t="shared" si="2"/>
        <v>130</v>
      </c>
      <c r="AB37" s="19">
        <v>190.3</v>
      </c>
      <c r="AC37" s="33">
        <v>179</v>
      </c>
      <c r="AD37" s="19">
        <v>193.4</v>
      </c>
      <c r="AE37" s="20"/>
      <c r="AF37" s="36"/>
      <c r="AH37" s="22">
        <v>32</v>
      </c>
      <c r="AI37" s="19"/>
      <c r="AJ37" s="22">
        <v>81</v>
      </c>
      <c r="AK37" s="19"/>
      <c r="AL37" s="22">
        <f t="shared" si="3"/>
        <v>130</v>
      </c>
      <c r="AM37" s="19"/>
      <c r="AN37" s="33">
        <v>179</v>
      </c>
      <c r="AO37" s="19"/>
      <c r="AP37" s="20"/>
      <c r="AQ37" s="36"/>
    </row>
    <row r="38" spans="1:43" ht="15.75" x14ac:dyDescent="0.25">
      <c r="A38" s="22">
        <v>33</v>
      </c>
      <c r="B38" s="19">
        <v>183.1</v>
      </c>
      <c r="C38" s="22">
        <v>82</v>
      </c>
      <c r="D38" s="19">
        <v>182.9</v>
      </c>
      <c r="E38" s="22">
        <f t="shared" si="0"/>
        <v>131</v>
      </c>
      <c r="F38" s="19">
        <v>185.2</v>
      </c>
      <c r="G38" s="33">
        <v>180</v>
      </c>
      <c r="H38" s="19">
        <v>192.7</v>
      </c>
      <c r="I38" s="21"/>
      <c r="J38" s="36"/>
      <c r="L38" s="22">
        <v>33</v>
      </c>
      <c r="M38" s="19"/>
      <c r="N38" s="22">
        <v>82</v>
      </c>
      <c r="O38" s="19"/>
      <c r="P38" s="22">
        <f t="shared" si="1"/>
        <v>131</v>
      </c>
      <c r="Q38" s="19"/>
      <c r="R38" s="33">
        <v>180</v>
      </c>
      <c r="S38" s="19"/>
      <c r="T38" s="21"/>
      <c r="U38" s="36"/>
      <c r="W38" s="22">
        <v>33</v>
      </c>
      <c r="X38" s="19">
        <v>183.1</v>
      </c>
      <c r="Y38" s="22">
        <v>82</v>
      </c>
      <c r="Z38" s="19">
        <v>182.9</v>
      </c>
      <c r="AA38" s="22">
        <f t="shared" si="2"/>
        <v>131</v>
      </c>
      <c r="AB38" s="19">
        <v>185.2</v>
      </c>
      <c r="AC38" s="33">
        <v>180</v>
      </c>
      <c r="AD38" s="19">
        <v>192.7</v>
      </c>
      <c r="AE38" s="21"/>
      <c r="AF38" s="36"/>
      <c r="AH38" s="22">
        <v>33</v>
      </c>
      <c r="AI38" s="19"/>
      <c r="AJ38" s="22">
        <v>82</v>
      </c>
      <c r="AK38" s="19"/>
      <c r="AL38" s="22">
        <f t="shared" si="3"/>
        <v>131</v>
      </c>
      <c r="AM38" s="19"/>
      <c r="AN38" s="33">
        <v>180</v>
      </c>
      <c r="AO38" s="19"/>
      <c r="AP38" s="21"/>
      <c r="AQ38" s="36"/>
    </row>
    <row r="39" spans="1:43" ht="15.75" x14ac:dyDescent="0.25">
      <c r="A39" s="22">
        <v>34</v>
      </c>
      <c r="B39" s="19">
        <v>184.1</v>
      </c>
      <c r="C39" s="22">
        <v>83</v>
      </c>
      <c r="D39" s="19">
        <v>190.1</v>
      </c>
      <c r="E39" s="22">
        <f t="shared" si="0"/>
        <v>132</v>
      </c>
      <c r="F39" s="19">
        <v>183.6</v>
      </c>
      <c r="G39" s="33">
        <v>181</v>
      </c>
      <c r="H39" s="19">
        <v>195</v>
      </c>
      <c r="I39" s="21"/>
      <c r="J39" s="36"/>
      <c r="L39" s="22">
        <v>34</v>
      </c>
      <c r="M39" s="19"/>
      <c r="N39" s="22">
        <v>83</v>
      </c>
      <c r="O39" s="19"/>
      <c r="P39" s="22">
        <f t="shared" si="1"/>
        <v>132</v>
      </c>
      <c r="Q39" s="19"/>
      <c r="R39" s="33">
        <v>181</v>
      </c>
      <c r="S39" s="19"/>
      <c r="T39" s="21"/>
      <c r="U39" s="36"/>
      <c r="W39" s="22">
        <v>34</v>
      </c>
      <c r="X39" s="19">
        <v>184.1</v>
      </c>
      <c r="Y39" s="22">
        <v>83</v>
      </c>
      <c r="Z39" s="19">
        <v>190.1</v>
      </c>
      <c r="AA39" s="22">
        <f t="shared" si="2"/>
        <v>132</v>
      </c>
      <c r="AB39" s="19">
        <v>183.6</v>
      </c>
      <c r="AC39" s="33">
        <v>181</v>
      </c>
      <c r="AD39" s="19">
        <v>195</v>
      </c>
      <c r="AE39" s="21"/>
      <c r="AF39" s="36"/>
      <c r="AH39" s="22">
        <v>34</v>
      </c>
      <c r="AI39" s="19"/>
      <c r="AJ39" s="22">
        <v>83</v>
      </c>
      <c r="AK39" s="19"/>
      <c r="AL39" s="22">
        <f t="shared" si="3"/>
        <v>132</v>
      </c>
      <c r="AM39" s="19"/>
      <c r="AN39" s="33">
        <v>181</v>
      </c>
      <c r="AO39" s="19"/>
      <c r="AP39" s="21"/>
      <c r="AQ39" s="36"/>
    </row>
    <row r="40" spans="1:43" ht="15.75" x14ac:dyDescent="0.25">
      <c r="A40" s="22">
        <v>35</v>
      </c>
      <c r="B40" s="19">
        <v>193.2</v>
      </c>
      <c r="C40" s="22">
        <v>84</v>
      </c>
      <c r="D40" s="19">
        <v>181.2</v>
      </c>
      <c r="E40" s="22">
        <f t="shared" si="0"/>
        <v>133</v>
      </c>
      <c r="F40" s="19">
        <v>186</v>
      </c>
      <c r="G40" s="33">
        <v>182</v>
      </c>
      <c r="H40" s="19">
        <v>196.8</v>
      </c>
      <c r="I40" s="20"/>
      <c r="J40" s="36"/>
      <c r="L40" s="22">
        <v>35</v>
      </c>
      <c r="M40" s="19"/>
      <c r="N40" s="22">
        <v>84</v>
      </c>
      <c r="O40" s="19"/>
      <c r="P40" s="22">
        <f t="shared" si="1"/>
        <v>133</v>
      </c>
      <c r="Q40" s="19"/>
      <c r="R40" s="33">
        <v>182</v>
      </c>
      <c r="S40" s="19"/>
      <c r="T40" s="20"/>
      <c r="U40" s="36"/>
      <c r="W40" s="22">
        <v>35</v>
      </c>
      <c r="X40" s="19">
        <v>193.2</v>
      </c>
      <c r="Y40" s="22">
        <v>84</v>
      </c>
      <c r="Z40" s="19">
        <v>181.2</v>
      </c>
      <c r="AA40" s="22">
        <f t="shared" si="2"/>
        <v>133</v>
      </c>
      <c r="AB40" s="19">
        <v>186</v>
      </c>
      <c r="AC40" s="33">
        <v>182</v>
      </c>
      <c r="AD40" s="19">
        <v>196.8</v>
      </c>
      <c r="AE40" s="20"/>
      <c r="AF40" s="36"/>
      <c r="AH40" s="22">
        <v>35</v>
      </c>
      <c r="AI40" s="19"/>
      <c r="AJ40" s="22">
        <v>84</v>
      </c>
      <c r="AK40" s="19"/>
      <c r="AL40" s="22">
        <f t="shared" si="3"/>
        <v>133</v>
      </c>
      <c r="AM40" s="19"/>
      <c r="AN40" s="33">
        <v>182</v>
      </c>
      <c r="AO40" s="19"/>
      <c r="AP40" s="20"/>
      <c r="AQ40" s="36"/>
    </row>
    <row r="41" spans="1:43" ht="15.75" x14ac:dyDescent="0.25">
      <c r="A41" s="22">
        <v>36</v>
      </c>
      <c r="B41" s="19">
        <v>186</v>
      </c>
      <c r="C41" s="22">
        <v>85</v>
      </c>
      <c r="D41" s="19">
        <v>186.2</v>
      </c>
      <c r="E41" s="22">
        <f t="shared" si="0"/>
        <v>134</v>
      </c>
      <c r="F41" s="19">
        <v>183.7</v>
      </c>
      <c r="G41" s="33">
        <v>183</v>
      </c>
      <c r="H41" s="19">
        <v>196.8</v>
      </c>
      <c r="I41" s="20"/>
      <c r="J41" s="36"/>
      <c r="L41" s="22">
        <v>36</v>
      </c>
      <c r="M41" s="19"/>
      <c r="N41" s="22">
        <v>85</v>
      </c>
      <c r="O41" s="19"/>
      <c r="P41" s="22">
        <f t="shared" si="1"/>
        <v>134</v>
      </c>
      <c r="Q41" s="19"/>
      <c r="R41" s="33">
        <v>183</v>
      </c>
      <c r="S41" s="19"/>
      <c r="T41" s="20"/>
      <c r="U41" s="36"/>
      <c r="W41" s="22">
        <v>36</v>
      </c>
      <c r="X41" s="19">
        <v>186</v>
      </c>
      <c r="Y41" s="22">
        <v>85</v>
      </c>
      <c r="Z41" s="19">
        <v>186.2</v>
      </c>
      <c r="AA41" s="22">
        <f t="shared" si="2"/>
        <v>134</v>
      </c>
      <c r="AB41" s="19">
        <v>183.7</v>
      </c>
      <c r="AC41" s="33">
        <v>183</v>
      </c>
      <c r="AD41" s="19">
        <v>196.8</v>
      </c>
      <c r="AE41" s="20"/>
      <c r="AF41" s="36"/>
      <c r="AH41" s="22">
        <v>36</v>
      </c>
      <c r="AI41" s="19"/>
      <c r="AJ41" s="22">
        <v>85</v>
      </c>
      <c r="AK41" s="19"/>
      <c r="AL41" s="22">
        <f t="shared" si="3"/>
        <v>134</v>
      </c>
      <c r="AM41" s="19"/>
      <c r="AN41" s="33">
        <v>183</v>
      </c>
      <c r="AO41" s="19"/>
      <c r="AP41" s="20"/>
      <c r="AQ41" s="36"/>
    </row>
    <row r="42" spans="1:43" ht="15.75" x14ac:dyDescent="0.25">
      <c r="A42" s="22">
        <v>37</v>
      </c>
      <c r="B42" s="19">
        <v>185.8</v>
      </c>
      <c r="C42" s="22">
        <v>86</v>
      </c>
      <c r="D42" s="19">
        <v>182.3</v>
      </c>
      <c r="E42" s="22">
        <f t="shared" si="0"/>
        <v>135</v>
      </c>
      <c r="F42" s="19">
        <v>183.9</v>
      </c>
      <c r="G42" s="33">
        <v>184</v>
      </c>
      <c r="H42" s="19">
        <v>197.9</v>
      </c>
      <c r="I42" s="21"/>
      <c r="J42" s="36"/>
      <c r="L42" s="22">
        <v>37</v>
      </c>
      <c r="M42" s="19"/>
      <c r="N42" s="22">
        <v>86</v>
      </c>
      <c r="O42" s="19"/>
      <c r="P42" s="22">
        <f t="shared" si="1"/>
        <v>135</v>
      </c>
      <c r="Q42" s="19"/>
      <c r="R42" s="33">
        <v>184</v>
      </c>
      <c r="S42" s="19"/>
      <c r="T42" s="21"/>
      <c r="U42" s="36"/>
      <c r="W42" s="22">
        <v>37</v>
      </c>
      <c r="X42" s="19">
        <v>185.8</v>
      </c>
      <c r="Y42" s="22">
        <v>86</v>
      </c>
      <c r="Z42" s="19">
        <v>182.3</v>
      </c>
      <c r="AA42" s="22">
        <f t="shared" si="2"/>
        <v>135</v>
      </c>
      <c r="AB42" s="19">
        <v>183.9</v>
      </c>
      <c r="AC42" s="33">
        <v>184</v>
      </c>
      <c r="AD42" s="19">
        <v>197.9</v>
      </c>
      <c r="AE42" s="21"/>
      <c r="AF42" s="36"/>
      <c r="AH42" s="22">
        <v>37</v>
      </c>
      <c r="AI42" s="19"/>
      <c r="AJ42" s="22">
        <v>86</v>
      </c>
      <c r="AK42" s="19"/>
      <c r="AL42" s="22">
        <f t="shared" si="3"/>
        <v>135</v>
      </c>
      <c r="AM42" s="19"/>
      <c r="AN42" s="33">
        <v>184</v>
      </c>
      <c r="AO42" s="19"/>
      <c r="AP42" s="21"/>
      <c r="AQ42" s="36"/>
    </row>
    <row r="43" spans="1:43" ht="15.75" x14ac:dyDescent="0.25">
      <c r="A43" s="22">
        <v>38</v>
      </c>
      <c r="B43" s="19">
        <v>184.9</v>
      </c>
      <c r="C43" s="22">
        <v>87</v>
      </c>
      <c r="D43" s="19">
        <v>192.4</v>
      </c>
      <c r="E43" s="22">
        <f t="shared" si="0"/>
        <v>136</v>
      </c>
      <c r="F43" s="19">
        <v>181.6</v>
      </c>
      <c r="G43" s="33">
        <v>185</v>
      </c>
      <c r="H43" s="19">
        <v>197.1</v>
      </c>
      <c r="I43" s="20"/>
      <c r="J43" s="36"/>
      <c r="L43" s="22">
        <v>38</v>
      </c>
      <c r="M43" s="19"/>
      <c r="N43" s="22">
        <v>87</v>
      </c>
      <c r="O43" s="19"/>
      <c r="P43" s="22">
        <f t="shared" si="1"/>
        <v>136</v>
      </c>
      <c r="Q43" s="19"/>
      <c r="R43" s="33">
        <v>185</v>
      </c>
      <c r="S43" s="19"/>
      <c r="T43" s="20"/>
      <c r="U43" s="36"/>
      <c r="W43" s="22">
        <v>38</v>
      </c>
      <c r="X43" s="19">
        <v>184.9</v>
      </c>
      <c r="Y43" s="22">
        <v>87</v>
      </c>
      <c r="Z43" s="19">
        <v>192.4</v>
      </c>
      <c r="AA43" s="22">
        <f t="shared" si="2"/>
        <v>136</v>
      </c>
      <c r="AB43" s="19">
        <v>181.6</v>
      </c>
      <c r="AC43" s="33">
        <v>185</v>
      </c>
      <c r="AD43" s="19">
        <v>197.1</v>
      </c>
      <c r="AE43" s="20"/>
      <c r="AF43" s="36"/>
      <c r="AH43" s="22">
        <v>38</v>
      </c>
      <c r="AI43" s="19"/>
      <c r="AJ43" s="22">
        <v>87</v>
      </c>
      <c r="AK43" s="19"/>
      <c r="AL43" s="22">
        <f t="shared" si="3"/>
        <v>136</v>
      </c>
      <c r="AM43" s="19"/>
      <c r="AN43" s="33">
        <v>185</v>
      </c>
      <c r="AO43" s="19"/>
      <c r="AP43" s="20"/>
      <c r="AQ43" s="36"/>
    </row>
    <row r="44" spans="1:43" ht="15.75" x14ac:dyDescent="0.25">
      <c r="A44" s="22">
        <v>39</v>
      </c>
      <c r="B44" s="19">
        <v>189.7</v>
      </c>
      <c r="C44" s="22">
        <v>88</v>
      </c>
      <c r="D44" s="19">
        <v>195</v>
      </c>
      <c r="E44" s="22">
        <f t="shared" si="0"/>
        <v>137</v>
      </c>
      <c r="F44" s="19">
        <v>183.4</v>
      </c>
      <c r="G44" s="33">
        <v>186</v>
      </c>
      <c r="H44" s="19">
        <v>202</v>
      </c>
      <c r="I44" s="20"/>
      <c r="J44" s="36"/>
      <c r="L44" s="22">
        <v>39</v>
      </c>
      <c r="M44" s="19"/>
      <c r="N44" s="22">
        <v>88</v>
      </c>
      <c r="O44" s="19"/>
      <c r="P44" s="22">
        <f t="shared" si="1"/>
        <v>137</v>
      </c>
      <c r="Q44" s="19"/>
      <c r="R44" s="33">
        <v>186</v>
      </c>
      <c r="S44" s="19"/>
      <c r="T44" s="20"/>
      <c r="U44" s="36"/>
      <c r="W44" s="22">
        <v>39</v>
      </c>
      <c r="X44" s="19">
        <v>189.7</v>
      </c>
      <c r="Y44" s="22">
        <v>88</v>
      </c>
      <c r="Z44" s="19">
        <v>195</v>
      </c>
      <c r="AA44" s="22">
        <f t="shared" si="2"/>
        <v>137</v>
      </c>
      <c r="AB44" s="19">
        <v>183.4</v>
      </c>
      <c r="AC44" s="33">
        <v>186</v>
      </c>
      <c r="AD44" s="19">
        <v>202</v>
      </c>
      <c r="AE44" s="20"/>
      <c r="AF44" s="36"/>
      <c r="AH44" s="22">
        <v>39</v>
      </c>
      <c r="AI44" s="19"/>
      <c r="AJ44" s="22">
        <v>88</v>
      </c>
      <c r="AK44" s="19"/>
      <c r="AL44" s="22">
        <f t="shared" si="3"/>
        <v>137</v>
      </c>
      <c r="AM44" s="19"/>
      <c r="AN44" s="33">
        <v>186</v>
      </c>
      <c r="AO44" s="19"/>
      <c r="AP44" s="20"/>
      <c r="AQ44" s="36"/>
    </row>
    <row r="45" spans="1:43" ht="15.75" x14ac:dyDescent="0.25">
      <c r="A45" s="22">
        <v>40</v>
      </c>
      <c r="B45" s="19">
        <v>187</v>
      </c>
      <c r="C45" s="22">
        <v>89</v>
      </c>
      <c r="D45" s="19">
        <v>193.3</v>
      </c>
      <c r="E45" s="22">
        <f t="shared" si="0"/>
        <v>138</v>
      </c>
      <c r="F45" s="19">
        <v>186.3</v>
      </c>
      <c r="G45" s="33">
        <v>187</v>
      </c>
      <c r="H45" s="19">
        <v>193.8</v>
      </c>
      <c r="I45" s="21"/>
      <c r="J45" s="36"/>
      <c r="L45" s="22">
        <v>40</v>
      </c>
      <c r="M45" s="19"/>
      <c r="N45" s="22">
        <v>89</v>
      </c>
      <c r="O45" s="19"/>
      <c r="P45" s="22">
        <f t="shared" si="1"/>
        <v>138</v>
      </c>
      <c r="Q45" s="19"/>
      <c r="R45" s="33">
        <v>187</v>
      </c>
      <c r="S45" s="19"/>
      <c r="T45" s="21"/>
      <c r="U45" s="36"/>
      <c r="W45" s="22">
        <v>40</v>
      </c>
      <c r="X45" s="19">
        <v>187</v>
      </c>
      <c r="Y45" s="22">
        <v>89</v>
      </c>
      <c r="Z45" s="19">
        <v>193.3</v>
      </c>
      <c r="AA45" s="22">
        <f t="shared" si="2"/>
        <v>138</v>
      </c>
      <c r="AB45" s="19">
        <v>186.3</v>
      </c>
      <c r="AC45" s="33">
        <v>187</v>
      </c>
      <c r="AD45" s="19"/>
      <c r="AE45" s="21"/>
      <c r="AF45" s="36"/>
      <c r="AH45" s="22">
        <v>40</v>
      </c>
      <c r="AI45" s="19"/>
      <c r="AJ45" s="22">
        <v>89</v>
      </c>
      <c r="AK45" s="19"/>
      <c r="AL45" s="22">
        <f t="shared" si="3"/>
        <v>138</v>
      </c>
      <c r="AM45" s="19"/>
      <c r="AN45" s="33">
        <v>187</v>
      </c>
      <c r="AO45" s="19">
        <v>193.8</v>
      </c>
      <c r="AP45" s="21"/>
      <c r="AQ45" s="36"/>
    </row>
    <row r="46" spans="1:43" ht="15.75" x14ac:dyDescent="0.25">
      <c r="A46" s="22">
        <v>41</v>
      </c>
      <c r="B46" s="19">
        <v>188.9</v>
      </c>
      <c r="C46" s="22">
        <v>90</v>
      </c>
      <c r="D46" s="19">
        <v>190.8</v>
      </c>
      <c r="E46" s="22">
        <f t="shared" si="0"/>
        <v>139</v>
      </c>
      <c r="F46" s="19">
        <v>190.8</v>
      </c>
      <c r="G46" s="33">
        <v>188</v>
      </c>
      <c r="H46" s="19">
        <v>192.4</v>
      </c>
      <c r="I46" s="20"/>
      <c r="J46" s="36"/>
      <c r="L46" s="22">
        <v>41</v>
      </c>
      <c r="M46" s="19"/>
      <c r="N46" s="22">
        <v>90</v>
      </c>
      <c r="O46" s="19"/>
      <c r="P46" s="22">
        <f t="shared" si="1"/>
        <v>139</v>
      </c>
      <c r="Q46" s="19"/>
      <c r="R46" s="33">
        <v>188</v>
      </c>
      <c r="S46" s="19"/>
      <c r="T46" s="20"/>
      <c r="U46" s="36"/>
      <c r="W46" s="22">
        <v>41</v>
      </c>
      <c r="X46" s="19">
        <v>188.9</v>
      </c>
      <c r="Y46" s="22">
        <v>90</v>
      </c>
      <c r="Z46" s="19">
        <v>190.8</v>
      </c>
      <c r="AA46" s="22">
        <f t="shared" si="2"/>
        <v>139</v>
      </c>
      <c r="AB46" s="19">
        <v>190.8</v>
      </c>
      <c r="AC46" s="33">
        <v>188</v>
      </c>
      <c r="AD46" s="19"/>
      <c r="AE46" s="20"/>
      <c r="AF46" s="36"/>
      <c r="AH46" s="22">
        <v>41</v>
      </c>
      <c r="AI46" s="19"/>
      <c r="AJ46" s="22">
        <v>90</v>
      </c>
      <c r="AK46" s="19"/>
      <c r="AL46" s="22">
        <f t="shared" si="3"/>
        <v>139</v>
      </c>
      <c r="AM46" s="19"/>
      <c r="AN46" s="33">
        <v>188</v>
      </c>
      <c r="AO46" s="19">
        <v>192.4</v>
      </c>
      <c r="AP46" s="20"/>
      <c r="AQ46" s="36"/>
    </row>
    <row r="47" spans="1:43" ht="15.75" x14ac:dyDescent="0.25">
      <c r="A47" s="22">
        <v>42</v>
      </c>
      <c r="B47" s="19">
        <v>185.4</v>
      </c>
      <c r="C47" s="22">
        <v>91</v>
      </c>
      <c r="D47" s="19">
        <v>194</v>
      </c>
      <c r="E47" s="22">
        <f t="shared" si="0"/>
        <v>140</v>
      </c>
      <c r="F47" s="19">
        <v>188.9</v>
      </c>
      <c r="G47" s="33">
        <v>189</v>
      </c>
      <c r="H47" s="19">
        <v>194.7</v>
      </c>
      <c r="I47" s="20"/>
      <c r="J47" s="36"/>
      <c r="L47" s="22">
        <v>42</v>
      </c>
      <c r="M47" s="19"/>
      <c r="N47" s="22">
        <v>91</v>
      </c>
      <c r="O47" s="19"/>
      <c r="P47" s="22">
        <f t="shared" si="1"/>
        <v>140</v>
      </c>
      <c r="Q47" s="19"/>
      <c r="R47" s="33">
        <v>189</v>
      </c>
      <c r="S47" s="19"/>
      <c r="T47" s="20"/>
      <c r="U47" s="36"/>
      <c r="W47" s="22">
        <v>42</v>
      </c>
      <c r="X47" s="19">
        <v>185.4</v>
      </c>
      <c r="Y47" s="22">
        <v>91</v>
      </c>
      <c r="Z47" s="19">
        <v>194</v>
      </c>
      <c r="AA47" s="22">
        <f t="shared" si="2"/>
        <v>140</v>
      </c>
      <c r="AB47" s="19">
        <v>188.9</v>
      </c>
      <c r="AC47" s="33">
        <v>189</v>
      </c>
      <c r="AD47" s="19"/>
      <c r="AE47" s="20"/>
      <c r="AF47" s="36"/>
      <c r="AH47" s="22">
        <v>42</v>
      </c>
      <c r="AI47" s="19"/>
      <c r="AJ47" s="22">
        <v>91</v>
      </c>
      <c r="AK47" s="19"/>
      <c r="AL47" s="22">
        <f t="shared" si="3"/>
        <v>140</v>
      </c>
      <c r="AM47" s="19"/>
      <c r="AN47" s="33">
        <v>189</v>
      </c>
      <c r="AO47" s="19">
        <v>194.7</v>
      </c>
      <c r="AP47" s="20"/>
      <c r="AQ47" s="36"/>
    </row>
    <row r="48" spans="1:43" ht="15.75" x14ac:dyDescent="0.25">
      <c r="A48" s="22">
        <v>43</v>
      </c>
      <c r="B48" s="19">
        <v>190.7</v>
      </c>
      <c r="C48" s="22">
        <v>92</v>
      </c>
      <c r="D48" s="19">
        <v>192.4</v>
      </c>
      <c r="E48" s="22">
        <f t="shared" si="0"/>
        <v>141</v>
      </c>
      <c r="F48" s="19">
        <v>185.1</v>
      </c>
      <c r="G48" s="33">
        <v>190</v>
      </c>
      <c r="H48" s="19">
        <v>190.4</v>
      </c>
      <c r="I48" s="21"/>
      <c r="J48" s="36"/>
      <c r="L48" s="22">
        <v>43</v>
      </c>
      <c r="M48" s="19"/>
      <c r="N48" s="22">
        <v>92</v>
      </c>
      <c r="O48" s="19"/>
      <c r="P48" s="22">
        <f t="shared" si="1"/>
        <v>141</v>
      </c>
      <c r="Q48" s="19"/>
      <c r="R48" s="33">
        <v>190</v>
      </c>
      <c r="S48" s="19"/>
      <c r="T48" s="21"/>
      <c r="U48" s="36"/>
      <c r="W48" s="22">
        <v>43</v>
      </c>
      <c r="X48" s="19">
        <v>190.7</v>
      </c>
      <c r="Y48" s="22">
        <v>92</v>
      </c>
      <c r="Z48" s="19">
        <v>192.4</v>
      </c>
      <c r="AA48" s="22">
        <f t="shared" si="2"/>
        <v>141</v>
      </c>
      <c r="AB48" s="19">
        <v>185.1</v>
      </c>
      <c r="AC48" s="33">
        <v>190</v>
      </c>
      <c r="AD48" s="19"/>
      <c r="AE48" s="21"/>
      <c r="AF48" s="36"/>
      <c r="AH48" s="22">
        <v>43</v>
      </c>
      <c r="AI48" s="19"/>
      <c r="AJ48" s="22">
        <v>92</v>
      </c>
      <c r="AK48" s="19"/>
      <c r="AL48" s="22">
        <f t="shared" si="3"/>
        <v>141</v>
      </c>
      <c r="AM48" s="19"/>
      <c r="AN48" s="33">
        <v>190</v>
      </c>
      <c r="AO48" s="19">
        <v>190.4</v>
      </c>
      <c r="AP48" s="21"/>
      <c r="AQ48" s="36"/>
    </row>
    <row r="49" spans="1:43" ht="15.75" x14ac:dyDescent="0.25">
      <c r="A49" s="22">
        <v>44</v>
      </c>
      <c r="B49" s="19">
        <v>185.9</v>
      </c>
      <c r="C49" s="22">
        <v>93</v>
      </c>
      <c r="D49" s="19">
        <v>192.3</v>
      </c>
      <c r="E49" s="22">
        <f t="shared" si="0"/>
        <v>142</v>
      </c>
      <c r="F49" s="19">
        <v>187.6</v>
      </c>
      <c r="G49" s="33">
        <v>191</v>
      </c>
      <c r="H49" s="19">
        <v>192.2</v>
      </c>
      <c r="I49" s="21"/>
      <c r="J49" s="36"/>
      <c r="L49" s="22">
        <v>44</v>
      </c>
      <c r="M49" s="19"/>
      <c r="N49" s="22">
        <v>93</v>
      </c>
      <c r="O49" s="19"/>
      <c r="P49" s="22">
        <f t="shared" si="1"/>
        <v>142</v>
      </c>
      <c r="Q49" s="19"/>
      <c r="R49" s="33">
        <v>191</v>
      </c>
      <c r="S49" s="19"/>
      <c r="T49" s="21"/>
      <c r="U49" s="36"/>
      <c r="W49" s="22">
        <v>44</v>
      </c>
      <c r="X49" s="19">
        <v>185.9</v>
      </c>
      <c r="Y49" s="22">
        <v>93</v>
      </c>
      <c r="Z49" s="19">
        <v>192.3</v>
      </c>
      <c r="AA49" s="22">
        <f t="shared" si="2"/>
        <v>142</v>
      </c>
      <c r="AB49" s="19">
        <v>187.6</v>
      </c>
      <c r="AC49" s="33">
        <v>191</v>
      </c>
      <c r="AD49" s="19"/>
      <c r="AE49" s="21"/>
      <c r="AF49" s="36"/>
      <c r="AH49" s="22">
        <v>44</v>
      </c>
      <c r="AI49" s="19"/>
      <c r="AJ49" s="22">
        <v>93</v>
      </c>
      <c r="AK49" s="19"/>
      <c r="AL49" s="22">
        <f t="shared" si="3"/>
        <v>142</v>
      </c>
      <c r="AM49" s="19"/>
      <c r="AN49" s="33">
        <v>191</v>
      </c>
      <c r="AO49" s="19">
        <v>192.2</v>
      </c>
      <c r="AP49" s="21"/>
      <c r="AQ49" s="36"/>
    </row>
    <row r="50" spans="1:43" ht="15.75" x14ac:dyDescent="0.25">
      <c r="A50" s="22">
        <v>45</v>
      </c>
      <c r="B50" s="19">
        <v>189.2</v>
      </c>
      <c r="C50" s="22">
        <v>94</v>
      </c>
      <c r="D50" s="19">
        <v>191.9</v>
      </c>
      <c r="E50" s="22">
        <f t="shared" si="0"/>
        <v>143</v>
      </c>
      <c r="F50" s="19">
        <v>187</v>
      </c>
      <c r="G50" s="33">
        <v>192</v>
      </c>
      <c r="H50" s="19">
        <v>188.5</v>
      </c>
      <c r="I50" s="20"/>
      <c r="J50" s="36"/>
      <c r="L50" s="22">
        <v>45</v>
      </c>
      <c r="M50" s="19"/>
      <c r="N50" s="22">
        <v>94</v>
      </c>
      <c r="O50" s="19"/>
      <c r="P50" s="22">
        <f t="shared" si="1"/>
        <v>143</v>
      </c>
      <c r="Q50" s="19"/>
      <c r="R50" s="33">
        <v>192</v>
      </c>
      <c r="S50" s="19"/>
      <c r="T50" s="20"/>
      <c r="U50" s="36"/>
      <c r="W50" s="22">
        <v>45</v>
      </c>
      <c r="X50" s="19">
        <v>189.2</v>
      </c>
      <c r="Y50" s="22">
        <v>94</v>
      </c>
      <c r="Z50" s="19">
        <v>191.9</v>
      </c>
      <c r="AA50" s="22">
        <f t="shared" si="2"/>
        <v>143</v>
      </c>
      <c r="AB50" s="19">
        <v>187</v>
      </c>
      <c r="AC50" s="33">
        <v>192</v>
      </c>
      <c r="AD50" s="19"/>
      <c r="AE50" s="20"/>
      <c r="AF50" s="36"/>
      <c r="AH50" s="22">
        <v>45</v>
      </c>
      <c r="AI50" s="19"/>
      <c r="AJ50" s="22">
        <v>94</v>
      </c>
      <c r="AK50" s="19"/>
      <c r="AL50" s="22">
        <f t="shared" si="3"/>
        <v>143</v>
      </c>
      <c r="AM50" s="19"/>
      <c r="AN50" s="33">
        <v>192</v>
      </c>
      <c r="AO50" s="19">
        <v>188.5</v>
      </c>
      <c r="AP50" s="20"/>
      <c r="AQ50" s="36"/>
    </row>
    <row r="51" spans="1:43" ht="15.75" x14ac:dyDescent="0.25">
      <c r="A51" s="22">
        <v>46</v>
      </c>
      <c r="B51" s="19">
        <v>190.1</v>
      </c>
      <c r="C51" s="22">
        <v>95</v>
      </c>
      <c r="D51" s="19">
        <v>190.3</v>
      </c>
      <c r="E51" s="22">
        <f t="shared" si="0"/>
        <v>144</v>
      </c>
      <c r="F51" s="19">
        <v>188.5</v>
      </c>
      <c r="G51" s="33">
        <v>193</v>
      </c>
      <c r="H51" s="19">
        <v>190</v>
      </c>
      <c r="I51" s="20"/>
      <c r="J51" s="36"/>
      <c r="L51" s="22">
        <v>46</v>
      </c>
      <c r="M51" s="19"/>
      <c r="N51" s="22">
        <v>95</v>
      </c>
      <c r="O51" s="19"/>
      <c r="P51" s="22">
        <f t="shared" si="1"/>
        <v>144</v>
      </c>
      <c r="Q51" s="19"/>
      <c r="R51" s="33">
        <v>193</v>
      </c>
      <c r="S51" s="19"/>
      <c r="T51" s="20"/>
      <c r="U51" s="36"/>
      <c r="W51" s="22">
        <v>46</v>
      </c>
      <c r="X51" s="19">
        <v>190.1</v>
      </c>
      <c r="Y51" s="22">
        <v>95</v>
      </c>
      <c r="Z51" s="19">
        <v>190.3</v>
      </c>
      <c r="AA51" s="22">
        <f t="shared" si="2"/>
        <v>144</v>
      </c>
      <c r="AB51" s="19">
        <v>188.5</v>
      </c>
      <c r="AC51" s="33">
        <v>193</v>
      </c>
      <c r="AD51" s="19"/>
      <c r="AE51" s="20"/>
      <c r="AF51" s="36"/>
      <c r="AH51" s="22">
        <v>46</v>
      </c>
      <c r="AI51" s="19"/>
      <c r="AJ51" s="22">
        <v>95</v>
      </c>
      <c r="AK51" s="19"/>
      <c r="AL51" s="22">
        <f t="shared" si="3"/>
        <v>144</v>
      </c>
      <c r="AM51" s="19"/>
      <c r="AN51" s="33">
        <v>193</v>
      </c>
      <c r="AO51" s="19">
        <v>190</v>
      </c>
      <c r="AP51" s="20"/>
      <c r="AQ51" s="36"/>
    </row>
    <row r="52" spans="1:43" ht="15.75" x14ac:dyDescent="0.25">
      <c r="A52" s="22">
        <v>47</v>
      </c>
      <c r="B52" s="19">
        <v>190</v>
      </c>
      <c r="C52" s="22">
        <v>96</v>
      </c>
      <c r="D52" s="19">
        <v>188.1</v>
      </c>
      <c r="E52" s="22">
        <f t="shared" si="0"/>
        <v>145</v>
      </c>
      <c r="F52" s="19">
        <v>189.7</v>
      </c>
      <c r="G52" s="33">
        <v>194</v>
      </c>
      <c r="H52" s="19">
        <v>186.1</v>
      </c>
      <c r="I52" s="21"/>
      <c r="J52" s="36"/>
      <c r="L52" s="22">
        <v>47</v>
      </c>
      <c r="M52" s="19"/>
      <c r="N52" s="22">
        <v>96</v>
      </c>
      <c r="O52" s="19"/>
      <c r="P52" s="22">
        <f t="shared" si="1"/>
        <v>145</v>
      </c>
      <c r="Q52" s="19"/>
      <c r="R52" s="33">
        <v>194</v>
      </c>
      <c r="S52" s="19"/>
      <c r="T52" s="21"/>
      <c r="U52" s="36"/>
      <c r="W52" s="22">
        <v>47</v>
      </c>
      <c r="X52" s="19">
        <v>190</v>
      </c>
      <c r="Y52" s="22">
        <v>96</v>
      </c>
      <c r="Z52" s="19">
        <v>188.1</v>
      </c>
      <c r="AA52" s="22">
        <f t="shared" si="2"/>
        <v>145</v>
      </c>
      <c r="AB52" s="19">
        <v>189.7</v>
      </c>
      <c r="AC52" s="33">
        <v>194</v>
      </c>
      <c r="AD52" s="19"/>
      <c r="AE52" s="21"/>
      <c r="AF52" s="36"/>
      <c r="AH52" s="22">
        <v>47</v>
      </c>
      <c r="AI52" s="19"/>
      <c r="AJ52" s="22">
        <v>96</v>
      </c>
      <c r="AK52" s="19"/>
      <c r="AL52" s="22">
        <f t="shared" si="3"/>
        <v>145</v>
      </c>
      <c r="AM52" s="19"/>
      <c r="AN52" s="33">
        <v>194</v>
      </c>
      <c r="AO52" s="19">
        <v>186.1</v>
      </c>
      <c r="AP52" s="21"/>
      <c r="AQ52" s="36"/>
    </row>
    <row r="53" spans="1:43" ht="15.75" x14ac:dyDescent="0.25">
      <c r="A53" s="22">
        <v>48</v>
      </c>
      <c r="B53" s="19">
        <v>191.2</v>
      </c>
      <c r="C53" s="22">
        <v>97</v>
      </c>
      <c r="D53" s="19">
        <v>185.6</v>
      </c>
      <c r="E53" s="22">
        <f t="shared" si="0"/>
        <v>146</v>
      </c>
      <c r="F53" s="19">
        <v>187.6</v>
      </c>
      <c r="G53" s="33">
        <v>195</v>
      </c>
      <c r="H53" s="19">
        <v>189.2</v>
      </c>
      <c r="I53" s="20"/>
      <c r="J53" s="36"/>
      <c r="L53" s="22">
        <v>48</v>
      </c>
      <c r="M53" s="19"/>
      <c r="N53" s="22">
        <v>97</v>
      </c>
      <c r="O53" s="19"/>
      <c r="P53" s="22">
        <f t="shared" si="1"/>
        <v>146</v>
      </c>
      <c r="Q53" s="19"/>
      <c r="R53" s="33">
        <v>195</v>
      </c>
      <c r="S53" s="19"/>
      <c r="T53" s="20"/>
      <c r="U53" s="36"/>
      <c r="W53" s="22">
        <v>48</v>
      </c>
      <c r="X53" s="19">
        <v>191.2</v>
      </c>
      <c r="Y53" s="22">
        <v>97</v>
      </c>
      <c r="Z53" s="19">
        <v>185.6</v>
      </c>
      <c r="AA53" s="22">
        <f t="shared" si="2"/>
        <v>146</v>
      </c>
      <c r="AB53" s="19">
        <v>187.6</v>
      </c>
      <c r="AC53" s="33">
        <v>195</v>
      </c>
      <c r="AD53" s="19"/>
      <c r="AE53" s="20"/>
      <c r="AF53" s="36"/>
      <c r="AH53" s="22">
        <v>48</v>
      </c>
      <c r="AI53" s="19"/>
      <c r="AJ53" s="22">
        <v>97</v>
      </c>
      <c r="AK53" s="19"/>
      <c r="AL53" s="22">
        <f t="shared" si="3"/>
        <v>146</v>
      </c>
      <c r="AM53" s="19"/>
      <c r="AN53" s="33">
        <v>195</v>
      </c>
      <c r="AO53" s="19">
        <v>189.2</v>
      </c>
      <c r="AP53" s="20"/>
      <c r="AQ53" s="36"/>
    </row>
    <row r="54" spans="1:43" ht="15.75" x14ac:dyDescent="0.25">
      <c r="A54" s="37">
        <v>49</v>
      </c>
      <c r="B54" s="19">
        <v>187.5</v>
      </c>
      <c r="C54" s="37">
        <v>98</v>
      </c>
      <c r="D54" s="19">
        <v>181.8</v>
      </c>
      <c r="E54" s="22">
        <f t="shared" si="0"/>
        <v>147</v>
      </c>
      <c r="F54" s="19">
        <v>189.9</v>
      </c>
      <c r="G54" s="38">
        <v>196</v>
      </c>
      <c r="H54" s="19">
        <v>190.6</v>
      </c>
      <c r="I54" s="39"/>
      <c r="J54" s="40"/>
      <c r="L54" s="37">
        <v>49</v>
      </c>
      <c r="M54" s="19"/>
      <c r="N54" s="37">
        <v>98</v>
      </c>
      <c r="O54" s="19"/>
      <c r="P54" s="22">
        <f t="shared" si="1"/>
        <v>147</v>
      </c>
      <c r="Q54" s="19"/>
      <c r="R54" s="38">
        <v>196</v>
      </c>
      <c r="S54" s="19"/>
      <c r="T54" s="39"/>
      <c r="U54" s="40"/>
      <c r="W54" s="37">
        <v>49</v>
      </c>
      <c r="X54" s="19">
        <v>187.5</v>
      </c>
      <c r="Y54" s="37">
        <v>98</v>
      </c>
      <c r="Z54" s="19">
        <v>181.8</v>
      </c>
      <c r="AA54" s="22">
        <f t="shared" si="2"/>
        <v>147</v>
      </c>
      <c r="AB54" s="19">
        <v>189.9</v>
      </c>
      <c r="AC54" s="38">
        <v>196</v>
      </c>
      <c r="AD54" s="19"/>
      <c r="AE54" s="39"/>
      <c r="AF54" s="40"/>
      <c r="AH54" s="37">
        <v>49</v>
      </c>
      <c r="AI54" s="19"/>
      <c r="AJ54" s="37">
        <v>98</v>
      </c>
      <c r="AK54" s="19"/>
      <c r="AL54" s="22">
        <f t="shared" si="3"/>
        <v>147</v>
      </c>
      <c r="AM54" s="19"/>
      <c r="AN54" s="38">
        <v>196</v>
      </c>
      <c r="AO54" s="19">
        <v>190.6</v>
      </c>
      <c r="AP54" s="39"/>
      <c r="AQ54" s="40"/>
    </row>
    <row r="55" spans="1:43" ht="15.75" x14ac:dyDescent="0.25">
      <c r="A55" s="41"/>
      <c r="B55" s="23">
        <f>SUM(B6:B54)</f>
        <v>9080.8000000000011</v>
      </c>
      <c r="C55" s="23"/>
      <c r="D55" s="23">
        <f>SUM(D6:D54)</f>
        <v>9219.3999999999978</v>
      </c>
      <c r="E55" s="23"/>
      <c r="F55" s="23">
        <f>SUM(F6:F54)</f>
        <v>9176.5</v>
      </c>
      <c r="G55" s="23"/>
      <c r="H55" s="23">
        <f>SUM(H6:H54)</f>
        <v>9344.5</v>
      </c>
      <c r="I55" s="41"/>
      <c r="J55" s="41">
        <f>SUM(J6:J54)</f>
        <v>4590.5</v>
      </c>
      <c r="L55" s="41"/>
      <c r="M55" s="23">
        <f>SUM(M6:M54)</f>
        <v>2201.1</v>
      </c>
      <c r="N55" s="23"/>
      <c r="O55" s="23">
        <f>SUM(O6:O54)</f>
        <v>0</v>
      </c>
      <c r="P55" s="23"/>
      <c r="Q55" s="23">
        <f>SUM(Q6:Q54)</f>
        <v>0</v>
      </c>
      <c r="R55" s="23"/>
      <c r="S55" s="23">
        <f>SUM(S6:S54)</f>
        <v>0</v>
      </c>
      <c r="T55" s="41"/>
      <c r="U55" s="41">
        <f>SUM(U6:U54)</f>
        <v>0</v>
      </c>
      <c r="W55" s="41"/>
      <c r="X55" s="23">
        <f>SUM(X6:X54)</f>
        <v>6879.6999999999989</v>
      </c>
      <c r="Y55" s="23"/>
      <c r="Z55" s="23">
        <f>SUM(Z6:Z54)</f>
        <v>9219.3999999999978</v>
      </c>
      <c r="AA55" s="23"/>
      <c r="AB55" s="23">
        <f>SUM(AB6:AB54)</f>
        <v>9176.5</v>
      </c>
      <c r="AC55" s="23"/>
      <c r="AD55" s="23">
        <f>SUM(AD6:AD54)</f>
        <v>7436.5999999999985</v>
      </c>
      <c r="AE55" s="41"/>
      <c r="AF55" s="41">
        <f>SUM(AF6:AF54)</f>
        <v>0</v>
      </c>
      <c r="AH55" s="41"/>
      <c r="AI55" s="23">
        <f>SUM(AI6:AI54)</f>
        <v>0</v>
      </c>
      <c r="AJ55" s="23"/>
      <c r="AK55" s="23">
        <f>SUM(AK6:AK54)</f>
        <v>0</v>
      </c>
      <c r="AL55" s="23"/>
      <c r="AM55" s="23">
        <f>SUM(AM6:AM54)</f>
        <v>0</v>
      </c>
      <c r="AN55" s="23"/>
      <c r="AO55" s="23">
        <f>SUM(AO6:AO54)</f>
        <v>1907.8999999999999</v>
      </c>
      <c r="AP55" s="41"/>
      <c r="AQ55" s="41">
        <f>SUM(AQ6:AQ54)</f>
        <v>4590.5</v>
      </c>
    </row>
    <row r="56" spans="1:43" ht="15.75" x14ac:dyDescent="0.25">
      <c r="A56" s="42" t="s">
        <v>5</v>
      </c>
      <c r="B56" s="43">
        <f>COUNT(B6:B54,D6:D54,F6:F54,H6:H54,J6:J54)</f>
        <v>220</v>
      </c>
      <c r="C56" s="13" t="s">
        <v>6</v>
      </c>
      <c r="D56" s="44"/>
      <c r="E56" s="45">
        <f>B55+D55+F55+H55+J55</f>
        <v>41411.699999999997</v>
      </c>
      <c r="F56" s="24" t="s">
        <v>7</v>
      </c>
      <c r="G56" s="1">
        <f>B56*2.1</f>
        <v>462</v>
      </c>
      <c r="H56" s="13" t="s">
        <v>8</v>
      </c>
      <c r="I56" s="44"/>
      <c r="J56" s="45">
        <f>E56-G56</f>
        <v>40949.699999999997</v>
      </c>
      <c r="L56" s="42" t="s">
        <v>5</v>
      </c>
      <c r="M56" s="43">
        <f>COUNT(M6:M54,O6:O54,Q6:Q54,S6:S54,U6:U54)</f>
        <v>12</v>
      </c>
      <c r="N56" s="13" t="s">
        <v>6</v>
      </c>
      <c r="O56" s="44"/>
      <c r="P56" s="45">
        <f>M55+O55+Q55+S55+U55</f>
        <v>2201.1</v>
      </c>
      <c r="Q56" s="24" t="s">
        <v>7</v>
      </c>
      <c r="R56" s="1">
        <f>M56*2.1</f>
        <v>25.200000000000003</v>
      </c>
      <c r="S56" s="13" t="s">
        <v>8</v>
      </c>
      <c r="T56" s="44"/>
      <c r="U56" s="45">
        <f>P56-R56</f>
        <v>2175.9</v>
      </c>
      <c r="W56" s="42" t="s">
        <v>5</v>
      </c>
      <c r="X56" s="43">
        <f>COUNT(X6:X54,Z6:Z54,AB6:AB54,AD6:AD54,AF6:AF54)</f>
        <v>174</v>
      </c>
      <c r="Y56" s="13" t="s">
        <v>6</v>
      </c>
      <c r="Z56" s="44"/>
      <c r="AA56" s="45">
        <f>X55+Z55+AB55+AD55+AF55</f>
        <v>32712.199999999997</v>
      </c>
      <c r="AB56" s="24" t="s">
        <v>7</v>
      </c>
      <c r="AC56" s="1">
        <f>X56*2.1</f>
        <v>365.40000000000003</v>
      </c>
      <c r="AD56" s="13" t="s">
        <v>8</v>
      </c>
      <c r="AE56" s="44"/>
      <c r="AF56" s="45">
        <f>AA56-AC56</f>
        <v>32346.799999999996</v>
      </c>
      <c r="AH56" s="42" t="s">
        <v>5</v>
      </c>
      <c r="AI56" s="43">
        <f>COUNT(AI6:AI54,AK6:AK54,AM6:AM54,AO6:AO54,AQ6:AQ54)</f>
        <v>34</v>
      </c>
      <c r="AJ56" s="13" t="s">
        <v>6</v>
      </c>
      <c r="AK56" s="44"/>
      <c r="AL56" s="45">
        <f>AI55+AK55+AM55+AO55+AQ55</f>
        <v>6498.4</v>
      </c>
      <c r="AM56" s="24" t="s">
        <v>7</v>
      </c>
      <c r="AN56" s="1">
        <f>AI56*2.1</f>
        <v>71.400000000000006</v>
      </c>
      <c r="AO56" s="13" t="s">
        <v>8</v>
      </c>
      <c r="AP56" s="44"/>
      <c r="AQ56" s="45">
        <f>AL56-AN56</f>
        <v>6427</v>
      </c>
    </row>
    <row r="57" spans="1:43" ht="15.75" x14ac:dyDescent="0.25">
      <c r="A57" s="42" t="s">
        <v>9</v>
      </c>
      <c r="B57" s="25"/>
      <c r="C57" s="46"/>
      <c r="D57" s="44"/>
      <c r="E57" s="47"/>
      <c r="F57" s="25"/>
      <c r="G57" s="48"/>
      <c r="H57" s="46"/>
      <c r="I57" s="44"/>
      <c r="J57" s="49"/>
      <c r="L57" s="42" t="s">
        <v>9</v>
      </c>
      <c r="M57" s="25"/>
      <c r="N57" s="46"/>
      <c r="O57" s="44"/>
      <c r="P57" s="47"/>
      <c r="Q57" s="25"/>
      <c r="R57" s="48"/>
      <c r="S57" s="46"/>
      <c r="T57" s="44"/>
      <c r="U57" s="49"/>
      <c r="W57" s="42" t="s">
        <v>9</v>
      </c>
      <c r="X57" s="25"/>
      <c r="Y57" s="46"/>
      <c r="Z57" s="44"/>
      <c r="AA57" s="47"/>
      <c r="AB57" s="25"/>
      <c r="AC57" s="48"/>
      <c r="AD57" s="46"/>
      <c r="AE57" s="44"/>
      <c r="AF57" s="49"/>
      <c r="AH57" s="42" t="s">
        <v>9</v>
      </c>
      <c r="AI57" s="25"/>
      <c r="AJ57" s="46"/>
      <c r="AK57" s="44"/>
      <c r="AL57" s="47"/>
      <c r="AM57" s="25"/>
      <c r="AN57" s="48"/>
      <c r="AO57" s="46"/>
      <c r="AP57" s="44"/>
      <c r="AQ57" s="49"/>
    </row>
    <row r="58" spans="1:43" x14ac:dyDescent="0.25">
      <c r="B58">
        <f>M56+X56+AI56</f>
        <v>220</v>
      </c>
      <c r="E58" s="80">
        <f>P56+AA56+AL56</f>
        <v>41411.699999999997</v>
      </c>
      <c r="J58" s="80">
        <f>U56+AF56+AQ56</f>
        <v>40949.699999999997</v>
      </c>
    </row>
  </sheetData>
  <protectedRanges>
    <protectedRange password="CCE1" sqref="C6:C54 G6:G54 E6:E54 I6:I29 N6:N54 R6:R54 P6:P54 T6:T29 Y6:Y54 AC6:AC54 AA6:AA54 AE6:AE29 AJ6:AJ54 AN6:AN54 AL6:AL54 AP6:AP29" name="Диапазон1_3_1_7_2_1_1_1_1_1_1_1"/>
  </protectedRanges>
  <mergeCells count="8">
    <mergeCell ref="AH1:AQ1"/>
    <mergeCell ref="AP4:AQ4"/>
    <mergeCell ref="A1:J1"/>
    <mergeCell ref="I4:J4"/>
    <mergeCell ref="L1:U1"/>
    <mergeCell ref="T4:U4"/>
    <mergeCell ref="W1:AF1"/>
    <mergeCell ref="AE4:AF4"/>
  </mergeCells>
  <pageMargins left="0.78740157480314965" right="0" top="0.19685039370078741" bottom="0.19685039370078741" header="0.19685039370078741" footer="0.19685039370078741"/>
  <pageSetup paperSize="9" scale="90" orientation="portrait" r:id="rId1"/>
  <rowBreaks count="1" manualBreakCount="1">
    <brk id="57" max="20" man="1"/>
  </rowBreaks>
  <colBreaks count="3" manualBreakCount="3">
    <brk id="10" max="1048575" man="1"/>
    <brk id="21" max="56" man="1"/>
    <brk id="32" max="56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42</vt:i4>
      </vt:variant>
      <vt:variant>
        <vt:lpstr>Именованные диапазоны</vt:lpstr>
      </vt:variant>
      <vt:variant>
        <vt:i4>30</vt:i4>
      </vt:variant>
    </vt:vector>
  </HeadingPairs>
  <TitlesOfParts>
    <vt:vector size="72" baseType="lpstr">
      <vt:lpstr>Жами тола</vt:lpstr>
      <vt:lpstr>Сертификат</vt:lpstr>
      <vt:lpstr>240</vt:lpstr>
      <vt:lpstr>239</vt:lpstr>
      <vt:lpstr>238</vt:lpstr>
      <vt:lpstr>237</vt:lpstr>
      <vt:lpstr>236</vt:lpstr>
      <vt:lpstr>235</vt:lpstr>
      <vt:lpstr>234</vt:lpstr>
      <vt:lpstr>233</vt:lpstr>
      <vt:lpstr>232</vt:lpstr>
      <vt:lpstr>231</vt:lpstr>
      <vt:lpstr>230</vt:lpstr>
      <vt:lpstr>229</vt:lpstr>
      <vt:lpstr>228</vt:lpstr>
      <vt:lpstr>227</vt:lpstr>
      <vt:lpstr>226</vt:lpstr>
      <vt:lpstr>225</vt:lpstr>
      <vt:lpstr>224</vt:lpstr>
      <vt:lpstr>223</vt:lpstr>
      <vt:lpstr>222</vt:lpstr>
      <vt:lpstr>221</vt:lpstr>
      <vt:lpstr>220</vt:lpstr>
      <vt:lpstr>219</vt:lpstr>
      <vt:lpstr>218</vt:lpstr>
      <vt:lpstr>217</vt:lpstr>
      <vt:lpstr>216</vt:lpstr>
      <vt:lpstr>215</vt:lpstr>
      <vt:lpstr>214</vt:lpstr>
      <vt:lpstr>213</vt:lpstr>
      <vt:lpstr>212</vt:lpstr>
      <vt:lpstr>211</vt:lpstr>
      <vt:lpstr>210</vt:lpstr>
      <vt:lpstr>209</vt:lpstr>
      <vt:lpstr>208</vt:lpstr>
      <vt:lpstr>207</vt:lpstr>
      <vt:lpstr>206</vt:lpstr>
      <vt:lpstr>205</vt:lpstr>
      <vt:lpstr>204</vt:lpstr>
      <vt:lpstr>203</vt:lpstr>
      <vt:lpstr>202</vt:lpstr>
      <vt:lpstr>201</vt:lpstr>
      <vt:lpstr>'201'!Область_печати</vt:lpstr>
      <vt:lpstr>'202'!Область_печати</vt:lpstr>
      <vt:lpstr>'204'!Область_печати</vt:lpstr>
      <vt:lpstr>'205'!Область_печати</vt:lpstr>
      <vt:lpstr>'208'!Область_печати</vt:lpstr>
      <vt:lpstr>'209'!Область_печати</vt:lpstr>
      <vt:lpstr>'210'!Область_печати</vt:lpstr>
      <vt:lpstr>'211'!Область_печати</vt:lpstr>
      <vt:lpstr>'212'!Область_печати</vt:lpstr>
      <vt:lpstr>'213'!Область_печати</vt:lpstr>
      <vt:lpstr>'214'!Область_печати</vt:lpstr>
      <vt:lpstr>'215'!Область_печати</vt:lpstr>
      <vt:lpstr>'216'!Область_печати</vt:lpstr>
      <vt:lpstr>'217'!Область_печати</vt:lpstr>
      <vt:lpstr>'218'!Область_печати</vt:lpstr>
      <vt:lpstr>'219'!Область_печати</vt:lpstr>
      <vt:lpstr>'220'!Область_печати</vt:lpstr>
      <vt:lpstr>'221'!Область_печати</vt:lpstr>
      <vt:lpstr>'222'!Область_печати</vt:lpstr>
      <vt:lpstr>'223'!Область_печати</vt:lpstr>
      <vt:lpstr>'224'!Область_печати</vt:lpstr>
      <vt:lpstr>'225'!Область_печати</vt:lpstr>
      <vt:lpstr>'226'!Область_печати</vt:lpstr>
      <vt:lpstr>'227'!Область_печати</vt:lpstr>
      <vt:lpstr>'228'!Область_печати</vt:lpstr>
      <vt:lpstr>'229'!Область_печати</vt:lpstr>
      <vt:lpstr>'230'!Область_печати</vt:lpstr>
      <vt:lpstr>'231'!Область_печати</vt:lpstr>
      <vt:lpstr>'232'!Область_печати</vt:lpstr>
      <vt:lpstr>'233'!Область_печати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2025-10-31T06:08:10Z</dcterms:modified>
</cp:coreProperties>
</file>