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<sst xmlns="http://schemas.openxmlformats.org/spreadsheetml/2006/main" count="20" uniqueCount="12">
  <si>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 xml:space="preserve">Акт покипного отвеса </t>
  </si>
  <si>
    <t>Лаборатория: хлопзавод при ООО "Navbahor Tekstil"</t>
  </si>
  <si>
    <t>Марка №</t>
  </si>
  <si>
    <t>Корхона олди</t>
  </si>
  <si>
    <t>Жами</t>
  </si>
  <si>
    <t>№</t>
  </si>
  <si>
    <t>Масса</t>
  </si>
  <si>
    <t>Итого кип</t>
  </si>
  <si>
    <t>Масса брутто</t>
  </si>
  <si>
    <t>Тары</t>
  </si>
  <si>
    <t>Масса нетто</t>
  </si>
  <si>
    <t>Лаборант: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</si>
</sst>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"/>
    <numFmt numFmtId="181" formatCode="0.0"/>
  </numFmts>
  <fonts count="30">
    <font>
      <sz val="11"/>
      <color theme="1"/>
      <name val="Calibri"/>
      <charset val="134"/>
      <scheme val="minor"/>
    </font>
    <font>
      <b/>
      <sz val="14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0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sz val="14"/>
      <color theme="1"/>
      <name val="Times New Roman"/>
      <charset val="204"/>
    </font>
    <font>
      <sz val="12"/>
      <color theme="1"/>
      <name val="Times New Roman"/>
      <charset val="204"/>
    </font>
    <font>
      <b/>
      <sz val="12"/>
      <color rgb="FFC00000"/>
      <name val="Times New Roman"/>
      <charset val="204"/>
    </font>
    <font>
      <b/>
      <i/>
      <sz val="12"/>
      <color theme="1"/>
      <name val="Times New Roman"/>
      <charset val="204"/>
    </font>
    <font>
      <b/>
      <sz val="14"/>
      <color theme="1"/>
      <name val="Times New Roman Cyr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3" fillId="0" borderId="1" xfId="0" applyFont="1" applyFill="1" applyBorder="1" applyAlignment="1" applyProtection="1">
      <protection locked="0"/>
    </xf>
    <xf numFmtId="0" fontId="4" fillId="0" borderId="1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5" fillId="0" borderId="2" xfId="0" applyFont="1" applyFill="1" applyBorder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>
      <alignment horizontal="center" vertical="center"/>
    </xf>
    <xf numFmtId="180" fontId="2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181" fontId="9" fillId="0" borderId="1" xfId="0" applyNumberFormat="1" applyFont="1" applyFill="1" applyBorder="1" applyAlignment="1" applyProtection="1">
      <alignment horizontal="left" vertical="center"/>
      <protection hidden="1"/>
    </xf>
    <xf numFmtId="0" fontId="2" fillId="0" borderId="0" xfId="0" applyFont="1" applyFill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0" fontId="3" fillId="0" borderId="0" xfId="0" applyFont="1" applyFill="1" applyAlignment="1" applyProtection="1">
      <protection locked="0"/>
    </xf>
    <xf numFmtId="181" fontId="3" fillId="0" borderId="0" xfId="0" applyNumberFormat="1" applyFont="1" applyFill="1" applyAlignment="1" applyProtection="1">
      <protection locked="0"/>
    </xf>
    <xf numFmtId="0" fontId="9" fillId="0" borderId="0" xfId="0" applyFont="1" applyFill="1" applyAlignment="1" applyProtection="1">
      <alignment horizontal="left"/>
      <protection hidden="1"/>
    </xf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81" fontId="9" fillId="0" borderId="0" xfId="0" applyNumberFormat="1" applyFont="1" applyFill="1" applyAlignment="1" applyProtection="1">
      <alignment horizontal="left" vertical="center"/>
      <protection hidden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workbookViewId="0">
      <selection activeCell="E3" sqref="E3"/>
    </sheetView>
  </sheetViews>
  <sheetFormatPr defaultColWidth="8.88888888888889" defaultRowHeight="14.4"/>
  <sheetData>
    <row r="1" ht="17.4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6" spans="1:10">
      <c r="A2" s="2" t="s">
        <v>1</v>
      </c>
      <c r="B2" s="2"/>
      <c r="C2" s="2"/>
      <c r="D2" s="2"/>
      <c r="E2" s="2"/>
      <c r="F2" s="2"/>
      <c r="G2" s="3"/>
      <c r="H2" s="2"/>
      <c r="I2" s="2"/>
      <c r="J2" s="2"/>
    </row>
    <row r="3" ht="15.6" spans="1:10">
      <c r="A3" s="4" t="s">
        <v>2</v>
      </c>
      <c r="B3" s="3"/>
      <c r="C3" s="5"/>
      <c r="D3" s="6"/>
      <c r="E3" s="7"/>
      <c r="F3" s="7"/>
      <c r="G3" s="7"/>
      <c r="H3" s="7"/>
      <c r="I3" s="7" t="s">
        <v>3</v>
      </c>
      <c r="J3" s="7"/>
    </row>
    <row r="4" ht="18" spans="1:10">
      <c r="A4" s="8"/>
      <c r="B4" s="8"/>
      <c r="C4" s="8"/>
      <c r="D4" s="8"/>
      <c r="E4" s="8"/>
      <c r="F4" s="8"/>
      <c r="G4" s="8"/>
      <c r="H4" s="9"/>
      <c r="I4" s="30" t="s">
        <v>4</v>
      </c>
      <c r="J4" s="31"/>
    </row>
    <row r="5" ht="15.6" spans="1:10">
      <c r="A5" s="10" t="s">
        <v>5</v>
      </c>
      <c r="B5" s="11" t="s">
        <v>6</v>
      </c>
      <c r="C5" s="10" t="s">
        <v>5</v>
      </c>
      <c r="D5" s="11" t="s">
        <v>6</v>
      </c>
      <c r="E5" s="10" t="s">
        <v>5</v>
      </c>
      <c r="F5" s="11" t="s">
        <v>6</v>
      </c>
      <c r="G5" s="10" t="s">
        <v>5</v>
      </c>
      <c r="H5" s="12" t="s">
        <v>6</v>
      </c>
      <c r="I5" s="32" t="s">
        <v>5</v>
      </c>
      <c r="J5" s="33" t="s">
        <v>6</v>
      </c>
    </row>
    <row r="6" ht="15.6" spans="1:10">
      <c r="A6" s="13">
        <v>1</v>
      </c>
      <c r="B6" s="14"/>
      <c r="C6" s="13">
        <v>50</v>
      </c>
      <c r="D6" s="14"/>
      <c r="E6" s="13">
        <v>99</v>
      </c>
      <c r="F6" s="14"/>
      <c r="G6" s="15">
        <v>148</v>
      </c>
      <c r="H6" s="14"/>
      <c r="I6" s="34">
        <v>197</v>
      </c>
      <c r="J6" s="14"/>
    </row>
    <row r="7" ht="15.6" spans="1:10">
      <c r="A7" s="13">
        <v>2</v>
      </c>
      <c r="B7" s="14"/>
      <c r="C7" s="13">
        <v>51</v>
      </c>
      <c r="D7" s="14"/>
      <c r="E7" s="13">
        <v>100</v>
      </c>
      <c r="F7" s="14"/>
      <c r="G7" s="15">
        <v>149</v>
      </c>
      <c r="H7" s="14"/>
      <c r="I7" s="15">
        <v>198</v>
      </c>
      <c r="J7" s="14"/>
    </row>
    <row r="8" ht="15.6" spans="1:10">
      <c r="A8" s="13">
        <v>3</v>
      </c>
      <c r="B8" s="14"/>
      <c r="C8" s="13">
        <v>52</v>
      </c>
      <c r="D8" s="14"/>
      <c r="E8" s="13">
        <f t="shared" ref="E8:E54" si="0">+E7+1</f>
        <v>101</v>
      </c>
      <c r="F8" s="14"/>
      <c r="G8" s="15">
        <v>150</v>
      </c>
      <c r="H8" s="14"/>
      <c r="I8" s="15">
        <v>199</v>
      </c>
      <c r="J8" s="14"/>
    </row>
    <row r="9" ht="15.6" spans="1:10">
      <c r="A9" s="13">
        <v>4</v>
      </c>
      <c r="B9" s="14"/>
      <c r="C9" s="13">
        <v>53</v>
      </c>
      <c r="D9" s="14"/>
      <c r="E9" s="13">
        <f t="shared" si="0"/>
        <v>102</v>
      </c>
      <c r="F9" s="14"/>
      <c r="G9" s="15">
        <v>151</v>
      </c>
      <c r="H9" s="14"/>
      <c r="I9" s="15">
        <v>200</v>
      </c>
      <c r="J9" s="14"/>
    </row>
    <row r="10" ht="15.6" spans="1:10">
      <c r="A10" s="13">
        <v>5</v>
      </c>
      <c r="B10" s="14"/>
      <c r="C10" s="13">
        <v>54</v>
      </c>
      <c r="D10" s="14"/>
      <c r="E10" s="13">
        <f t="shared" si="0"/>
        <v>103</v>
      </c>
      <c r="F10" s="14"/>
      <c r="G10" s="15">
        <v>152</v>
      </c>
      <c r="H10" s="14"/>
      <c r="I10" s="15">
        <v>201</v>
      </c>
      <c r="J10" s="14"/>
    </row>
    <row r="11" ht="15.6" spans="1:10">
      <c r="A11" s="13">
        <v>6</v>
      </c>
      <c r="B11" s="14"/>
      <c r="C11" s="13">
        <v>55</v>
      </c>
      <c r="D11" s="14"/>
      <c r="E11" s="13">
        <f t="shared" si="0"/>
        <v>104</v>
      </c>
      <c r="F11" s="14"/>
      <c r="G11" s="15">
        <v>153</v>
      </c>
      <c r="H11" s="14"/>
      <c r="I11" s="15">
        <v>202</v>
      </c>
      <c r="J11" s="14"/>
    </row>
    <row r="12" ht="15.6" spans="1:10">
      <c r="A12" s="13">
        <v>7</v>
      </c>
      <c r="B12" s="14"/>
      <c r="C12" s="13">
        <v>56</v>
      </c>
      <c r="D12" s="14"/>
      <c r="E12" s="13">
        <f t="shared" si="0"/>
        <v>105</v>
      </c>
      <c r="F12" s="14"/>
      <c r="G12" s="15">
        <v>154</v>
      </c>
      <c r="H12" s="14"/>
      <c r="I12" s="15">
        <v>203</v>
      </c>
      <c r="J12" s="14"/>
    </row>
    <row r="13" ht="15.6" spans="1:10">
      <c r="A13" s="13">
        <v>8</v>
      </c>
      <c r="B13" s="14"/>
      <c r="C13" s="13">
        <v>57</v>
      </c>
      <c r="D13" s="14"/>
      <c r="E13" s="13">
        <f t="shared" si="0"/>
        <v>106</v>
      </c>
      <c r="F13" s="14"/>
      <c r="G13" s="15">
        <v>155</v>
      </c>
      <c r="H13" s="14"/>
      <c r="I13" s="15">
        <v>204</v>
      </c>
      <c r="J13" s="14"/>
    </row>
    <row r="14" ht="15.6" spans="1:10">
      <c r="A14" s="13">
        <v>9</v>
      </c>
      <c r="B14" s="14"/>
      <c r="C14" s="13">
        <v>58</v>
      </c>
      <c r="D14" s="14"/>
      <c r="E14" s="13">
        <f t="shared" si="0"/>
        <v>107</v>
      </c>
      <c r="F14" s="14"/>
      <c r="G14" s="15">
        <v>156</v>
      </c>
      <c r="H14" s="14"/>
      <c r="I14" s="15">
        <v>205</v>
      </c>
      <c r="J14" s="14"/>
    </row>
    <row r="15" ht="15.6" spans="1:10">
      <c r="A15" s="13">
        <v>10</v>
      </c>
      <c r="B15" s="14"/>
      <c r="C15" s="13">
        <v>59</v>
      </c>
      <c r="D15" s="14"/>
      <c r="E15" s="13">
        <f t="shared" si="0"/>
        <v>108</v>
      </c>
      <c r="F15" s="14"/>
      <c r="G15" s="15">
        <v>157</v>
      </c>
      <c r="H15" s="14"/>
      <c r="I15" s="15">
        <v>206</v>
      </c>
      <c r="J15" s="14"/>
    </row>
    <row r="16" ht="15.6" spans="1:10">
      <c r="A16" s="13">
        <v>11</v>
      </c>
      <c r="B16" s="14"/>
      <c r="C16" s="13">
        <v>60</v>
      </c>
      <c r="D16" s="14"/>
      <c r="E16" s="13">
        <f t="shared" si="0"/>
        <v>109</v>
      </c>
      <c r="F16" s="14"/>
      <c r="G16" s="15">
        <v>158</v>
      </c>
      <c r="H16" s="14"/>
      <c r="I16" s="15">
        <v>207</v>
      </c>
      <c r="J16" s="14"/>
    </row>
    <row r="17" ht="15.6" spans="1:10">
      <c r="A17" s="13">
        <v>12</v>
      </c>
      <c r="B17" s="14"/>
      <c r="C17" s="13">
        <v>61</v>
      </c>
      <c r="D17" s="14"/>
      <c r="E17" s="13">
        <f t="shared" si="0"/>
        <v>110</v>
      </c>
      <c r="F17" s="14"/>
      <c r="G17" s="15">
        <v>159</v>
      </c>
      <c r="H17" s="14"/>
      <c r="I17" s="15">
        <v>208</v>
      </c>
      <c r="J17" s="14"/>
    </row>
    <row r="18" ht="15.6" spans="1:10">
      <c r="A18" s="13">
        <v>13</v>
      </c>
      <c r="B18" s="14"/>
      <c r="C18" s="13">
        <v>62</v>
      </c>
      <c r="D18" s="14"/>
      <c r="E18" s="13">
        <f t="shared" si="0"/>
        <v>111</v>
      </c>
      <c r="F18" s="14"/>
      <c r="G18" s="15">
        <v>160</v>
      </c>
      <c r="H18" s="14"/>
      <c r="I18" s="15">
        <v>209</v>
      </c>
      <c r="J18" s="14"/>
    </row>
    <row r="19" ht="15.6" spans="1:10">
      <c r="A19" s="13">
        <v>14</v>
      </c>
      <c r="B19" s="14"/>
      <c r="C19" s="13">
        <v>63</v>
      </c>
      <c r="D19" s="14"/>
      <c r="E19" s="13">
        <f t="shared" si="0"/>
        <v>112</v>
      </c>
      <c r="F19" s="14"/>
      <c r="G19" s="15">
        <v>161</v>
      </c>
      <c r="H19" s="14"/>
      <c r="I19" s="15">
        <v>210</v>
      </c>
      <c r="J19" s="14"/>
    </row>
    <row r="20" ht="15.6" spans="1:10">
      <c r="A20" s="13">
        <v>15</v>
      </c>
      <c r="B20" s="14"/>
      <c r="C20" s="13">
        <v>64</v>
      </c>
      <c r="D20" s="14"/>
      <c r="E20" s="13">
        <f t="shared" si="0"/>
        <v>113</v>
      </c>
      <c r="F20" s="14"/>
      <c r="G20" s="16">
        <v>162</v>
      </c>
      <c r="H20" s="14"/>
      <c r="I20" s="15">
        <v>211</v>
      </c>
      <c r="J20" s="14"/>
    </row>
    <row r="21" ht="15.6" spans="1:10">
      <c r="A21" s="13">
        <v>16</v>
      </c>
      <c r="B21" s="14"/>
      <c r="C21" s="13">
        <v>65</v>
      </c>
      <c r="D21" s="14"/>
      <c r="E21" s="13">
        <f t="shared" si="0"/>
        <v>114</v>
      </c>
      <c r="F21" s="14"/>
      <c r="G21" s="16">
        <v>163</v>
      </c>
      <c r="H21" s="14"/>
      <c r="I21" s="15">
        <v>212</v>
      </c>
      <c r="J21" s="14"/>
    </row>
    <row r="22" ht="15.6" spans="1:10">
      <c r="A22" s="13">
        <v>17</v>
      </c>
      <c r="B22" s="14"/>
      <c r="C22" s="13">
        <v>66</v>
      </c>
      <c r="D22" s="14"/>
      <c r="E22" s="13">
        <f t="shared" si="0"/>
        <v>115</v>
      </c>
      <c r="F22" s="14"/>
      <c r="G22" s="16">
        <v>164</v>
      </c>
      <c r="H22" s="14"/>
      <c r="I22" s="15">
        <v>213</v>
      </c>
      <c r="J22" s="14"/>
    </row>
    <row r="23" ht="15.6" spans="1:10">
      <c r="A23" s="13">
        <v>18</v>
      </c>
      <c r="B23" s="14"/>
      <c r="C23" s="13">
        <v>67</v>
      </c>
      <c r="D23" s="14"/>
      <c r="E23" s="13">
        <f t="shared" si="0"/>
        <v>116</v>
      </c>
      <c r="F23" s="14"/>
      <c r="G23" s="16">
        <v>165</v>
      </c>
      <c r="H23" s="14"/>
      <c r="I23" s="15">
        <v>214</v>
      </c>
      <c r="J23" s="14"/>
    </row>
    <row r="24" ht="15.6" spans="1:10">
      <c r="A24" s="13">
        <v>19</v>
      </c>
      <c r="B24" s="14"/>
      <c r="C24" s="13">
        <v>68</v>
      </c>
      <c r="D24" s="14"/>
      <c r="E24" s="13">
        <f t="shared" si="0"/>
        <v>117</v>
      </c>
      <c r="F24" s="14"/>
      <c r="G24" s="16">
        <v>166</v>
      </c>
      <c r="H24" s="14"/>
      <c r="I24" s="15">
        <v>215</v>
      </c>
      <c r="J24" s="14"/>
    </row>
    <row r="25" ht="15.6" spans="1:10">
      <c r="A25" s="13">
        <v>20</v>
      </c>
      <c r="B25" s="14"/>
      <c r="C25" s="13">
        <v>69</v>
      </c>
      <c r="D25" s="14"/>
      <c r="E25" s="13">
        <f t="shared" si="0"/>
        <v>118</v>
      </c>
      <c r="F25" s="14"/>
      <c r="G25" s="16">
        <v>167</v>
      </c>
      <c r="H25" s="14"/>
      <c r="I25" s="15">
        <v>216</v>
      </c>
      <c r="J25" s="14"/>
    </row>
    <row r="26" ht="15.6" spans="1:10">
      <c r="A26" s="13">
        <v>21</v>
      </c>
      <c r="B26" s="14"/>
      <c r="C26" s="13">
        <v>70</v>
      </c>
      <c r="D26" s="14"/>
      <c r="E26" s="13">
        <f t="shared" si="0"/>
        <v>119</v>
      </c>
      <c r="F26" s="14"/>
      <c r="G26" s="16">
        <v>168</v>
      </c>
      <c r="H26" s="14"/>
      <c r="I26" s="15">
        <v>217</v>
      </c>
      <c r="J26" s="14"/>
    </row>
    <row r="27" ht="15.6" spans="1:10">
      <c r="A27" s="13">
        <v>22</v>
      </c>
      <c r="B27" s="14"/>
      <c r="C27" s="13">
        <v>71</v>
      </c>
      <c r="D27" s="14"/>
      <c r="E27" s="13">
        <f t="shared" si="0"/>
        <v>120</v>
      </c>
      <c r="F27" s="14"/>
      <c r="G27" s="16">
        <v>169</v>
      </c>
      <c r="H27" s="14"/>
      <c r="I27" s="15">
        <v>218</v>
      </c>
      <c r="J27" s="14"/>
    </row>
    <row r="28" ht="15.6" spans="1:10">
      <c r="A28" s="13">
        <v>23</v>
      </c>
      <c r="B28" s="14"/>
      <c r="C28" s="13">
        <v>72</v>
      </c>
      <c r="D28" s="14"/>
      <c r="E28" s="13">
        <f t="shared" si="0"/>
        <v>121</v>
      </c>
      <c r="F28" s="14"/>
      <c r="G28" s="16">
        <v>170</v>
      </c>
      <c r="H28" s="14"/>
      <c r="I28" s="15">
        <v>219</v>
      </c>
      <c r="J28" s="14"/>
    </row>
    <row r="29" ht="15.6" spans="1:10">
      <c r="A29" s="13">
        <v>24</v>
      </c>
      <c r="B29" s="14"/>
      <c r="C29" s="13">
        <v>73</v>
      </c>
      <c r="D29" s="14"/>
      <c r="E29" s="13">
        <f t="shared" si="0"/>
        <v>122</v>
      </c>
      <c r="F29" s="14"/>
      <c r="G29" s="16">
        <v>171</v>
      </c>
      <c r="H29" s="14"/>
      <c r="I29" s="15">
        <v>220</v>
      </c>
      <c r="J29" s="14"/>
    </row>
    <row r="30" ht="15.6" spans="1:10">
      <c r="A30" s="13">
        <v>25</v>
      </c>
      <c r="B30" s="14"/>
      <c r="C30" s="13">
        <v>74</v>
      </c>
      <c r="D30" s="14"/>
      <c r="E30" s="13">
        <f t="shared" si="0"/>
        <v>123</v>
      </c>
      <c r="F30" s="14"/>
      <c r="G30" s="16">
        <v>172</v>
      </c>
      <c r="H30" s="14"/>
      <c r="I30" s="35"/>
      <c r="J30" s="36"/>
    </row>
    <row r="31" ht="15.6" spans="1:10">
      <c r="A31" s="13">
        <v>26</v>
      </c>
      <c r="B31" s="14"/>
      <c r="C31" s="13">
        <v>75</v>
      </c>
      <c r="D31" s="14"/>
      <c r="E31" s="13">
        <f t="shared" si="0"/>
        <v>124</v>
      </c>
      <c r="F31" s="14"/>
      <c r="G31" s="16">
        <v>173</v>
      </c>
      <c r="H31" s="14"/>
      <c r="I31" s="35"/>
      <c r="J31" s="36"/>
    </row>
    <row r="32" ht="15.6" spans="1:10">
      <c r="A32" s="13">
        <v>27</v>
      </c>
      <c r="B32" s="14"/>
      <c r="C32" s="13">
        <v>76</v>
      </c>
      <c r="D32" s="14"/>
      <c r="E32" s="13">
        <f t="shared" si="0"/>
        <v>125</v>
      </c>
      <c r="F32" s="14"/>
      <c r="G32" s="15">
        <v>174</v>
      </c>
      <c r="H32" s="14"/>
      <c r="I32" s="37"/>
      <c r="J32" s="36"/>
    </row>
    <row r="33" ht="15.6" spans="1:10">
      <c r="A33" s="13">
        <v>28</v>
      </c>
      <c r="B33" s="14"/>
      <c r="C33" s="13">
        <v>77</v>
      </c>
      <c r="D33" s="14"/>
      <c r="E33" s="13">
        <f t="shared" si="0"/>
        <v>126</v>
      </c>
      <c r="F33" s="14"/>
      <c r="G33" s="15">
        <v>175</v>
      </c>
      <c r="H33" s="14"/>
      <c r="I33" s="35"/>
      <c r="J33" s="36"/>
    </row>
    <row r="34" ht="15.6" spans="1:10">
      <c r="A34" s="13">
        <v>29</v>
      </c>
      <c r="B34" s="14"/>
      <c r="C34" s="13">
        <v>78</v>
      </c>
      <c r="D34" s="14"/>
      <c r="E34" s="13">
        <f t="shared" si="0"/>
        <v>127</v>
      </c>
      <c r="F34" s="14"/>
      <c r="G34" s="15">
        <v>176</v>
      </c>
      <c r="H34" s="14"/>
      <c r="I34" s="35"/>
      <c r="J34" s="36"/>
    </row>
    <row r="35" ht="15.6" spans="1:10">
      <c r="A35" s="13">
        <v>30</v>
      </c>
      <c r="B35" s="14"/>
      <c r="C35" s="13">
        <v>79</v>
      </c>
      <c r="D35" s="14"/>
      <c r="E35" s="13">
        <f t="shared" si="0"/>
        <v>128</v>
      </c>
      <c r="F35" s="14"/>
      <c r="G35" s="15">
        <v>177</v>
      </c>
      <c r="H35" s="14"/>
      <c r="I35" s="37"/>
      <c r="J35" s="36"/>
    </row>
    <row r="36" ht="15.6" spans="1:10">
      <c r="A36" s="13">
        <v>31</v>
      </c>
      <c r="B36" s="14"/>
      <c r="C36" s="13">
        <v>80</v>
      </c>
      <c r="D36" s="14"/>
      <c r="E36" s="13">
        <f t="shared" si="0"/>
        <v>129</v>
      </c>
      <c r="F36" s="14"/>
      <c r="G36" s="15">
        <v>178</v>
      </c>
      <c r="H36" s="14"/>
      <c r="I36" s="35"/>
      <c r="J36" s="36"/>
    </row>
    <row r="37" ht="15.6" spans="1:10">
      <c r="A37" s="13">
        <v>32</v>
      </c>
      <c r="B37" s="14"/>
      <c r="C37" s="13">
        <v>81</v>
      </c>
      <c r="D37" s="14"/>
      <c r="E37" s="13">
        <f t="shared" si="0"/>
        <v>130</v>
      </c>
      <c r="F37" s="14"/>
      <c r="G37" s="15">
        <v>179</v>
      </c>
      <c r="H37" s="14"/>
      <c r="I37" s="35"/>
      <c r="J37" s="36"/>
    </row>
    <row r="38" ht="15.6" spans="1:10">
      <c r="A38" s="13">
        <v>33</v>
      </c>
      <c r="B38" s="14"/>
      <c r="C38" s="13">
        <v>82</v>
      </c>
      <c r="D38" s="14"/>
      <c r="E38" s="13">
        <f t="shared" si="0"/>
        <v>131</v>
      </c>
      <c r="F38" s="14"/>
      <c r="G38" s="15">
        <v>180</v>
      </c>
      <c r="H38" s="14"/>
      <c r="I38" s="37"/>
      <c r="J38" s="36"/>
    </row>
    <row r="39" ht="15.6" spans="1:10">
      <c r="A39" s="13">
        <v>34</v>
      </c>
      <c r="B39" s="14"/>
      <c r="C39" s="13">
        <v>83</v>
      </c>
      <c r="D39" s="14"/>
      <c r="E39" s="13">
        <f t="shared" si="0"/>
        <v>132</v>
      </c>
      <c r="F39" s="14"/>
      <c r="G39" s="15">
        <v>181</v>
      </c>
      <c r="H39" s="14"/>
      <c r="I39" s="37"/>
      <c r="J39" s="36"/>
    </row>
    <row r="40" ht="15.6" spans="1:10">
      <c r="A40" s="13">
        <v>35</v>
      </c>
      <c r="B40" s="14"/>
      <c r="C40" s="13">
        <v>84</v>
      </c>
      <c r="D40" s="14"/>
      <c r="E40" s="13">
        <f t="shared" si="0"/>
        <v>133</v>
      </c>
      <c r="F40" s="14"/>
      <c r="G40" s="15">
        <v>182</v>
      </c>
      <c r="H40" s="14"/>
      <c r="I40" s="35"/>
      <c r="J40" s="36"/>
    </row>
    <row r="41" ht="15.6" spans="1:10">
      <c r="A41" s="13">
        <v>36</v>
      </c>
      <c r="B41" s="14"/>
      <c r="C41" s="13">
        <v>85</v>
      </c>
      <c r="D41" s="14"/>
      <c r="E41" s="13">
        <f t="shared" si="0"/>
        <v>134</v>
      </c>
      <c r="F41" s="14"/>
      <c r="G41" s="15">
        <v>183</v>
      </c>
      <c r="H41" s="14"/>
      <c r="I41" s="35"/>
      <c r="J41" s="36"/>
    </row>
    <row r="42" ht="15.6" spans="1:10">
      <c r="A42" s="13">
        <v>37</v>
      </c>
      <c r="B42" s="14"/>
      <c r="C42" s="13">
        <v>86</v>
      </c>
      <c r="D42" s="14"/>
      <c r="E42" s="13">
        <f t="shared" si="0"/>
        <v>135</v>
      </c>
      <c r="F42" s="14"/>
      <c r="G42" s="15">
        <v>184</v>
      </c>
      <c r="H42" s="14"/>
      <c r="I42" s="37"/>
      <c r="J42" s="36"/>
    </row>
    <row r="43" ht="15.6" spans="1:10">
      <c r="A43" s="13">
        <v>38</v>
      </c>
      <c r="B43" s="14"/>
      <c r="C43" s="13">
        <v>87</v>
      </c>
      <c r="D43" s="14"/>
      <c r="E43" s="13">
        <f t="shared" si="0"/>
        <v>136</v>
      </c>
      <c r="F43" s="14"/>
      <c r="G43" s="15">
        <v>185</v>
      </c>
      <c r="H43" s="14"/>
      <c r="I43" s="35"/>
      <c r="J43" s="36"/>
    </row>
    <row r="44" ht="15.6" spans="1:10">
      <c r="A44" s="13">
        <v>39</v>
      </c>
      <c r="B44" s="14"/>
      <c r="C44" s="13">
        <v>88</v>
      </c>
      <c r="D44" s="14"/>
      <c r="E44" s="13">
        <f t="shared" si="0"/>
        <v>137</v>
      </c>
      <c r="F44" s="14"/>
      <c r="G44" s="15">
        <v>186</v>
      </c>
      <c r="H44" s="14"/>
      <c r="I44" s="35"/>
      <c r="J44" s="36"/>
    </row>
    <row r="45" ht="15.6" spans="1:10">
      <c r="A45" s="13">
        <v>40</v>
      </c>
      <c r="B45" s="14"/>
      <c r="C45" s="13">
        <v>89</v>
      </c>
      <c r="D45" s="14"/>
      <c r="E45" s="13">
        <f t="shared" si="0"/>
        <v>138</v>
      </c>
      <c r="F45" s="14"/>
      <c r="G45" s="15">
        <v>187</v>
      </c>
      <c r="H45" s="14"/>
      <c r="I45" s="37"/>
      <c r="J45" s="36"/>
    </row>
    <row r="46" ht="15.6" spans="1:10">
      <c r="A46" s="13">
        <v>41</v>
      </c>
      <c r="B46" s="14"/>
      <c r="C46" s="13">
        <v>90</v>
      </c>
      <c r="D46" s="14"/>
      <c r="E46" s="13">
        <f t="shared" si="0"/>
        <v>139</v>
      </c>
      <c r="F46" s="14"/>
      <c r="G46" s="15">
        <v>188</v>
      </c>
      <c r="H46" s="14"/>
      <c r="I46" s="35"/>
      <c r="J46" s="36"/>
    </row>
    <row r="47" ht="15.6" spans="1:10">
      <c r="A47" s="13">
        <v>42</v>
      </c>
      <c r="B47" s="14"/>
      <c r="C47" s="13">
        <v>91</v>
      </c>
      <c r="D47" s="14"/>
      <c r="E47" s="13">
        <f t="shared" si="0"/>
        <v>140</v>
      </c>
      <c r="F47" s="14"/>
      <c r="G47" s="15">
        <v>189</v>
      </c>
      <c r="H47" s="14"/>
      <c r="I47" s="35"/>
      <c r="J47" s="36"/>
    </row>
    <row r="48" ht="15.6" spans="1:10">
      <c r="A48" s="13">
        <v>43</v>
      </c>
      <c r="B48" s="14"/>
      <c r="C48" s="13">
        <v>92</v>
      </c>
      <c r="D48" s="14"/>
      <c r="E48" s="13">
        <f t="shared" si="0"/>
        <v>141</v>
      </c>
      <c r="F48" s="14"/>
      <c r="G48" s="15">
        <v>190</v>
      </c>
      <c r="H48" s="14"/>
      <c r="I48" s="37"/>
      <c r="J48" s="36"/>
    </row>
    <row r="49" ht="15.6" spans="1:10">
      <c r="A49" s="13">
        <v>44</v>
      </c>
      <c r="B49" s="14"/>
      <c r="C49" s="13">
        <v>93</v>
      </c>
      <c r="D49" s="14"/>
      <c r="E49" s="13">
        <f t="shared" si="0"/>
        <v>142</v>
      </c>
      <c r="F49" s="14"/>
      <c r="G49" s="15">
        <v>191</v>
      </c>
      <c r="H49" s="14"/>
      <c r="I49" s="37"/>
      <c r="J49" s="36"/>
    </row>
    <row r="50" ht="15.6" spans="1:10">
      <c r="A50" s="13">
        <v>45</v>
      </c>
      <c r="B50" s="14"/>
      <c r="C50" s="13">
        <v>94</v>
      </c>
      <c r="D50" s="14"/>
      <c r="E50" s="13">
        <f t="shared" si="0"/>
        <v>143</v>
      </c>
      <c r="F50" s="14"/>
      <c r="G50" s="15">
        <v>192</v>
      </c>
      <c r="H50" s="14"/>
      <c r="I50" s="35"/>
      <c r="J50" s="36"/>
    </row>
    <row r="51" ht="15.6" spans="1:10">
      <c r="A51" s="13">
        <v>46</v>
      </c>
      <c r="B51" s="14"/>
      <c r="C51" s="13">
        <v>95</v>
      </c>
      <c r="D51" s="14"/>
      <c r="E51" s="13">
        <f t="shared" si="0"/>
        <v>144</v>
      </c>
      <c r="F51" s="14"/>
      <c r="G51" s="15">
        <v>193</v>
      </c>
      <c r="H51" s="14"/>
      <c r="I51" s="35"/>
      <c r="J51" s="36"/>
    </row>
    <row r="52" ht="15.6" spans="1:10">
      <c r="A52" s="13">
        <v>47</v>
      </c>
      <c r="B52" s="14"/>
      <c r="C52" s="13">
        <v>96</v>
      </c>
      <c r="D52" s="14"/>
      <c r="E52" s="13">
        <f t="shared" si="0"/>
        <v>145</v>
      </c>
      <c r="F52" s="14"/>
      <c r="G52" s="15">
        <v>194</v>
      </c>
      <c r="H52" s="14"/>
      <c r="I52" s="37"/>
      <c r="J52" s="36"/>
    </row>
    <row r="53" ht="15.6" spans="1:10">
      <c r="A53" s="13">
        <v>48</v>
      </c>
      <c r="B53" s="14"/>
      <c r="C53" s="13">
        <v>97</v>
      </c>
      <c r="D53" s="14"/>
      <c r="E53" s="13">
        <f t="shared" si="0"/>
        <v>146</v>
      </c>
      <c r="F53" s="14"/>
      <c r="G53" s="15">
        <v>195</v>
      </c>
      <c r="H53" s="14"/>
      <c r="I53" s="35"/>
      <c r="J53" s="36"/>
    </row>
    <row r="54" ht="15.6" spans="1:10">
      <c r="A54" s="17">
        <v>49</v>
      </c>
      <c r="B54" s="14"/>
      <c r="C54" s="17">
        <v>98</v>
      </c>
      <c r="D54" s="14"/>
      <c r="E54" s="13">
        <f t="shared" si="0"/>
        <v>147</v>
      </c>
      <c r="F54" s="14"/>
      <c r="G54" s="18">
        <v>196</v>
      </c>
      <c r="H54" s="14"/>
      <c r="I54" s="38"/>
      <c r="J54" s="39"/>
    </row>
    <row r="55" ht="15.6" spans="1:10">
      <c r="A55" s="19"/>
      <c r="B55" s="20">
        <f t="shared" ref="B55:F55" si="1">SUM(B6:B54)</f>
        <v>0</v>
      </c>
      <c r="C55" s="20"/>
      <c r="D55" s="20">
        <f t="shared" si="1"/>
        <v>0</v>
      </c>
      <c r="E55" s="20"/>
      <c r="F55" s="20">
        <f t="shared" si="1"/>
        <v>0</v>
      </c>
      <c r="G55" s="20"/>
      <c r="H55" s="20">
        <f>SUM(H6:H54)</f>
        <v>0</v>
      </c>
      <c r="I55" s="19"/>
      <c r="J55" s="19">
        <f>SUM(J6:J54)</f>
        <v>0</v>
      </c>
    </row>
    <row r="56" ht="15.6" spans="1:10">
      <c r="A56" s="21" t="s">
        <v>7</v>
      </c>
      <c r="B56" s="22">
        <f>COUNT(B6:B54,D6:D54,F6:F54,H6:H54,J6:J54)</f>
        <v>0</v>
      </c>
      <c r="C56" s="2" t="s">
        <v>8</v>
      </c>
      <c r="D56" s="23"/>
      <c r="E56" s="24">
        <f>B55+D55+F55+H55+J55</f>
        <v>0</v>
      </c>
      <c r="F56" s="25" t="s">
        <v>9</v>
      </c>
      <c r="G56" s="26">
        <f>B56*2.2</f>
        <v>0</v>
      </c>
      <c r="H56" s="2" t="s">
        <v>10</v>
      </c>
      <c r="I56" s="23"/>
      <c r="J56" s="24">
        <f>E56-G56</f>
        <v>0</v>
      </c>
    </row>
    <row r="57" ht="15.6" spans="1:10">
      <c r="A57" s="21" t="s">
        <v>11</v>
      </c>
      <c r="B57" s="4"/>
      <c r="C57" s="27"/>
      <c r="D57" s="23"/>
      <c r="E57" s="28"/>
      <c r="F57" s="4"/>
      <c r="G57" s="29"/>
      <c r="H57" s="27"/>
      <c r="I57" s="23"/>
      <c r="J57" s="40"/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Диапазон1_3_1_7_2_1_1_1_1_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2025-12-09T10:54:21Z</dcterms:created>
  <dcterms:modified xsi:type="dcterms:W3CDTF">2025-12-09T11:04:07Z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99606D36182E419C991C41343DEF9A3B_11</vt:lpwstr>
  </property>
  <property fmtid="{D5CDD505-2E9C-101B-9397-08002B2CF9AE}" pid="3" name="KSOProductBuildVer">
    <vt:lpwstr>1049-12.9.0.21549</vt:lpwstr>
  </property>
</Properties>
</file>